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c\Documents\"/>
    </mc:Choice>
  </mc:AlternateContent>
  <bookViews>
    <workbookView xWindow="0" yWindow="0" windowWidth="25245" windowHeight="10290" xr2:uid="{C82AB5DC-704B-4C9A-8DAC-F825FFE87199}"/>
  </bookViews>
  <sheets>
    <sheet name="Master List of Entities" sheetId="1" r:id="rId1"/>
    <sheet name="Counties" sheetId="3" r:id="rId2"/>
    <sheet name="Dupe Names" sheetId="2" r:id="rId3"/>
  </sheets>
  <functionGroups builtInGroupCount="18"/>
  <definedNames>
    <definedName name="_xlnm._FilterDatabase" localSheetId="2" hidden="1">'Dupe Names'!$A$1:$C$2799</definedName>
    <definedName name="_xlnm._FilterDatabase" localSheetId="0" hidden="1">'Master List of Entities'!$A$1:$F$2879</definedName>
    <definedName name="counties">Counties!$A$1:$C$83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879" i="1" l="1"/>
  <c r="H2878" i="1"/>
  <c r="H2876" i="1"/>
  <c r="H2871" i="1"/>
  <c r="H2870" i="1"/>
  <c r="H2868" i="1"/>
  <c r="H2866" i="1"/>
  <c r="H2860" i="1"/>
  <c r="H2859" i="1"/>
  <c r="H2858" i="1"/>
  <c r="H2857" i="1"/>
  <c r="H2856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2" i="1"/>
  <c r="H2831" i="1"/>
  <c r="H2830" i="1"/>
  <c r="H2829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2" i="1"/>
  <c r="H2811" i="1"/>
  <c r="H2809" i="1"/>
  <c r="H2808" i="1"/>
  <c r="H2807" i="1"/>
  <c r="H2806" i="1"/>
  <c r="H2804" i="1"/>
  <c r="H2803" i="1"/>
  <c r="H2802" i="1"/>
  <c r="H2801" i="1"/>
  <c r="H2800" i="1"/>
  <c r="H2799" i="1"/>
  <c r="H2798" i="1"/>
  <c r="H2797" i="1"/>
  <c r="H2796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3" i="1"/>
  <c r="H2721" i="1"/>
  <c r="H2720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699" i="1"/>
  <c r="H2698" i="1"/>
  <c r="H2696" i="1"/>
  <c r="H2694" i="1"/>
  <c r="H2692" i="1"/>
  <c r="H2690" i="1"/>
  <c r="H2689" i="1"/>
  <c r="H2688" i="1"/>
  <c r="H2687" i="1"/>
  <c r="H2686" i="1"/>
  <c r="H2685" i="1"/>
  <c r="H2681" i="1"/>
  <c r="H2679" i="1"/>
  <c r="H2677" i="1"/>
  <c r="H2676" i="1"/>
  <c r="H2674" i="1"/>
  <c r="H2673" i="1"/>
  <c r="H2672" i="1"/>
  <c r="H2671" i="1"/>
  <c r="H2670" i="1"/>
  <c r="H2669" i="1"/>
  <c r="H2667" i="1"/>
  <c r="H2666" i="1"/>
  <c r="H2665" i="1"/>
  <c r="H2664" i="1"/>
  <c r="H2663" i="1"/>
  <c r="H2662" i="1"/>
  <c r="H2661" i="1"/>
  <c r="H2659" i="1"/>
  <c r="H2658" i="1"/>
  <c r="H2657" i="1"/>
  <c r="H2655" i="1"/>
  <c r="H2654" i="1"/>
  <c r="H2653" i="1"/>
  <c r="H2652" i="1"/>
  <c r="H2651" i="1"/>
  <c r="H2650" i="1"/>
  <c r="H2649" i="1"/>
  <c r="H2648" i="1"/>
  <c r="H2647" i="1"/>
  <c r="H2646" i="1"/>
  <c r="H2645" i="1"/>
  <c r="H2643" i="1"/>
  <c r="H2642" i="1"/>
  <c r="H2641" i="1"/>
  <c r="H2639" i="1"/>
  <c r="H2638" i="1"/>
  <c r="H2637" i="1"/>
  <c r="H2636" i="1"/>
  <c r="H2634" i="1"/>
  <c r="H2633" i="1"/>
  <c r="H2632" i="1"/>
  <c r="H2631" i="1"/>
  <c r="H2629" i="1"/>
  <c r="H2627" i="1"/>
  <c r="H2626" i="1"/>
  <c r="H2624" i="1"/>
  <c r="H2622" i="1"/>
  <c r="H2621" i="1"/>
  <c r="H2619" i="1"/>
  <c r="H2618" i="1"/>
  <c r="H2617" i="1"/>
  <c r="H2615" i="1"/>
  <c r="H2612" i="1"/>
  <c r="H2611" i="1"/>
  <c r="H2609" i="1"/>
  <c r="H2608" i="1"/>
  <c r="H2604" i="1"/>
  <c r="H2603" i="1"/>
  <c r="H2598" i="1"/>
  <c r="H2597" i="1"/>
  <c r="H2596" i="1"/>
  <c r="H2595" i="1"/>
  <c r="H2594" i="1"/>
  <c r="H2593" i="1"/>
  <c r="H2591" i="1"/>
  <c r="H2590" i="1"/>
  <c r="H2589" i="1"/>
  <c r="H2588" i="1"/>
  <c r="H2587" i="1"/>
  <c r="H2585" i="1"/>
  <c r="H2584" i="1"/>
  <c r="H2582" i="1"/>
  <c r="H2581" i="1"/>
  <c r="H2574" i="1"/>
  <c r="H2566" i="1"/>
  <c r="H2565" i="1"/>
  <c r="H2564" i="1"/>
  <c r="H2563" i="1"/>
  <c r="H2562" i="1"/>
  <c r="H2559" i="1"/>
  <c r="H2558" i="1"/>
  <c r="H2557" i="1"/>
  <c r="H2555" i="1"/>
  <c r="H2554" i="1"/>
  <c r="H2552" i="1"/>
  <c r="H2551" i="1"/>
  <c r="H2550" i="1"/>
  <c r="H2549" i="1"/>
  <c r="H2547" i="1"/>
  <c r="H2544" i="1"/>
  <c r="H2542" i="1"/>
  <c r="H2541" i="1"/>
  <c r="H2540" i="1"/>
  <c r="H2538" i="1"/>
  <c r="H2537" i="1"/>
  <c r="H2535" i="1"/>
  <c r="H2533" i="1"/>
  <c r="H2532" i="1"/>
  <c r="H2531" i="1"/>
  <c r="H2528" i="1"/>
  <c r="H2527" i="1"/>
  <c r="H2526" i="1"/>
  <c r="H2525" i="1"/>
  <c r="H2522" i="1"/>
  <c r="H2521" i="1"/>
  <c r="H2519" i="1"/>
  <c r="H2518" i="1"/>
  <c r="H2517" i="1"/>
  <c r="H2516" i="1"/>
  <c r="H2515" i="1"/>
  <c r="H2513" i="1"/>
  <c r="H2511" i="1"/>
  <c r="H2509" i="1"/>
  <c r="H2506" i="1"/>
  <c r="H2501" i="1"/>
  <c r="H2499" i="1"/>
  <c r="H2498" i="1"/>
  <c r="H2497" i="1"/>
  <c r="H2496" i="1"/>
  <c r="H2495" i="1"/>
  <c r="H2494" i="1"/>
  <c r="H2493" i="1"/>
  <c r="H2492" i="1"/>
  <c r="H2491" i="1"/>
  <c r="H2490" i="1"/>
  <c r="H2489" i="1"/>
  <c r="H2487" i="1"/>
  <c r="H2485" i="1"/>
  <c r="H2484" i="1"/>
  <c r="H2482" i="1"/>
  <c r="H2480" i="1"/>
  <c r="H2475" i="1"/>
  <c r="H2469" i="1"/>
  <c r="H2468" i="1"/>
  <c r="H2466" i="1"/>
  <c r="H2465" i="1"/>
  <c r="H2463" i="1"/>
  <c r="H2462" i="1"/>
  <c r="H2461" i="1"/>
  <c r="H2459" i="1"/>
  <c r="H2458" i="1"/>
  <c r="H2457" i="1"/>
  <c r="H2456" i="1"/>
  <c r="H2455" i="1"/>
  <c r="H2453" i="1"/>
  <c r="H2452" i="1"/>
  <c r="H2451" i="1"/>
  <c r="H2450" i="1"/>
  <c r="H2449" i="1"/>
  <c r="H2447" i="1"/>
  <c r="H2446" i="1"/>
  <c r="H2445" i="1"/>
  <c r="H2444" i="1"/>
  <c r="H2443" i="1"/>
  <c r="H2442" i="1"/>
  <c r="H2441" i="1"/>
  <c r="H2440" i="1"/>
  <c r="H2437" i="1"/>
  <c r="H2436" i="1"/>
  <c r="H2434" i="1"/>
  <c r="H2430" i="1"/>
  <c r="H2427" i="1"/>
  <c r="H2426" i="1"/>
  <c r="H2424" i="1"/>
  <c r="H2423" i="1"/>
  <c r="H2421" i="1"/>
  <c r="H2420" i="1"/>
  <c r="H2418" i="1"/>
  <c r="H2417" i="1"/>
  <c r="H2416" i="1"/>
  <c r="H2415" i="1"/>
  <c r="H2414" i="1"/>
  <c r="H2413" i="1"/>
  <c r="H2411" i="1"/>
  <c r="H2410" i="1"/>
  <c r="H2408" i="1"/>
  <c r="H2407" i="1"/>
  <c r="H2405" i="1"/>
  <c r="H2403" i="1"/>
  <c r="H2402" i="1"/>
  <c r="H2401" i="1"/>
  <c r="H2400" i="1"/>
  <c r="H2385" i="1"/>
  <c r="H2382" i="1"/>
  <c r="H2381" i="1"/>
  <c r="H2380" i="1"/>
  <c r="H2379" i="1"/>
  <c r="H2378" i="1"/>
  <c r="H2377" i="1"/>
  <c r="H2376" i="1"/>
  <c r="H2372" i="1"/>
  <c r="H2370" i="1"/>
  <c r="H2369" i="1"/>
  <c r="H2366" i="1"/>
  <c r="H2365" i="1"/>
  <c r="H2364" i="1"/>
  <c r="H2363" i="1"/>
  <c r="H2362" i="1"/>
  <c r="H2361" i="1"/>
  <c r="H2359" i="1"/>
  <c r="H2358" i="1"/>
  <c r="H2357" i="1"/>
  <c r="H2356" i="1"/>
  <c r="H2355" i="1"/>
  <c r="H2353" i="1"/>
  <c r="H2352" i="1"/>
  <c r="H2351" i="1"/>
  <c r="H2350" i="1"/>
  <c r="H2349" i="1"/>
  <c r="H2348" i="1"/>
  <c r="H2343" i="1"/>
  <c r="H2339" i="1"/>
  <c r="H2338" i="1"/>
  <c r="H2336" i="1"/>
  <c r="H2335" i="1"/>
  <c r="H2334" i="1"/>
  <c r="H2333" i="1"/>
  <c r="H2332" i="1"/>
  <c r="H2328" i="1"/>
  <c r="H2326" i="1"/>
  <c r="H2322" i="1"/>
  <c r="H2321" i="1"/>
  <c r="H2318" i="1"/>
  <c r="H2317" i="1"/>
  <c r="H2316" i="1"/>
  <c r="H2315" i="1"/>
  <c r="H2314" i="1"/>
  <c r="H2312" i="1"/>
  <c r="H2308" i="1"/>
  <c r="H2307" i="1"/>
  <c r="H2306" i="1"/>
  <c r="H2305" i="1"/>
  <c r="H2304" i="1"/>
  <c r="H2303" i="1"/>
  <c r="H2302" i="1"/>
  <c r="H2298" i="1"/>
  <c r="H2297" i="1"/>
  <c r="H2296" i="1"/>
  <c r="H2295" i="1"/>
  <c r="H2294" i="1"/>
  <c r="H2291" i="1"/>
  <c r="H2290" i="1"/>
  <c r="H2288" i="1"/>
  <c r="H2287" i="1"/>
  <c r="H2286" i="1"/>
  <c r="H2284" i="1"/>
  <c r="H2283" i="1"/>
  <c r="H2282" i="1"/>
  <c r="H2280" i="1"/>
  <c r="H2274" i="1"/>
  <c r="H2272" i="1"/>
  <c r="H2270" i="1"/>
  <c r="H2269" i="1"/>
  <c r="H2267" i="1"/>
  <c r="H2266" i="1"/>
  <c r="H2261" i="1"/>
  <c r="H2259" i="1"/>
  <c r="H2258" i="1"/>
  <c r="H2257" i="1"/>
  <c r="H2256" i="1"/>
  <c r="H2255" i="1"/>
  <c r="H2253" i="1"/>
  <c r="H2252" i="1"/>
  <c r="H2251" i="1"/>
  <c r="H2250" i="1"/>
  <c r="H2249" i="1"/>
  <c r="H2247" i="1"/>
  <c r="H2246" i="1"/>
  <c r="H2244" i="1"/>
  <c r="H2243" i="1"/>
  <c r="H2242" i="1"/>
  <c r="H2241" i="1"/>
  <c r="H2240" i="1"/>
  <c r="H2239" i="1"/>
  <c r="H2237" i="1"/>
  <c r="H2236" i="1"/>
  <c r="H2234" i="1"/>
  <c r="H2232" i="1"/>
  <c r="H2231" i="1"/>
  <c r="H2230" i="1"/>
  <c r="H2229" i="1"/>
  <c r="H2226" i="1"/>
  <c r="H2225" i="1"/>
  <c r="H2224" i="1"/>
  <c r="H2222" i="1"/>
  <c r="H2221" i="1"/>
  <c r="H2220" i="1"/>
  <c r="H2219" i="1"/>
  <c r="H2216" i="1"/>
  <c r="H2210" i="1"/>
  <c r="H2208" i="1"/>
  <c r="H2207" i="1"/>
  <c r="H2206" i="1"/>
  <c r="H2205" i="1"/>
  <c r="H2199" i="1"/>
  <c r="H2197" i="1"/>
  <c r="H2196" i="1"/>
  <c r="H2195" i="1"/>
  <c r="H2192" i="1"/>
  <c r="H2191" i="1"/>
  <c r="H2190" i="1"/>
  <c r="H2189" i="1"/>
  <c r="H2187" i="1"/>
  <c r="H2185" i="1"/>
  <c r="H2182" i="1"/>
  <c r="H2181" i="1"/>
  <c r="H2180" i="1"/>
  <c r="H2178" i="1"/>
  <c r="H2177" i="1"/>
  <c r="H2176" i="1"/>
  <c r="H2175" i="1"/>
  <c r="H2173" i="1"/>
  <c r="H2170" i="1"/>
  <c r="H2169" i="1"/>
  <c r="H2168" i="1"/>
  <c r="H2167" i="1"/>
  <c r="H2166" i="1"/>
  <c r="H2160" i="1"/>
  <c r="H2159" i="1"/>
  <c r="H2158" i="1"/>
  <c r="H2157" i="1"/>
  <c r="H2155" i="1"/>
  <c r="H2154" i="1"/>
  <c r="H2153" i="1"/>
  <c r="H2152" i="1"/>
  <c r="H2151" i="1"/>
  <c r="H2149" i="1"/>
  <c r="H2148" i="1"/>
  <c r="H2147" i="1"/>
  <c r="H2146" i="1"/>
  <c r="H2145" i="1"/>
  <c r="H2143" i="1"/>
  <c r="H2137" i="1"/>
  <c r="H2135" i="1"/>
  <c r="H2133" i="1"/>
  <c r="H2132" i="1"/>
  <c r="H2131" i="1"/>
  <c r="H2130" i="1"/>
  <c r="H2129" i="1"/>
  <c r="H2127" i="1"/>
  <c r="H2124" i="1"/>
  <c r="H2123" i="1"/>
  <c r="H2122" i="1"/>
  <c r="H2120" i="1"/>
  <c r="H2119" i="1"/>
  <c r="H2118" i="1"/>
  <c r="H2117" i="1"/>
  <c r="H2115" i="1"/>
  <c r="H2110" i="1"/>
  <c r="H2109" i="1"/>
  <c r="H2108" i="1"/>
  <c r="H2107" i="1"/>
  <c r="H2106" i="1"/>
  <c r="H2104" i="1"/>
  <c r="H2103" i="1"/>
  <c r="H2100" i="1"/>
  <c r="H2099" i="1"/>
  <c r="H2098" i="1"/>
  <c r="H2097" i="1"/>
  <c r="H2096" i="1"/>
  <c r="H2094" i="1"/>
  <c r="H2092" i="1"/>
  <c r="H2091" i="1"/>
  <c r="H2090" i="1"/>
  <c r="H2089" i="1"/>
  <c r="H2088" i="1"/>
  <c r="H2087" i="1"/>
  <c r="H2086" i="1"/>
  <c r="H2085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69" i="1"/>
  <c r="H2068" i="1"/>
  <c r="H2067" i="1"/>
  <c r="H2065" i="1"/>
  <c r="H2064" i="1"/>
  <c r="H2063" i="1"/>
  <c r="H2062" i="1"/>
  <c r="H2061" i="1"/>
  <c r="H2060" i="1"/>
  <c r="H2059" i="1"/>
  <c r="H2058" i="1"/>
  <c r="H2056" i="1"/>
  <c r="H2055" i="1"/>
  <c r="H2053" i="1"/>
  <c r="H2052" i="1"/>
  <c r="H2051" i="1"/>
  <c r="H2049" i="1"/>
  <c r="H2048" i="1"/>
  <c r="H2046" i="1"/>
  <c r="H2045" i="1"/>
  <c r="H2044" i="1"/>
  <c r="H2043" i="1"/>
  <c r="H2041" i="1"/>
  <c r="H2040" i="1"/>
  <c r="H2038" i="1"/>
  <c r="H2036" i="1"/>
  <c r="H2035" i="1"/>
  <c r="H2033" i="1"/>
  <c r="H2032" i="1"/>
  <c r="H2031" i="1"/>
  <c r="H2030" i="1"/>
  <c r="H2029" i="1"/>
  <c r="H2028" i="1"/>
  <c r="H2027" i="1"/>
  <c r="H2025" i="1"/>
  <c r="H2024" i="1"/>
  <c r="H2023" i="1"/>
  <c r="H2022" i="1"/>
  <c r="H2021" i="1"/>
  <c r="H2020" i="1"/>
  <c r="H2019" i="1"/>
  <c r="H2017" i="1"/>
  <c r="H2016" i="1"/>
  <c r="H2014" i="1"/>
  <c r="H2013" i="1"/>
  <c r="H2012" i="1"/>
  <c r="H2011" i="1"/>
  <c r="H2010" i="1"/>
  <c r="H2009" i="1"/>
  <c r="H2008" i="1"/>
  <c r="H2007" i="1"/>
  <c r="H2006" i="1"/>
  <c r="H2004" i="1"/>
  <c r="H2003" i="1"/>
  <c r="H2002" i="1"/>
  <c r="H2001" i="1"/>
  <c r="H2000" i="1"/>
  <c r="H1999" i="1"/>
  <c r="H1998" i="1"/>
  <c r="H1997" i="1"/>
  <c r="H1996" i="1"/>
  <c r="H1992" i="1"/>
  <c r="H1991" i="1"/>
  <c r="H1990" i="1"/>
  <c r="H1989" i="1"/>
  <c r="H1988" i="1"/>
  <c r="H1987" i="1"/>
  <c r="H1986" i="1"/>
  <c r="H1985" i="1"/>
  <c r="H1981" i="1"/>
  <c r="H1980" i="1"/>
  <c r="H1979" i="1"/>
  <c r="H1978" i="1"/>
  <c r="H1977" i="1"/>
  <c r="H1976" i="1"/>
  <c r="H1971" i="1"/>
  <c r="H1968" i="1"/>
  <c r="H1965" i="1"/>
  <c r="H1964" i="1"/>
  <c r="H1962" i="1"/>
  <c r="H1960" i="1"/>
  <c r="H1959" i="1"/>
  <c r="H1958" i="1"/>
  <c r="H1957" i="1"/>
  <c r="H1956" i="1"/>
  <c r="H1955" i="1"/>
  <c r="H1953" i="1"/>
  <c r="H1952" i="1"/>
  <c r="H1950" i="1"/>
  <c r="H1949" i="1"/>
  <c r="H1948" i="1"/>
  <c r="H1947" i="1"/>
  <c r="H1946" i="1"/>
  <c r="H1945" i="1"/>
  <c r="H1943" i="1"/>
  <c r="H1942" i="1"/>
  <c r="H1941" i="1"/>
  <c r="H1940" i="1"/>
  <c r="H1938" i="1"/>
  <c r="H1936" i="1"/>
  <c r="H1935" i="1"/>
  <c r="H1933" i="1"/>
  <c r="H1931" i="1"/>
  <c r="H1930" i="1"/>
  <c r="H1928" i="1"/>
  <c r="H1923" i="1"/>
  <c r="H1920" i="1"/>
  <c r="H1918" i="1"/>
  <c r="H1917" i="1"/>
  <c r="H1916" i="1"/>
  <c r="H1915" i="1"/>
  <c r="H1914" i="1"/>
  <c r="H1912" i="1"/>
  <c r="H1911" i="1"/>
  <c r="H1907" i="1"/>
  <c r="H1905" i="1"/>
  <c r="H1904" i="1"/>
  <c r="H1903" i="1"/>
  <c r="H1901" i="1"/>
  <c r="H1896" i="1"/>
  <c r="H1895" i="1"/>
  <c r="H1894" i="1"/>
  <c r="H1893" i="1"/>
  <c r="H1892" i="1"/>
  <c r="H1891" i="1"/>
  <c r="H1890" i="1"/>
  <c r="H1889" i="1"/>
  <c r="H1888" i="1"/>
  <c r="H1887" i="1"/>
  <c r="H1885" i="1"/>
  <c r="H1884" i="1"/>
  <c r="H1883" i="1"/>
  <c r="H1878" i="1"/>
  <c r="H1876" i="1"/>
  <c r="H1875" i="1"/>
  <c r="H1873" i="1"/>
  <c r="H1870" i="1"/>
  <c r="H1867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49" i="1"/>
  <c r="H1848" i="1"/>
  <c r="H1846" i="1"/>
  <c r="H1845" i="1"/>
  <c r="H1842" i="1"/>
  <c r="H1839" i="1"/>
  <c r="H1837" i="1"/>
  <c r="H1835" i="1"/>
  <c r="H1834" i="1"/>
  <c r="H1832" i="1"/>
  <c r="H1830" i="1"/>
  <c r="H1827" i="1"/>
  <c r="H1820" i="1"/>
  <c r="H1819" i="1"/>
  <c r="H1818" i="1"/>
  <c r="H1817" i="1"/>
  <c r="H1816" i="1"/>
  <c r="H1815" i="1"/>
  <c r="H1814" i="1"/>
  <c r="H1810" i="1"/>
  <c r="H1806" i="1"/>
  <c r="H1805" i="1"/>
  <c r="H1804" i="1"/>
  <c r="H1803" i="1"/>
  <c r="H1799" i="1"/>
  <c r="H1798" i="1"/>
  <c r="H1797" i="1"/>
  <c r="H1796" i="1"/>
  <c r="H1795" i="1"/>
  <c r="H1794" i="1"/>
  <c r="H1793" i="1"/>
  <c r="H1782" i="1"/>
  <c r="H1781" i="1"/>
  <c r="H1780" i="1"/>
  <c r="H1779" i="1"/>
  <c r="H1778" i="1"/>
  <c r="H1776" i="1"/>
  <c r="H1775" i="1"/>
  <c r="H1774" i="1"/>
  <c r="H1771" i="1"/>
  <c r="H1770" i="1"/>
  <c r="H1769" i="1"/>
  <c r="H1768" i="1"/>
  <c r="H1766" i="1"/>
  <c r="H1765" i="1"/>
  <c r="H1762" i="1"/>
  <c r="H1758" i="1"/>
  <c r="H1757" i="1"/>
  <c r="H1756" i="1"/>
  <c r="H1753" i="1"/>
  <c r="H1752" i="1"/>
  <c r="H1750" i="1"/>
  <c r="H1749" i="1"/>
  <c r="H1748" i="1"/>
  <c r="H1746" i="1"/>
  <c r="H1745" i="1"/>
  <c r="H1740" i="1"/>
  <c r="H1738" i="1"/>
  <c r="H1736" i="1"/>
  <c r="H1735" i="1"/>
  <c r="H1733" i="1"/>
  <c r="H1732" i="1"/>
  <c r="H1731" i="1"/>
  <c r="H1729" i="1"/>
  <c r="H1725" i="1"/>
  <c r="H1724" i="1"/>
  <c r="H1723" i="1"/>
  <c r="H1722" i="1"/>
  <c r="H1721" i="1"/>
  <c r="H1720" i="1"/>
  <c r="H1715" i="1"/>
  <c r="H1712" i="1"/>
  <c r="H1711" i="1"/>
  <c r="H1709" i="1"/>
  <c r="H1708" i="1"/>
  <c r="H1705" i="1"/>
  <c r="H1704" i="1"/>
  <c r="H1703" i="1"/>
  <c r="H1698" i="1"/>
  <c r="H1697" i="1"/>
  <c r="H1696" i="1"/>
  <c r="H1695" i="1"/>
  <c r="H1694" i="1"/>
  <c r="H1693" i="1"/>
  <c r="H1691" i="1"/>
  <c r="H1690" i="1"/>
  <c r="H1689" i="1"/>
  <c r="H1688" i="1"/>
  <c r="H1687" i="1"/>
  <c r="H1686" i="1"/>
  <c r="H1685" i="1"/>
  <c r="H1684" i="1"/>
  <c r="H1682" i="1"/>
  <c r="H1681" i="1"/>
  <c r="H1680" i="1"/>
  <c r="H1679" i="1"/>
  <c r="H1678" i="1"/>
  <c r="H1676" i="1"/>
  <c r="H1675" i="1"/>
  <c r="H1671" i="1"/>
  <c r="H1670" i="1"/>
  <c r="H1668" i="1"/>
  <c r="H1664" i="1"/>
  <c r="H1663" i="1"/>
  <c r="H1662" i="1"/>
  <c r="H1661" i="1"/>
  <c r="H1660" i="1"/>
  <c r="H1659" i="1"/>
  <c r="H1658" i="1"/>
  <c r="H1656" i="1"/>
  <c r="H1655" i="1"/>
  <c r="H1653" i="1"/>
  <c r="H1652" i="1"/>
  <c r="H1651" i="1"/>
  <c r="H1650" i="1"/>
  <c r="H1649" i="1"/>
  <c r="H1646" i="1"/>
  <c r="H1645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6" i="1"/>
  <c r="H1625" i="1"/>
  <c r="H1624" i="1"/>
  <c r="H1623" i="1"/>
  <c r="H1622" i="1"/>
  <c r="H1621" i="1"/>
  <c r="H1619" i="1"/>
  <c r="H1618" i="1"/>
  <c r="H1617" i="1"/>
  <c r="H1615" i="1"/>
  <c r="H1614" i="1"/>
  <c r="H1613" i="1"/>
  <c r="H1612" i="1"/>
  <c r="H1611" i="1"/>
  <c r="H1610" i="1"/>
  <c r="H1609" i="1"/>
  <c r="H1608" i="1"/>
  <c r="H1607" i="1"/>
  <c r="H1605" i="1"/>
  <c r="H1604" i="1"/>
  <c r="H1601" i="1"/>
  <c r="H1600" i="1"/>
  <c r="H1599" i="1"/>
  <c r="H1598" i="1"/>
  <c r="H1597" i="1"/>
  <c r="H1596" i="1"/>
  <c r="H1595" i="1"/>
  <c r="H1594" i="1"/>
  <c r="H1593" i="1"/>
  <c r="H1592" i="1"/>
  <c r="H1590" i="1"/>
  <c r="H1588" i="1"/>
  <c r="H1586" i="1"/>
  <c r="H1585" i="1"/>
  <c r="H1583" i="1"/>
  <c r="H1582" i="1"/>
  <c r="H1581" i="1"/>
  <c r="H1579" i="1"/>
  <c r="H1574" i="1"/>
  <c r="H1573" i="1"/>
  <c r="H1572" i="1"/>
  <c r="H1571" i="1"/>
  <c r="H1564" i="1"/>
  <c r="H1563" i="1"/>
  <c r="H1562" i="1"/>
  <c r="H1560" i="1"/>
  <c r="H1558" i="1"/>
  <c r="H1557" i="1"/>
  <c r="H1556" i="1"/>
  <c r="H1555" i="1"/>
  <c r="H1554" i="1"/>
  <c r="H1551" i="1"/>
  <c r="H1548" i="1"/>
  <c r="H1546" i="1"/>
  <c r="H1545" i="1"/>
  <c r="H1543" i="1"/>
  <c r="H1541" i="1"/>
  <c r="H1540" i="1"/>
  <c r="H1539" i="1"/>
  <c r="H1538" i="1"/>
  <c r="H1537" i="1"/>
  <c r="H1536" i="1"/>
  <c r="H1535" i="1"/>
  <c r="H1533" i="1"/>
  <c r="H1532" i="1"/>
  <c r="H1529" i="1"/>
  <c r="H1526" i="1"/>
  <c r="H1524" i="1"/>
  <c r="H1523" i="1"/>
  <c r="H1522" i="1"/>
  <c r="H1521" i="1"/>
  <c r="H1519" i="1"/>
  <c r="H1517" i="1"/>
  <c r="H1515" i="1"/>
  <c r="H1513" i="1"/>
  <c r="H1512" i="1"/>
  <c r="H1511" i="1"/>
  <c r="H1509" i="1"/>
  <c r="H1507" i="1"/>
  <c r="H1506" i="1"/>
  <c r="H1499" i="1"/>
  <c r="H1497" i="1"/>
  <c r="H1493" i="1"/>
  <c r="H1492" i="1"/>
  <c r="H1491" i="1"/>
  <c r="H1490" i="1"/>
  <c r="H1489" i="1"/>
  <c r="H1488" i="1"/>
  <c r="H1487" i="1"/>
  <c r="H1486" i="1"/>
  <c r="H1485" i="1"/>
  <c r="H1482" i="1"/>
  <c r="H1481" i="1"/>
  <c r="H1479" i="1"/>
  <c r="H1477" i="1"/>
  <c r="H1476" i="1"/>
  <c r="H1474" i="1"/>
  <c r="H1472" i="1"/>
  <c r="H1471" i="1"/>
  <c r="H1470" i="1"/>
  <c r="H1469" i="1"/>
  <c r="H1468" i="1"/>
  <c r="H1467" i="1"/>
  <c r="H1466" i="1"/>
  <c r="H1464" i="1"/>
  <c r="H1462" i="1"/>
  <c r="H1460" i="1"/>
  <c r="H1458" i="1"/>
  <c r="H1456" i="1"/>
  <c r="H1452" i="1"/>
  <c r="H1450" i="1"/>
  <c r="H1449" i="1"/>
  <c r="H1448" i="1"/>
  <c r="H1445" i="1"/>
  <c r="H1443" i="1"/>
  <c r="H1440" i="1"/>
  <c r="H1438" i="1"/>
  <c r="H1437" i="1"/>
  <c r="H1436" i="1"/>
  <c r="H1435" i="1"/>
  <c r="H1434" i="1"/>
  <c r="H1433" i="1"/>
  <c r="H1432" i="1"/>
  <c r="H1431" i="1"/>
  <c r="H1430" i="1"/>
  <c r="H1429" i="1"/>
  <c r="H1427" i="1"/>
  <c r="H1426" i="1"/>
  <c r="H1425" i="1"/>
  <c r="H1422" i="1"/>
  <c r="H1421" i="1"/>
  <c r="H1420" i="1"/>
  <c r="H1415" i="1"/>
  <c r="H1414" i="1"/>
  <c r="H1411" i="1"/>
  <c r="H1410" i="1"/>
  <c r="H1408" i="1"/>
  <c r="H1407" i="1"/>
  <c r="H1400" i="1"/>
  <c r="H1399" i="1"/>
  <c r="H1397" i="1"/>
  <c r="H1391" i="1"/>
  <c r="H1390" i="1"/>
  <c r="H1389" i="1"/>
  <c r="H1388" i="1"/>
  <c r="H1387" i="1"/>
  <c r="H1386" i="1"/>
  <c r="H1382" i="1"/>
  <c r="H1381" i="1"/>
  <c r="H1380" i="1"/>
  <c r="H1379" i="1"/>
  <c r="H1378" i="1"/>
  <c r="H1374" i="1"/>
  <c r="H1373" i="1"/>
  <c r="H1370" i="1"/>
  <c r="H1369" i="1"/>
  <c r="H1368" i="1"/>
  <c r="H1365" i="1"/>
  <c r="H1363" i="1"/>
  <c r="H1362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3" i="1"/>
  <c r="H1342" i="1"/>
  <c r="H1341" i="1"/>
  <c r="H1340" i="1"/>
  <c r="H1339" i="1"/>
  <c r="H1338" i="1"/>
  <c r="H1337" i="1"/>
  <c r="H1336" i="1"/>
  <c r="H1335" i="1"/>
  <c r="H1334" i="1"/>
  <c r="H1333" i="1"/>
  <c r="H1331" i="1"/>
  <c r="H1330" i="1"/>
  <c r="H1328" i="1"/>
  <c r="H1326" i="1"/>
  <c r="H1325" i="1"/>
  <c r="H1324" i="1"/>
  <c r="H1323" i="1"/>
  <c r="H1322" i="1"/>
  <c r="H1318" i="1"/>
  <c r="H1317" i="1"/>
  <c r="H1314" i="1"/>
  <c r="H1310" i="1"/>
  <c r="H1306" i="1"/>
  <c r="H1305" i="1"/>
  <c r="H1304" i="1"/>
  <c r="H1303" i="1"/>
  <c r="H1302" i="1"/>
  <c r="H1300" i="1"/>
  <c r="H1297" i="1"/>
  <c r="H1291" i="1"/>
  <c r="H1289" i="1"/>
  <c r="H1288" i="1"/>
  <c r="H1286" i="1"/>
  <c r="H1285" i="1"/>
  <c r="H1284" i="1"/>
  <c r="H1283" i="1"/>
  <c r="H1282" i="1"/>
  <c r="H1279" i="1"/>
  <c r="H1278" i="1"/>
  <c r="H1276" i="1"/>
  <c r="H1275" i="1"/>
  <c r="H1273" i="1"/>
  <c r="H1272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5" i="1"/>
  <c r="H1254" i="1"/>
  <c r="H1253" i="1"/>
  <c r="H1252" i="1"/>
  <c r="H1251" i="1"/>
  <c r="H1250" i="1"/>
  <c r="H1249" i="1"/>
  <c r="H1246" i="1"/>
  <c r="H1245" i="1"/>
  <c r="H1243" i="1"/>
  <c r="H1241" i="1"/>
  <c r="H1240" i="1"/>
  <c r="H1238" i="1"/>
  <c r="H1234" i="1"/>
  <c r="H1233" i="1"/>
  <c r="H1229" i="1"/>
  <c r="H1227" i="1"/>
  <c r="H1225" i="1"/>
  <c r="H1221" i="1"/>
  <c r="H1220" i="1"/>
  <c r="H1218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3" i="1"/>
  <c r="H1200" i="1"/>
  <c r="H1199" i="1"/>
  <c r="H1197" i="1"/>
  <c r="H1195" i="1"/>
  <c r="H1190" i="1"/>
  <c r="H1189" i="1"/>
  <c r="H1188" i="1"/>
  <c r="H1186" i="1"/>
  <c r="H1184" i="1"/>
  <c r="H1183" i="1"/>
  <c r="H1181" i="1"/>
  <c r="H1180" i="1"/>
  <c r="H1179" i="1"/>
  <c r="H1178" i="1"/>
  <c r="H1177" i="1"/>
  <c r="H1176" i="1"/>
  <c r="H1174" i="1"/>
  <c r="H1170" i="1"/>
  <c r="H1167" i="1"/>
  <c r="H1165" i="1"/>
  <c r="H1163" i="1"/>
  <c r="H1162" i="1"/>
  <c r="H1161" i="1"/>
  <c r="H1160" i="1"/>
  <c r="H1159" i="1"/>
  <c r="H1158" i="1"/>
  <c r="H1155" i="1"/>
  <c r="H1154" i="1"/>
  <c r="H1152" i="1"/>
  <c r="H1151" i="1"/>
  <c r="H1150" i="1"/>
  <c r="H1149" i="1"/>
  <c r="H1148" i="1"/>
  <c r="H1146" i="1"/>
  <c r="H1145" i="1"/>
  <c r="H1143" i="1"/>
  <c r="H1142" i="1"/>
  <c r="H1141" i="1"/>
  <c r="H1139" i="1"/>
  <c r="H1138" i="1"/>
  <c r="H1136" i="1"/>
  <c r="H1135" i="1"/>
  <c r="H1134" i="1"/>
  <c r="H1133" i="1"/>
  <c r="H1128" i="1"/>
  <c r="H1127" i="1"/>
  <c r="H1125" i="1"/>
  <c r="H1124" i="1"/>
  <c r="H1123" i="1"/>
  <c r="H1122" i="1"/>
  <c r="H1121" i="1"/>
  <c r="H1120" i="1"/>
  <c r="H1119" i="1"/>
  <c r="H1118" i="1"/>
  <c r="H1117" i="1"/>
  <c r="H1114" i="1"/>
  <c r="H1111" i="1"/>
  <c r="H1109" i="1"/>
  <c r="H1108" i="1"/>
  <c r="H1107" i="1"/>
  <c r="H1105" i="1"/>
  <c r="H1104" i="1"/>
  <c r="H1103" i="1"/>
  <c r="H1101" i="1"/>
  <c r="H1100" i="1"/>
  <c r="H1095" i="1"/>
  <c r="H1094" i="1"/>
  <c r="H1093" i="1"/>
  <c r="H1091" i="1"/>
  <c r="H1090" i="1"/>
  <c r="H1089" i="1"/>
  <c r="H1088" i="1"/>
  <c r="H1086" i="1"/>
  <c r="H1085" i="1"/>
  <c r="H1084" i="1"/>
  <c r="H1083" i="1"/>
  <c r="H1082" i="1"/>
  <c r="H1080" i="1"/>
  <c r="H1079" i="1"/>
  <c r="H1076" i="1"/>
  <c r="H1075" i="1"/>
  <c r="H1072" i="1"/>
  <c r="H1070" i="1"/>
  <c r="H1069" i="1"/>
  <c r="H1068" i="1"/>
  <c r="H1066" i="1"/>
  <c r="H1062" i="1"/>
  <c r="H1061" i="1"/>
  <c r="H1060" i="1"/>
  <c r="H1059" i="1"/>
  <c r="H1056" i="1"/>
  <c r="H1055" i="1"/>
  <c r="H1054" i="1"/>
  <c r="H1053" i="1"/>
  <c r="H1052" i="1"/>
  <c r="H1050" i="1"/>
  <c r="H1047" i="1"/>
  <c r="H1045" i="1"/>
  <c r="H1044" i="1"/>
  <c r="H1043" i="1"/>
  <c r="H1042" i="1"/>
  <c r="H1041" i="1"/>
  <c r="H1040" i="1"/>
  <c r="H1039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4" i="1"/>
  <c r="H1023" i="1"/>
  <c r="H1022" i="1"/>
  <c r="H1021" i="1"/>
  <c r="H1020" i="1"/>
  <c r="H1017" i="1"/>
  <c r="H1014" i="1"/>
  <c r="H1010" i="1"/>
  <c r="H1009" i="1"/>
  <c r="H1008" i="1"/>
  <c r="H1004" i="1"/>
  <c r="H1003" i="1"/>
  <c r="H1002" i="1"/>
  <c r="H1001" i="1"/>
  <c r="H1000" i="1"/>
  <c r="H999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78" i="1"/>
  <c r="H977" i="1"/>
  <c r="H974" i="1"/>
  <c r="H973" i="1"/>
  <c r="H972" i="1"/>
  <c r="H971" i="1"/>
  <c r="H969" i="1"/>
  <c r="H967" i="1"/>
  <c r="H966" i="1"/>
  <c r="H965" i="1"/>
  <c r="H964" i="1"/>
  <c r="H963" i="1"/>
  <c r="H962" i="1"/>
  <c r="H961" i="1"/>
  <c r="H959" i="1"/>
  <c r="H956" i="1"/>
  <c r="H955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5" i="1"/>
  <c r="H933" i="1"/>
  <c r="H931" i="1"/>
  <c r="H928" i="1"/>
  <c r="H927" i="1"/>
  <c r="H926" i="1"/>
  <c r="H924" i="1"/>
  <c r="H922" i="1"/>
  <c r="H919" i="1"/>
  <c r="H917" i="1"/>
  <c r="H916" i="1"/>
  <c r="H915" i="1"/>
  <c r="H914" i="1"/>
  <c r="H913" i="1"/>
  <c r="H911" i="1"/>
  <c r="H910" i="1"/>
  <c r="H908" i="1"/>
  <c r="H907" i="1"/>
  <c r="H906" i="1"/>
  <c r="H905" i="1"/>
  <c r="H904" i="1"/>
  <c r="H902" i="1"/>
  <c r="H901" i="1"/>
  <c r="H900" i="1"/>
  <c r="H897" i="1"/>
  <c r="H894" i="1"/>
  <c r="H891" i="1"/>
  <c r="H889" i="1"/>
  <c r="H888" i="1"/>
  <c r="H886" i="1"/>
  <c r="H881" i="1"/>
  <c r="H880" i="1"/>
  <c r="H878" i="1"/>
  <c r="H876" i="1"/>
  <c r="H875" i="1"/>
  <c r="H874" i="1"/>
  <c r="H871" i="1"/>
  <c r="H869" i="1"/>
  <c r="H868" i="1"/>
  <c r="H867" i="1"/>
  <c r="H864" i="1"/>
  <c r="H863" i="1"/>
  <c r="H862" i="1"/>
  <c r="H861" i="1"/>
  <c r="H860" i="1"/>
  <c r="H859" i="1"/>
  <c r="H856" i="1"/>
  <c r="H855" i="1"/>
  <c r="H854" i="1"/>
  <c r="H853" i="1"/>
  <c r="H852" i="1"/>
  <c r="H849" i="1"/>
  <c r="H848" i="1"/>
  <c r="H845" i="1"/>
  <c r="H844" i="1"/>
  <c r="H843" i="1"/>
  <c r="H842" i="1"/>
  <c r="H840" i="1"/>
  <c r="H839" i="1"/>
  <c r="H838" i="1"/>
  <c r="H835" i="1"/>
  <c r="H834" i="1"/>
  <c r="H832" i="1"/>
  <c r="H830" i="1"/>
  <c r="H829" i="1"/>
  <c r="H827" i="1"/>
  <c r="H825" i="1"/>
  <c r="H824" i="1"/>
  <c r="H823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8" i="1"/>
  <c r="H807" i="1"/>
  <c r="H799" i="1"/>
  <c r="H798" i="1"/>
  <c r="H797" i="1"/>
  <c r="H796" i="1"/>
  <c r="H795" i="1"/>
  <c r="H794" i="1"/>
  <c r="H792" i="1"/>
  <c r="H791" i="1"/>
  <c r="H790" i="1"/>
  <c r="H785" i="1"/>
  <c r="H783" i="1"/>
  <c r="H780" i="1"/>
  <c r="H779" i="1"/>
  <c r="H778" i="1"/>
  <c r="H776" i="1"/>
  <c r="H774" i="1"/>
  <c r="H772" i="1"/>
  <c r="H770" i="1"/>
  <c r="H769" i="1"/>
  <c r="H768" i="1"/>
  <c r="H767" i="1"/>
  <c r="H766" i="1"/>
  <c r="H765" i="1"/>
  <c r="H764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49" i="1"/>
  <c r="H745" i="1"/>
  <c r="H744" i="1"/>
  <c r="H743" i="1"/>
  <c r="H742" i="1"/>
  <c r="H740" i="1"/>
  <c r="H739" i="1"/>
  <c r="H737" i="1"/>
  <c r="H736" i="1"/>
  <c r="H735" i="1"/>
  <c r="H733" i="1"/>
  <c r="H732" i="1"/>
  <c r="H731" i="1"/>
  <c r="H730" i="1"/>
  <c r="H728" i="1"/>
  <c r="H727" i="1"/>
  <c r="H726" i="1"/>
  <c r="H723" i="1"/>
  <c r="H722" i="1"/>
  <c r="H717" i="1"/>
  <c r="H716" i="1"/>
  <c r="H715" i="1"/>
  <c r="H714" i="1"/>
  <c r="H713" i="1"/>
  <c r="H712" i="1"/>
  <c r="H710" i="1"/>
  <c r="H707" i="1"/>
  <c r="H706" i="1"/>
  <c r="H705" i="1"/>
  <c r="H704" i="1"/>
  <c r="H703" i="1"/>
  <c r="H702" i="1"/>
  <c r="H700" i="1"/>
  <c r="H699" i="1"/>
  <c r="H693" i="1"/>
  <c r="H692" i="1"/>
  <c r="H691" i="1"/>
  <c r="H690" i="1"/>
  <c r="H687" i="1"/>
  <c r="H685" i="1"/>
  <c r="H684" i="1"/>
  <c r="H682" i="1"/>
  <c r="H681" i="1"/>
  <c r="H680" i="1"/>
  <c r="H678" i="1"/>
  <c r="H677" i="1"/>
  <c r="H676" i="1"/>
  <c r="H673" i="1"/>
  <c r="H672" i="1"/>
  <c r="H671" i="1"/>
  <c r="H669" i="1"/>
  <c r="H668" i="1"/>
  <c r="H667" i="1"/>
  <c r="H666" i="1"/>
  <c r="H664" i="1"/>
  <c r="H663" i="1"/>
  <c r="H662" i="1"/>
  <c r="H661" i="1"/>
  <c r="H658" i="1"/>
  <c r="H657" i="1"/>
  <c r="H653" i="1"/>
  <c r="H652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3" i="1"/>
  <c r="H631" i="1"/>
  <c r="H630" i="1"/>
  <c r="H629" i="1"/>
  <c r="H628" i="1"/>
  <c r="H627" i="1"/>
  <c r="H626" i="1"/>
  <c r="H623" i="1"/>
  <c r="H622" i="1"/>
  <c r="H620" i="1"/>
  <c r="H617" i="1"/>
  <c r="H616" i="1"/>
  <c r="H615" i="1"/>
  <c r="H614" i="1"/>
  <c r="H613" i="1"/>
  <c r="H612" i="1"/>
  <c r="H611" i="1"/>
  <c r="H608" i="1"/>
  <c r="H605" i="1"/>
  <c r="H601" i="1"/>
  <c r="H600" i="1"/>
  <c r="H598" i="1"/>
  <c r="H596" i="1"/>
  <c r="H595" i="1"/>
  <c r="H594" i="1"/>
  <c r="H592" i="1"/>
  <c r="H591" i="1"/>
  <c r="H587" i="1"/>
  <c r="H586" i="1"/>
  <c r="H585" i="1"/>
  <c r="H584" i="1"/>
  <c r="H582" i="1"/>
  <c r="H581" i="1"/>
  <c r="H580" i="1"/>
  <c r="H576" i="1"/>
  <c r="H575" i="1"/>
  <c r="H574" i="1"/>
  <c r="H571" i="1"/>
  <c r="H570" i="1"/>
  <c r="H568" i="1"/>
  <c r="H567" i="1"/>
  <c r="H566" i="1"/>
  <c r="H564" i="1"/>
  <c r="H563" i="1"/>
  <c r="H562" i="1"/>
  <c r="H561" i="1"/>
  <c r="H560" i="1"/>
  <c r="H559" i="1"/>
  <c r="H558" i="1"/>
  <c r="H555" i="1"/>
  <c r="H553" i="1"/>
  <c r="H547" i="1"/>
  <c r="H546" i="1"/>
  <c r="H542" i="1"/>
  <c r="H541" i="1"/>
  <c r="H540" i="1"/>
  <c r="H533" i="1"/>
  <c r="H532" i="1"/>
  <c r="H531" i="1"/>
  <c r="H530" i="1"/>
  <c r="H529" i="1"/>
  <c r="H528" i="1"/>
  <c r="H526" i="1"/>
  <c r="H524" i="1"/>
  <c r="H522" i="1"/>
  <c r="H521" i="1"/>
  <c r="H520" i="1"/>
  <c r="H516" i="1"/>
  <c r="H515" i="1"/>
  <c r="H514" i="1"/>
  <c r="H513" i="1"/>
  <c r="H510" i="1"/>
  <c r="H509" i="1"/>
  <c r="H508" i="1"/>
  <c r="H506" i="1"/>
  <c r="H505" i="1"/>
  <c r="H504" i="1"/>
  <c r="H503" i="1"/>
  <c r="H498" i="1"/>
  <c r="H493" i="1"/>
  <c r="H489" i="1"/>
  <c r="H487" i="1"/>
  <c r="H486" i="1"/>
  <c r="H485" i="1"/>
  <c r="H484" i="1"/>
  <c r="H483" i="1"/>
  <c r="H479" i="1"/>
  <c r="H473" i="1"/>
  <c r="H472" i="1"/>
  <c r="H471" i="1"/>
  <c r="H468" i="1"/>
  <c r="H466" i="1"/>
  <c r="H465" i="1"/>
  <c r="H464" i="1"/>
  <c r="H463" i="1"/>
  <c r="H462" i="1"/>
  <c r="H461" i="1"/>
  <c r="H460" i="1"/>
  <c r="H459" i="1"/>
  <c r="H457" i="1"/>
  <c r="H456" i="1"/>
  <c r="H453" i="1"/>
  <c r="H452" i="1"/>
  <c r="H451" i="1"/>
  <c r="H450" i="1"/>
  <c r="H449" i="1"/>
  <c r="H447" i="1"/>
  <c r="H446" i="1"/>
  <c r="H444" i="1"/>
  <c r="H443" i="1"/>
  <c r="H442" i="1"/>
  <c r="H441" i="1"/>
  <c r="H437" i="1"/>
  <c r="H432" i="1"/>
  <c r="H431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2" i="1"/>
  <c r="H411" i="1"/>
  <c r="H410" i="1"/>
  <c r="H409" i="1"/>
  <c r="H407" i="1"/>
  <c r="H406" i="1"/>
  <c r="H405" i="1"/>
  <c r="H401" i="1"/>
  <c r="H400" i="1"/>
  <c r="H398" i="1"/>
  <c r="H394" i="1"/>
  <c r="H393" i="1"/>
  <c r="H392" i="1"/>
  <c r="H391" i="1"/>
  <c r="H386" i="1"/>
  <c r="H385" i="1"/>
  <c r="H384" i="1"/>
  <c r="H383" i="1"/>
  <c r="H382" i="1"/>
  <c r="H379" i="1"/>
  <c r="H378" i="1"/>
  <c r="H377" i="1"/>
  <c r="H376" i="1"/>
  <c r="H375" i="1"/>
  <c r="H374" i="1"/>
  <c r="H373" i="1"/>
  <c r="H372" i="1"/>
  <c r="H371" i="1"/>
  <c r="H370" i="1"/>
  <c r="H369" i="1"/>
  <c r="H367" i="1"/>
  <c r="H366" i="1"/>
  <c r="H364" i="1"/>
  <c r="H363" i="1"/>
  <c r="H362" i="1"/>
  <c r="H360" i="1"/>
  <c r="H359" i="1"/>
  <c r="H358" i="1"/>
  <c r="H350" i="1"/>
  <c r="H348" i="1"/>
  <c r="H346" i="1"/>
  <c r="H345" i="1"/>
  <c r="H344" i="1"/>
  <c r="H343" i="1"/>
  <c r="H342" i="1"/>
  <c r="H341" i="1"/>
  <c r="H340" i="1"/>
  <c r="H339" i="1"/>
  <c r="H338" i="1"/>
  <c r="H335" i="1"/>
  <c r="H333" i="1"/>
  <c r="H332" i="1"/>
  <c r="H330" i="1"/>
  <c r="H329" i="1"/>
  <c r="H328" i="1"/>
  <c r="H326" i="1"/>
  <c r="H325" i="1"/>
  <c r="H323" i="1"/>
  <c r="H322" i="1"/>
  <c r="H321" i="1"/>
  <c r="H320" i="1"/>
  <c r="H318" i="1"/>
  <c r="H317" i="1"/>
  <c r="H313" i="1"/>
  <c r="H312" i="1"/>
  <c r="H310" i="1"/>
  <c r="H309" i="1"/>
  <c r="H308" i="1"/>
  <c r="H306" i="1"/>
  <c r="H305" i="1"/>
  <c r="H304" i="1"/>
  <c r="H302" i="1"/>
  <c r="H301" i="1"/>
  <c r="H298" i="1"/>
  <c r="H297" i="1"/>
  <c r="H296" i="1"/>
  <c r="H294" i="1"/>
  <c r="H293" i="1"/>
  <c r="H292" i="1"/>
  <c r="H291" i="1"/>
  <c r="H289" i="1"/>
  <c r="H287" i="1"/>
  <c r="H286" i="1"/>
  <c r="H284" i="1"/>
  <c r="H283" i="1"/>
  <c r="H282" i="1"/>
  <c r="H280" i="1"/>
  <c r="H279" i="1"/>
  <c r="H278" i="1"/>
  <c r="H277" i="1"/>
  <c r="H276" i="1"/>
  <c r="H275" i="1"/>
  <c r="H274" i="1"/>
  <c r="H273" i="1"/>
  <c r="H271" i="1"/>
  <c r="H270" i="1"/>
  <c r="H269" i="1"/>
  <c r="H268" i="1"/>
  <c r="H267" i="1"/>
  <c r="H266" i="1"/>
  <c r="H264" i="1"/>
  <c r="H263" i="1"/>
  <c r="H260" i="1"/>
  <c r="H257" i="1"/>
  <c r="H256" i="1"/>
  <c r="H252" i="1"/>
  <c r="H250" i="1"/>
  <c r="H249" i="1"/>
  <c r="H248" i="1"/>
  <c r="H245" i="1"/>
  <c r="H244" i="1"/>
  <c r="H243" i="1"/>
  <c r="H242" i="1"/>
  <c r="H240" i="1"/>
  <c r="H239" i="1"/>
  <c r="H238" i="1"/>
  <c r="H237" i="1"/>
  <c r="H236" i="1"/>
  <c r="H234" i="1"/>
  <c r="H232" i="1"/>
  <c r="H230" i="1"/>
  <c r="H228" i="1"/>
  <c r="H226" i="1"/>
  <c r="H223" i="1"/>
  <c r="H222" i="1"/>
  <c r="H217" i="1"/>
  <c r="H216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0" i="1"/>
  <c r="H199" i="1"/>
  <c r="H198" i="1"/>
  <c r="H195" i="1"/>
  <c r="H194" i="1"/>
  <c r="H192" i="1"/>
  <c r="H190" i="1"/>
  <c r="H187" i="1"/>
  <c r="H186" i="1"/>
  <c r="H185" i="1"/>
  <c r="H179" i="1"/>
  <c r="H178" i="1"/>
  <c r="H177" i="1"/>
  <c r="H176" i="1"/>
  <c r="H175" i="1"/>
  <c r="H174" i="1"/>
  <c r="H173" i="1"/>
  <c r="H172" i="1"/>
  <c r="H169" i="1"/>
  <c r="H168" i="1"/>
  <c r="H167" i="1"/>
  <c r="H166" i="1"/>
  <c r="H164" i="1"/>
  <c r="H161" i="1"/>
  <c r="H159" i="1"/>
  <c r="H157" i="1"/>
  <c r="H155" i="1"/>
  <c r="H154" i="1"/>
  <c r="H153" i="1"/>
  <c r="H152" i="1"/>
  <c r="H151" i="1"/>
  <c r="H150" i="1"/>
  <c r="H148" i="1"/>
  <c r="H146" i="1"/>
  <c r="H145" i="1"/>
  <c r="H143" i="1"/>
  <c r="H142" i="1"/>
  <c r="H140" i="1"/>
  <c r="H139" i="1"/>
  <c r="H137" i="1"/>
  <c r="H133" i="1"/>
  <c r="H131" i="1"/>
  <c r="H130" i="1"/>
  <c r="H129" i="1"/>
  <c r="H127" i="1"/>
  <c r="H125" i="1"/>
  <c r="H123" i="1"/>
  <c r="H120" i="1"/>
  <c r="H119" i="1"/>
  <c r="H118" i="1"/>
  <c r="H117" i="1"/>
  <c r="H111" i="1"/>
  <c r="H110" i="1"/>
  <c r="H109" i="1"/>
  <c r="H108" i="1"/>
  <c r="H105" i="1"/>
  <c r="H104" i="1"/>
  <c r="H102" i="1"/>
  <c r="H101" i="1"/>
  <c r="H100" i="1"/>
  <c r="H98" i="1"/>
  <c r="H97" i="1"/>
  <c r="H96" i="1"/>
  <c r="H95" i="1"/>
  <c r="H94" i="1"/>
  <c r="H92" i="1"/>
  <c r="H90" i="1"/>
  <c r="H87" i="1"/>
  <c r="H86" i="1"/>
  <c r="H84" i="1"/>
  <c r="H83" i="1"/>
  <c r="H82" i="1"/>
  <c r="H81" i="1"/>
  <c r="H79" i="1"/>
  <c r="H77" i="1"/>
  <c r="H76" i="1"/>
  <c r="H75" i="1"/>
  <c r="H73" i="1"/>
  <c r="H71" i="1"/>
  <c r="H69" i="1"/>
  <c r="H67" i="1"/>
  <c r="H65" i="1"/>
  <c r="H64" i="1"/>
  <c r="H58" i="1"/>
  <c r="H57" i="1"/>
  <c r="H56" i="1"/>
  <c r="H54" i="1"/>
  <c r="H52" i="1"/>
  <c r="H50" i="1"/>
  <c r="H47" i="1"/>
  <c r="H46" i="1"/>
  <c r="H45" i="1"/>
  <c r="H44" i="1"/>
  <c r="H43" i="1"/>
  <c r="H42" i="1"/>
  <c r="H38" i="1"/>
  <c r="H36" i="1"/>
  <c r="H35" i="1"/>
  <c r="H34" i="1"/>
  <c r="H33" i="1"/>
  <c r="H32" i="1"/>
  <c r="H30" i="1"/>
  <c r="H29" i="1"/>
  <c r="H28" i="1"/>
  <c r="H26" i="1"/>
  <c r="H24" i="1"/>
  <c r="H22" i="1"/>
  <c r="H19" i="1"/>
  <c r="H18" i="1"/>
  <c r="H17" i="1"/>
  <c r="H16" i="1"/>
  <c r="H15" i="1"/>
  <c r="H11" i="1"/>
  <c r="H10" i="1"/>
  <c r="H8" i="1"/>
  <c r="H7" i="1"/>
  <c r="H4" i="1"/>
  <c r="H2" i="1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C2799" i="2"/>
  <c r="C2798" i="2"/>
  <c r="C2797" i="2"/>
  <c r="C2796" i="2"/>
  <c r="C2795" i="2"/>
  <c r="C2794" i="2"/>
  <c r="C2793" i="2"/>
  <c r="C2792" i="2"/>
  <c r="C2791" i="2"/>
  <c r="C2790" i="2"/>
  <c r="C2789" i="2"/>
  <c r="C2788" i="2"/>
  <c r="C2787" i="2"/>
  <c r="C2786" i="2"/>
  <c r="C2785" i="2"/>
  <c r="C2784" i="2"/>
  <c r="C2783" i="2"/>
  <c r="C2782" i="2"/>
  <c r="C2781" i="2"/>
  <c r="C2780" i="2"/>
  <c r="C2779" i="2"/>
  <c r="C2778" i="2"/>
  <c r="C2777" i="2"/>
  <c r="C2776" i="2"/>
  <c r="C2775" i="2"/>
  <c r="C2774" i="2"/>
  <c r="C2773" i="2"/>
  <c r="C2772" i="2"/>
  <c r="C2771" i="2"/>
  <c r="C2770" i="2"/>
  <c r="C2769" i="2"/>
  <c r="C2768" i="2"/>
  <c r="C2767" i="2"/>
  <c r="C2766" i="2"/>
  <c r="C2765" i="2"/>
  <c r="C2764" i="2"/>
  <c r="C2763" i="2"/>
  <c r="C2762" i="2"/>
  <c r="C2761" i="2"/>
  <c r="C2760" i="2"/>
  <c r="C2759" i="2"/>
  <c r="C2758" i="2"/>
  <c r="C2757" i="2"/>
  <c r="C2756" i="2"/>
  <c r="C2755" i="2"/>
  <c r="C2754" i="2"/>
  <c r="C2753" i="2"/>
  <c r="C2752" i="2"/>
  <c r="C2751" i="2"/>
  <c r="C2750" i="2"/>
  <c r="C2749" i="2"/>
  <c r="C2748" i="2"/>
  <c r="C2747" i="2"/>
  <c r="C2746" i="2"/>
  <c r="C2745" i="2"/>
  <c r="C2744" i="2"/>
  <c r="C2743" i="2"/>
  <c r="C2742" i="2"/>
  <c r="C2741" i="2"/>
  <c r="C2740" i="2"/>
  <c r="C2739" i="2"/>
  <c r="C2738" i="2"/>
  <c r="C2737" i="2"/>
  <c r="C2736" i="2"/>
  <c r="C2735" i="2"/>
  <c r="C2734" i="2"/>
  <c r="C2733" i="2"/>
  <c r="C2732" i="2"/>
  <c r="C2731" i="2"/>
  <c r="C2730" i="2"/>
  <c r="C2729" i="2"/>
  <c r="C2728" i="2"/>
  <c r="C2727" i="2"/>
  <c r="C2726" i="2"/>
  <c r="C2725" i="2"/>
  <c r="C2724" i="2"/>
  <c r="C2723" i="2"/>
  <c r="C2722" i="2"/>
  <c r="C2721" i="2"/>
  <c r="C2720" i="2"/>
  <c r="C2719" i="2"/>
  <c r="C2718" i="2"/>
  <c r="C2717" i="2"/>
  <c r="C2716" i="2"/>
  <c r="C2715" i="2"/>
  <c r="C2714" i="2"/>
  <c r="C2713" i="2"/>
  <c r="C2712" i="2"/>
  <c r="C2711" i="2"/>
  <c r="C2710" i="2"/>
  <c r="C2709" i="2"/>
  <c r="C2708" i="2"/>
  <c r="C2707" i="2"/>
  <c r="C2706" i="2"/>
  <c r="C2705" i="2"/>
  <c r="C2704" i="2"/>
  <c r="C2703" i="2"/>
  <c r="C2702" i="2"/>
  <c r="C2701" i="2"/>
  <c r="C2700" i="2"/>
  <c r="C2699" i="2"/>
  <c r="C2698" i="2"/>
  <c r="C2697" i="2"/>
  <c r="C2696" i="2"/>
  <c r="C2695" i="2"/>
  <c r="C2694" i="2"/>
  <c r="C2693" i="2"/>
  <c r="C2692" i="2"/>
  <c r="C2691" i="2"/>
  <c r="C2690" i="2"/>
  <c r="C2689" i="2"/>
  <c r="C2688" i="2"/>
  <c r="C2687" i="2"/>
  <c r="C2686" i="2"/>
  <c r="C2685" i="2"/>
  <c r="C2684" i="2"/>
  <c r="C2683" i="2"/>
  <c r="C2682" i="2"/>
  <c r="C2681" i="2"/>
  <c r="C2680" i="2"/>
  <c r="C2679" i="2"/>
  <c r="C2678" i="2"/>
  <c r="C2677" i="2"/>
  <c r="C2676" i="2"/>
  <c r="C2675" i="2"/>
  <c r="C2674" i="2"/>
  <c r="C2673" i="2"/>
  <c r="C2672" i="2"/>
  <c r="C2671" i="2"/>
  <c r="C2670" i="2"/>
  <c r="C2669" i="2"/>
  <c r="C2668" i="2"/>
  <c r="C2667" i="2"/>
  <c r="C2666" i="2"/>
  <c r="C2665" i="2"/>
  <c r="C2664" i="2"/>
  <c r="C2663" i="2"/>
  <c r="C2662" i="2"/>
  <c r="C2661" i="2"/>
  <c r="C2660" i="2"/>
  <c r="C2659" i="2"/>
  <c r="C2658" i="2"/>
  <c r="C2657" i="2"/>
  <c r="C2656" i="2"/>
  <c r="C2655" i="2"/>
  <c r="C2654" i="2"/>
  <c r="C2653" i="2"/>
  <c r="C2652" i="2"/>
  <c r="C2651" i="2"/>
  <c r="C2650" i="2"/>
  <c r="C2649" i="2"/>
  <c r="C2648" i="2"/>
  <c r="C2647" i="2"/>
  <c r="C2646" i="2"/>
  <c r="C2645" i="2"/>
  <c r="C2644" i="2"/>
  <c r="C2643" i="2"/>
  <c r="C2642" i="2"/>
  <c r="C2641" i="2"/>
  <c r="C2640" i="2"/>
  <c r="C2639" i="2"/>
  <c r="C2638" i="2"/>
  <c r="C2637" i="2"/>
  <c r="C2636" i="2"/>
  <c r="C2635" i="2"/>
  <c r="C2634" i="2"/>
  <c r="C2633" i="2"/>
  <c r="C2632" i="2"/>
  <c r="C2631" i="2"/>
  <c r="C2630" i="2"/>
  <c r="C2629" i="2"/>
  <c r="C2628" i="2"/>
  <c r="C2627" i="2"/>
  <c r="C2626" i="2"/>
  <c r="C2625" i="2"/>
  <c r="C2624" i="2"/>
  <c r="C2623" i="2"/>
  <c r="C2622" i="2"/>
  <c r="C2621" i="2"/>
  <c r="C2620" i="2"/>
  <c r="C2619" i="2"/>
  <c r="C2618" i="2"/>
  <c r="C2617" i="2"/>
  <c r="C2616" i="2"/>
  <c r="C2615" i="2"/>
  <c r="C2614" i="2"/>
  <c r="C2613" i="2"/>
  <c r="C2612" i="2"/>
  <c r="C2611" i="2"/>
  <c r="C2610" i="2"/>
  <c r="C2609" i="2"/>
  <c r="C2608" i="2"/>
  <c r="C2607" i="2"/>
  <c r="C2606" i="2"/>
  <c r="C2605" i="2"/>
  <c r="C2604" i="2"/>
  <c r="C2603" i="2"/>
  <c r="C2602" i="2"/>
  <c r="C2601" i="2"/>
  <c r="C2600" i="2"/>
  <c r="C2599" i="2"/>
  <c r="C2598" i="2"/>
  <c r="C2597" i="2"/>
  <c r="C2596" i="2"/>
  <c r="C2595" i="2"/>
  <c r="C2594" i="2"/>
  <c r="C2593" i="2"/>
  <c r="C2592" i="2"/>
  <c r="C2591" i="2"/>
  <c r="C2590" i="2"/>
  <c r="C2589" i="2"/>
  <c r="C2588" i="2"/>
  <c r="C2587" i="2"/>
  <c r="C2586" i="2"/>
  <c r="C2585" i="2"/>
  <c r="C2584" i="2"/>
  <c r="C2583" i="2"/>
  <c r="C2582" i="2"/>
  <c r="C2581" i="2"/>
  <c r="C2580" i="2"/>
  <c r="C2579" i="2"/>
  <c r="C2578" i="2"/>
  <c r="C2577" i="2"/>
  <c r="C2576" i="2"/>
  <c r="C2575" i="2"/>
  <c r="C2574" i="2"/>
  <c r="C2573" i="2"/>
  <c r="C2572" i="2"/>
  <c r="C2571" i="2"/>
  <c r="C2570" i="2"/>
  <c r="C2569" i="2"/>
  <c r="C2568" i="2"/>
  <c r="C2567" i="2"/>
  <c r="C2566" i="2"/>
  <c r="C2565" i="2"/>
  <c r="C2564" i="2"/>
  <c r="C2563" i="2"/>
  <c r="C2562" i="2"/>
  <c r="C2561" i="2"/>
  <c r="C2560" i="2"/>
  <c r="C2559" i="2"/>
  <c r="C2558" i="2"/>
  <c r="C2557" i="2"/>
  <c r="C2556" i="2"/>
  <c r="C2555" i="2"/>
  <c r="C2554" i="2"/>
  <c r="C2553" i="2"/>
  <c r="C2552" i="2"/>
  <c r="C2551" i="2"/>
  <c r="C2550" i="2"/>
  <c r="C2549" i="2"/>
  <c r="C2548" i="2"/>
  <c r="C2547" i="2"/>
  <c r="C2546" i="2"/>
  <c r="C2545" i="2"/>
  <c r="C2544" i="2"/>
  <c r="C2543" i="2"/>
  <c r="C2542" i="2"/>
  <c r="C2541" i="2"/>
  <c r="C2540" i="2"/>
  <c r="C2539" i="2"/>
  <c r="C2538" i="2"/>
  <c r="C2537" i="2"/>
  <c r="C2536" i="2"/>
  <c r="C2535" i="2"/>
  <c r="C2534" i="2"/>
  <c r="C2533" i="2"/>
  <c r="C2532" i="2"/>
  <c r="C2531" i="2"/>
  <c r="C2530" i="2"/>
  <c r="C2529" i="2"/>
  <c r="C2528" i="2"/>
  <c r="C2527" i="2"/>
  <c r="C2526" i="2"/>
  <c r="C2525" i="2"/>
  <c r="C2524" i="2"/>
  <c r="C2523" i="2"/>
  <c r="C2522" i="2"/>
  <c r="C2521" i="2"/>
  <c r="C2520" i="2"/>
  <c r="C2519" i="2"/>
  <c r="C2518" i="2"/>
  <c r="C2517" i="2"/>
  <c r="C2516" i="2"/>
  <c r="C2515" i="2"/>
  <c r="C2514" i="2"/>
  <c r="C2513" i="2"/>
  <c r="C2512" i="2"/>
  <c r="C2511" i="2"/>
  <c r="C2510" i="2"/>
  <c r="C2509" i="2"/>
  <c r="C2508" i="2"/>
  <c r="C2507" i="2"/>
  <c r="C2506" i="2"/>
  <c r="C2505" i="2"/>
  <c r="C2504" i="2"/>
  <c r="C2503" i="2"/>
  <c r="C2502" i="2"/>
  <c r="C2501" i="2"/>
  <c r="C2500" i="2"/>
  <c r="C2499" i="2"/>
  <c r="C2498" i="2"/>
  <c r="C2497" i="2"/>
  <c r="C2496" i="2"/>
  <c r="C2495" i="2"/>
  <c r="C2494" i="2"/>
  <c r="C2493" i="2"/>
  <c r="C2492" i="2"/>
  <c r="C2491" i="2"/>
  <c r="C2490" i="2"/>
  <c r="C2489" i="2"/>
  <c r="C2488" i="2"/>
  <c r="C2487" i="2"/>
  <c r="C2486" i="2"/>
  <c r="C2485" i="2"/>
  <c r="C2484" i="2"/>
  <c r="C2483" i="2"/>
  <c r="C2482" i="2"/>
  <c r="C2481" i="2"/>
  <c r="C2480" i="2"/>
  <c r="C2479" i="2"/>
  <c r="C2478" i="2"/>
  <c r="C2477" i="2"/>
  <c r="C2476" i="2"/>
  <c r="C2475" i="2"/>
  <c r="C2474" i="2"/>
  <c r="C2473" i="2"/>
  <c r="C2472" i="2"/>
  <c r="C2471" i="2"/>
  <c r="C2470" i="2"/>
  <c r="C2469" i="2"/>
  <c r="C2468" i="2"/>
  <c r="C2467" i="2"/>
  <c r="C2466" i="2"/>
  <c r="C2465" i="2"/>
  <c r="C2464" i="2"/>
  <c r="C2463" i="2"/>
  <c r="C2462" i="2"/>
  <c r="C2461" i="2"/>
  <c r="C2460" i="2"/>
  <c r="C2459" i="2"/>
  <c r="C2458" i="2"/>
  <c r="C2457" i="2"/>
  <c r="C2456" i="2"/>
  <c r="C2455" i="2"/>
  <c r="C2454" i="2"/>
  <c r="C2453" i="2"/>
  <c r="C2452" i="2"/>
  <c r="C2451" i="2"/>
  <c r="C2450" i="2"/>
  <c r="C2449" i="2"/>
  <c r="C2448" i="2"/>
  <c r="C2447" i="2"/>
  <c r="C2446" i="2"/>
  <c r="C2445" i="2"/>
  <c r="C2444" i="2"/>
  <c r="C2443" i="2"/>
  <c r="C2442" i="2"/>
  <c r="C2441" i="2"/>
  <c r="C2440" i="2"/>
  <c r="C2439" i="2"/>
  <c r="C2438" i="2"/>
  <c r="C2437" i="2"/>
  <c r="C2436" i="2"/>
  <c r="C2435" i="2"/>
  <c r="C2434" i="2"/>
  <c r="C2433" i="2"/>
  <c r="C2432" i="2"/>
  <c r="C2431" i="2"/>
  <c r="C2430" i="2"/>
  <c r="C2429" i="2"/>
  <c r="C2428" i="2"/>
  <c r="C2427" i="2"/>
  <c r="C2426" i="2"/>
  <c r="C2425" i="2"/>
  <c r="C2424" i="2"/>
  <c r="C2423" i="2"/>
  <c r="C2422" i="2"/>
  <c r="C2421" i="2"/>
  <c r="C2420" i="2"/>
  <c r="C2419" i="2"/>
  <c r="C2418" i="2"/>
  <c r="C2417" i="2"/>
  <c r="C2416" i="2"/>
  <c r="C2415" i="2"/>
  <c r="C2414" i="2"/>
  <c r="C2413" i="2"/>
  <c r="C2412" i="2"/>
  <c r="C2411" i="2"/>
  <c r="C2410" i="2"/>
  <c r="C2409" i="2"/>
  <c r="C2408" i="2"/>
  <c r="C2407" i="2"/>
  <c r="C2406" i="2"/>
  <c r="C2405" i="2"/>
  <c r="C2404" i="2"/>
  <c r="C2403" i="2"/>
  <c r="C2402" i="2"/>
  <c r="C2401" i="2"/>
  <c r="C2400" i="2"/>
  <c r="C2399" i="2"/>
  <c r="C2398" i="2"/>
  <c r="C2397" i="2"/>
  <c r="C2396" i="2"/>
  <c r="C2395" i="2"/>
  <c r="C2394" i="2"/>
  <c r="C2393" i="2"/>
  <c r="C2392" i="2"/>
  <c r="C2391" i="2"/>
  <c r="C2390" i="2"/>
  <c r="C2389" i="2"/>
  <c r="C2388" i="2"/>
  <c r="C2387" i="2"/>
  <c r="C2386" i="2"/>
  <c r="C2385" i="2"/>
  <c r="C2384" i="2"/>
  <c r="C2383" i="2"/>
  <c r="C2382" i="2"/>
  <c r="C2381" i="2"/>
  <c r="C2380" i="2"/>
  <c r="C2379" i="2"/>
  <c r="C2378" i="2"/>
  <c r="C2377" i="2"/>
  <c r="C2376" i="2"/>
  <c r="C2375" i="2"/>
  <c r="C2374" i="2"/>
  <c r="C2373" i="2"/>
  <c r="C2372" i="2"/>
  <c r="C2371" i="2"/>
  <c r="C2370" i="2"/>
  <c r="C2369" i="2"/>
  <c r="C2368" i="2"/>
  <c r="C2367" i="2"/>
  <c r="C2366" i="2"/>
  <c r="C2365" i="2"/>
  <c r="C2364" i="2"/>
  <c r="C2363" i="2"/>
  <c r="C2362" i="2"/>
  <c r="C2361" i="2"/>
  <c r="C2360" i="2"/>
  <c r="C2359" i="2"/>
  <c r="C2358" i="2"/>
  <c r="C2357" i="2"/>
  <c r="C2356" i="2"/>
  <c r="C2355" i="2"/>
  <c r="C2354" i="2"/>
  <c r="C2353" i="2"/>
  <c r="C2352" i="2"/>
  <c r="C2351" i="2"/>
  <c r="C2350" i="2"/>
  <c r="C2349" i="2"/>
  <c r="C2348" i="2"/>
  <c r="C2347" i="2"/>
  <c r="C2346" i="2"/>
  <c r="C2345" i="2"/>
  <c r="C2344" i="2"/>
  <c r="C2343" i="2"/>
  <c r="C2342" i="2"/>
  <c r="C2341" i="2"/>
  <c r="C2340" i="2"/>
  <c r="C2339" i="2"/>
  <c r="C2338" i="2"/>
  <c r="C2337" i="2"/>
  <c r="C2336" i="2"/>
  <c r="C2335" i="2"/>
  <c r="C2334" i="2"/>
  <c r="C2333" i="2"/>
  <c r="C2332" i="2"/>
  <c r="C2331" i="2"/>
  <c r="C2330" i="2"/>
  <c r="C2329" i="2"/>
  <c r="C2328" i="2"/>
  <c r="C2327" i="2"/>
  <c r="C2326" i="2"/>
  <c r="C2325" i="2"/>
  <c r="C2324" i="2"/>
  <c r="C2323" i="2"/>
  <c r="C2322" i="2"/>
  <c r="C2321" i="2"/>
  <c r="C2320" i="2"/>
  <c r="C2319" i="2"/>
  <c r="C2318" i="2"/>
  <c r="C2317" i="2"/>
  <c r="C2316" i="2"/>
  <c r="C2315" i="2"/>
  <c r="C2314" i="2"/>
  <c r="C2313" i="2"/>
  <c r="C2312" i="2"/>
  <c r="C2311" i="2"/>
  <c r="C2310" i="2"/>
  <c r="C2309" i="2"/>
  <c r="C2308" i="2"/>
  <c r="C2307" i="2"/>
  <c r="C2306" i="2"/>
  <c r="C2305" i="2"/>
  <c r="C2304" i="2"/>
  <c r="C2303" i="2"/>
  <c r="C2302" i="2"/>
  <c r="C2301" i="2"/>
  <c r="C2300" i="2"/>
  <c r="C2299" i="2"/>
  <c r="C2298" i="2"/>
  <c r="C2297" i="2"/>
  <c r="C2296" i="2"/>
  <c r="C2295" i="2"/>
  <c r="C2294" i="2"/>
  <c r="C2293" i="2"/>
  <c r="C2292" i="2"/>
  <c r="C2291" i="2"/>
  <c r="C2290" i="2"/>
  <c r="C2289" i="2"/>
  <c r="C2288" i="2"/>
  <c r="C2287" i="2"/>
  <c r="C2286" i="2"/>
  <c r="C2285" i="2"/>
  <c r="C2284" i="2"/>
  <c r="C2283" i="2"/>
  <c r="C2282" i="2"/>
  <c r="C2281" i="2"/>
  <c r="C2280" i="2"/>
  <c r="C2279" i="2"/>
  <c r="C2278" i="2"/>
  <c r="C2277" i="2"/>
  <c r="C2276" i="2"/>
  <c r="C2275" i="2"/>
  <c r="C2274" i="2"/>
  <c r="C2273" i="2"/>
  <c r="C2272" i="2"/>
  <c r="C2271" i="2"/>
  <c r="C2270" i="2"/>
  <c r="C2269" i="2"/>
  <c r="C2268" i="2"/>
  <c r="C2267" i="2"/>
  <c r="C2266" i="2"/>
  <c r="C2265" i="2"/>
  <c r="C2264" i="2"/>
  <c r="C2263" i="2"/>
  <c r="C2262" i="2"/>
  <c r="C2261" i="2"/>
  <c r="C2260" i="2"/>
  <c r="C2259" i="2"/>
  <c r="C2258" i="2"/>
  <c r="C2257" i="2"/>
  <c r="C2256" i="2"/>
  <c r="C2255" i="2"/>
  <c r="C2254" i="2"/>
  <c r="C2253" i="2"/>
  <c r="C2252" i="2"/>
  <c r="C2251" i="2"/>
  <c r="C2250" i="2"/>
  <c r="C2249" i="2"/>
  <c r="C2248" i="2"/>
  <c r="C2247" i="2"/>
  <c r="C2246" i="2"/>
  <c r="C2245" i="2"/>
  <c r="C2244" i="2"/>
  <c r="C2243" i="2"/>
  <c r="C2242" i="2"/>
  <c r="C2241" i="2"/>
  <c r="C2240" i="2"/>
  <c r="C2239" i="2"/>
  <c r="C2238" i="2"/>
  <c r="C2237" i="2"/>
  <c r="C2236" i="2"/>
  <c r="C2235" i="2"/>
  <c r="C2234" i="2"/>
  <c r="C2233" i="2"/>
  <c r="C2232" i="2"/>
  <c r="C2231" i="2"/>
  <c r="C2230" i="2"/>
  <c r="C2229" i="2"/>
  <c r="C2228" i="2"/>
  <c r="C2227" i="2"/>
  <c r="C2226" i="2"/>
  <c r="C2225" i="2"/>
  <c r="C2224" i="2"/>
  <c r="C2223" i="2"/>
  <c r="C2222" i="2"/>
  <c r="C2221" i="2"/>
  <c r="C2220" i="2"/>
  <c r="C2219" i="2"/>
  <c r="C2218" i="2"/>
  <c r="C2217" i="2"/>
  <c r="C2216" i="2"/>
  <c r="C2215" i="2"/>
  <c r="C2214" i="2"/>
  <c r="C2213" i="2"/>
  <c r="C2212" i="2"/>
  <c r="C2211" i="2"/>
  <c r="C2210" i="2"/>
  <c r="C2209" i="2"/>
  <c r="C2208" i="2"/>
  <c r="C2207" i="2"/>
  <c r="C2206" i="2"/>
  <c r="C2205" i="2"/>
  <c r="C2204" i="2"/>
  <c r="C2203" i="2"/>
  <c r="C2202" i="2"/>
  <c r="C2201" i="2"/>
  <c r="C2200" i="2"/>
  <c r="C2199" i="2"/>
  <c r="C2198" i="2"/>
  <c r="C2197" i="2"/>
  <c r="C2196" i="2"/>
  <c r="C2195" i="2"/>
  <c r="C2194" i="2"/>
  <c r="C2193" i="2"/>
  <c r="C2192" i="2"/>
  <c r="C2191" i="2"/>
  <c r="C2190" i="2"/>
  <c r="C2189" i="2"/>
  <c r="C2188" i="2"/>
  <c r="C2187" i="2"/>
  <c r="C2186" i="2"/>
  <c r="C2185" i="2"/>
  <c r="C2184" i="2"/>
  <c r="C2183" i="2"/>
  <c r="C2182" i="2"/>
  <c r="C2181" i="2"/>
  <c r="C2180" i="2"/>
  <c r="C2179" i="2"/>
  <c r="C2178" i="2"/>
  <c r="C2177" i="2"/>
  <c r="C2176" i="2"/>
  <c r="C2175" i="2"/>
  <c r="C2174" i="2"/>
  <c r="C2173" i="2"/>
  <c r="C2172" i="2"/>
  <c r="C2171" i="2"/>
  <c r="C2170" i="2"/>
  <c r="C2169" i="2"/>
  <c r="C2168" i="2"/>
  <c r="C2167" i="2"/>
  <c r="C2166" i="2"/>
  <c r="C2165" i="2"/>
  <c r="C2164" i="2"/>
  <c r="C2163" i="2"/>
  <c r="C2162" i="2"/>
  <c r="C2161" i="2"/>
  <c r="C2160" i="2"/>
  <c r="C2159" i="2"/>
  <c r="C2158" i="2"/>
  <c r="C2157" i="2"/>
  <c r="C2156" i="2"/>
  <c r="C2155" i="2"/>
  <c r="C2154" i="2"/>
  <c r="C2153" i="2"/>
  <c r="C2152" i="2"/>
  <c r="C2151" i="2"/>
  <c r="C2150" i="2"/>
  <c r="C2149" i="2"/>
  <c r="C2148" i="2"/>
  <c r="C2147" i="2"/>
  <c r="C2146" i="2"/>
  <c r="C2145" i="2"/>
  <c r="C2144" i="2"/>
  <c r="C2143" i="2"/>
  <c r="C2142" i="2"/>
  <c r="C2141" i="2"/>
  <c r="C2140" i="2"/>
  <c r="C2139" i="2"/>
  <c r="C2138" i="2"/>
  <c r="C2137" i="2"/>
  <c r="C2136" i="2"/>
  <c r="C2135" i="2"/>
  <c r="C2134" i="2"/>
  <c r="C2133" i="2"/>
  <c r="C2132" i="2"/>
  <c r="C2131" i="2"/>
  <c r="C2130" i="2"/>
  <c r="C2129" i="2"/>
  <c r="C2128" i="2"/>
  <c r="C2127" i="2"/>
  <c r="C2126" i="2"/>
  <c r="C2125" i="2"/>
  <c r="C2124" i="2"/>
  <c r="C2123" i="2"/>
  <c r="C2122" i="2"/>
  <c r="C2121" i="2"/>
  <c r="C2120" i="2"/>
  <c r="C2119" i="2"/>
  <c r="C2118" i="2"/>
  <c r="C2117" i="2"/>
  <c r="C2116" i="2"/>
  <c r="C2115" i="2"/>
  <c r="C2114" i="2"/>
  <c r="C2113" i="2"/>
  <c r="C2112" i="2"/>
  <c r="C2111" i="2"/>
  <c r="C2110" i="2"/>
  <c r="C2109" i="2"/>
  <c r="C2108" i="2"/>
  <c r="C2107" i="2"/>
  <c r="C2106" i="2"/>
  <c r="C2105" i="2"/>
  <c r="C2104" i="2"/>
  <c r="C2103" i="2"/>
  <c r="C2102" i="2"/>
  <c r="C2101" i="2"/>
  <c r="C2100" i="2"/>
  <c r="C2099" i="2"/>
  <c r="C2098" i="2"/>
  <c r="C2097" i="2"/>
  <c r="C2096" i="2"/>
  <c r="C2095" i="2"/>
  <c r="C2094" i="2"/>
  <c r="C2093" i="2"/>
  <c r="C2092" i="2"/>
  <c r="C2091" i="2"/>
  <c r="C2090" i="2"/>
  <c r="C2089" i="2"/>
  <c r="C2088" i="2"/>
  <c r="C2087" i="2"/>
  <c r="C2086" i="2"/>
  <c r="C2085" i="2"/>
  <c r="C2084" i="2"/>
  <c r="C2083" i="2"/>
  <c r="C2082" i="2"/>
  <c r="C2081" i="2"/>
  <c r="C2080" i="2"/>
  <c r="C2079" i="2"/>
  <c r="C2078" i="2"/>
  <c r="C2077" i="2"/>
  <c r="C2076" i="2"/>
  <c r="C2075" i="2"/>
  <c r="C2074" i="2"/>
  <c r="C2073" i="2"/>
  <c r="C2072" i="2"/>
  <c r="C2071" i="2"/>
  <c r="C2070" i="2"/>
  <c r="C2069" i="2"/>
  <c r="C2068" i="2"/>
  <c r="C2067" i="2"/>
  <c r="C2066" i="2"/>
  <c r="C2065" i="2"/>
  <c r="C2064" i="2"/>
  <c r="C2063" i="2"/>
  <c r="C2062" i="2"/>
  <c r="C2061" i="2"/>
  <c r="C2060" i="2"/>
  <c r="C2059" i="2"/>
  <c r="C2058" i="2"/>
  <c r="C2057" i="2"/>
  <c r="C2056" i="2"/>
  <c r="C2055" i="2"/>
  <c r="C2054" i="2"/>
  <c r="C2053" i="2"/>
  <c r="C2052" i="2"/>
  <c r="C2051" i="2"/>
  <c r="C2050" i="2"/>
  <c r="C2049" i="2"/>
  <c r="C2048" i="2"/>
  <c r="C2047" i="2"/>
  <c r="C2046" i="2"/>
  <c r="C2045" i="2"/>
  <c r="C2044" i="2"/>
  <c r="C2043" i="2"/>
  <c r="C2042" i="2"/>
  <c r="C2041" i="2"/>
  <c r="C2040" i="2"/>
  <c r="C2039" i="2"/>
  <c r="C2038" i="2"/>
  <c r="C2037" i="2"/>
  <c r="C2036" i="2"/>
  <c r="C2035" i="2"/>
  <c r="C2034" i="2"/>
  <c r="C2033" i="2"/>
  <c r="C2032" i="2"/>
  <c r="C2031" i="2"/>
  <c r="C2030" i="2"/>
  <c r="C2029" i="2"/>
  <c r="C2028" i="2"/>
  <c r="C2027" i="2"/>
  <c r="C2026" i="2"/>
  <c r="C2025" i="2"/>
  <c r="C2024" i="2"/>
  <c r="C2023" i="2"/>
  <c r="C2022" i="2"/>
  <c r="C2021" i="2"/>
  <c r="C2020" i="2"/>
  <c r="C2019" i="2"/>
  <c r="C2018" i="2"/>
  <c r="C2017" i="2"/>
  <c r="C2016" i="2"/>
  <c r="C2015" i="2"/>
  <c r="C2014" i="2"/>
  <c r="C2013" i="2"/>
  <c r="C2012" i="2"/>
  <c r="C2011" i="2"/>
  <c r="C2010" i="2"/>
  <c r="C2009" i="2"/>
  <c r="C2008" i="2"/>
  <c r="C2007" i="2"/>
  <c r="C2006" i="2"/>
  <c r="C2005" i="2"/>
  <c r="C2004" i="2"/>
  <c r="C2003" i="2"/>
  <c r="C2002" i="2"/>
  <c r="C2001" i="2"/>
  <c r="C2000" i="2"/>
  <c r="C1999" i="2"/>
  <c r="C1998" i="2"/>
  <c r="C1997" i="2"/>
  <c r="C1996" i="2"/>
  <c r="C1995" i="2"/>
  <c r="C1994" i="2"/>
  <c r="C1993" i="2"/>
  <c r="C1992" i="2"/>
  <c r="C1991" i="2"/>
  <c r="C1990" i="2"/>
  <c r="C1989" i="2"/>
  <c r="C1988" i="2"/>
  <c r="C1987" i="2"/>
  <c r="C1986" i="2"/>
  <c r="C1985" i="2"/>
  <c r="C1984" i="2"/>
  <c r="C1983" i="2"/>
  <c r="C1982" i="2"/>
  <c r="C1981" i="2"/>
  <c r="C1980" i="2"/>
  <c r="C1979" i="2"/>
  <c r="C1978" i="2"/>
  <c r="C1977" i="2"/>
  <c r="C1976" i="2"/>
  <c r="C1975" i="2"/>
  <c r="C1974" i="2"/>
  <c r="C1973" i="2"/>
  <c r="C1972" i="2"/>
  <c r="C1971" i="2"/>
  <c r="C1970" i="2"/>
  <c r="C1969" i="2"/>
  <c r="C1968" i="2"/>
  <c r="C1967" i="2"/>
  <c r="C1966" i="2"/>
  <c r="C1965" i="2"/>
  <c r="C1964" i="2"/>
  <c r="C1963" i="2"/>
  <c r="C1962" i="2"/>
  <c r="C1961" i="2"/>
  <c r="C1960" i="2"/>
  <c r="C1959" i="2"/>
  <c r="C1958" i="2"/>
  <c r="C1957" i="2"/>
  <c r="C1956" i="2"/>
  <c r="C1955" i="2"/>
  <c r="C1954" i="2"/>
  <c r="C1953" i="2"/>
  <c r="C1952" i="2"/>
  <c r="C1951" i="2"/>
  <c r="C1950" i="2"/>
  <c r="C1949" i="2"/>
  <c r="C1948" i="2"/>
  <c r="C1947" i="2"/>
  <c r="C1946" i="2"/>
  <c r="C1945" i="2"/>
  <c r="C1944" i="2"/>
  <c r="C1943" i="2"/>
  <c r="C1942" i="2"/>
  <c r="C1941" i="2"/>
  <c r="C1940" i="2"/>
  <c r="C1939" i="2"/>
  <c r="C1938" i="2"/>
  <c r="C1937" i="2"/>
  <c r="C1936" i="2"/>
  <c r="C1935" i="2"/>
  <c r="C1934" i="2"/>
  <c r="C1933" i="2"/>
  <c r="C1932" i="2"/>
  <c r="C1931" i="2"/>
  <c r="C1930" i="2"/>
  <c r="C1929" i="2"/>
  <c r="C1928" i="2"/>
  <c r="C1927" i="2"/>
  <c r="C1926" i="2"/>
  <c r="C1925" i="2"/>
  <c r="C1924" i="2"/>
  <c r="C1923" i="2"/>
  <c r="C1922" i="2"/>
  <c r="C1921" i="2"/>
  <c r="C1920" i="2"/>
  <c r="C1919" i="2"/>
  <c r="C1918" i="2"/>
  <c r="C1917" i="2"/>
  <c r="C1916" i="2"/>
  <c r="C1915" i="2"/>
  <c r="C1914" i="2"/>
  <c r="C1913" i="2"/>
  <c r="C1912" i="2"/>
  <c r="C1911" i="2"/>
  <c r="C1910" i="2"/>
  <c r="C1909" i="2"/>
  <c r="C1908" i="2"/>
  <c r="C1907" i="2"/>
  <c r="C1906" i="2"/>
  <c r="C1905" i="2"/>
  <c r="C1904" i="2"/>
  <c r="C1903" i="2"/>
  <c r="C1902" i="2"/>
  <c r="C1901" i="2"/>
  <c r="C1900" i="2"/>
  <c r="C1899" i="2"/>
  <c r="C1898" i="2"/>
  <c r="C1897" i="2"/>
  <c r="C1896" i="2"/>
  <c r="C1895" i="2"/>
  <c r="C1894" i="2"/>
  <c r="C1893" i="2"/>
  <c r="C1892" i="2"/>
  <c r="C1891" i="2"/>
  <c r="C1890" i="2"/>
  <c r="C1889" i="2"/>
  <c r="C1888" i="2"/>
  <c r="C1887" i="2"/>
  <c r="C1886" i="2"/>
  <c r="C1885" i="2"/>
  <c r="C1884" i="2"/>
  <c r="C1883" i="2"/>
  <c r="C1882" i="2"/>
  <c r="C1881" i="2"/>
  <c r="C1880" i="2"/>
  <c r="C1879" i="2"/>
  <c r="C1878" i="2"/>
  <c r="C1877" i="2"/>
  <c r="C1876" i="2"/>
  <c r="C1875" i="2"/>
  <c r="C1874" i="2"/>
  <c r="C1873" i="2"/>
  <c r="C1872" i="2"/>
  <c r="C1871" i="2"/>
  <c r="C1870" i="2"/>
  <c r="C1869" i="2"/>
  <c r="C1868" i="2"/>
  <c r="C1867" i="2"/>
  <c r="C1866" i="2"/>
  <c r="C1865" i="2"/>
  <c r="C1864" i="2"/>
  <c r="C1863" i="2"/>
  <c r="C1862" i="2"/>
  <c r="C1861" i="2"/>
  <c r="C1860" i="2"/>
  <c r="C1859" i="2"/>
  <c r="C1858" i="2"/>
  <c r="C1857" i="2"/>
  <c r="C1856" i="2"/>
  <c r="C1855" i="2"/>
  <c r="C1854" i="2"/>
  <c r="C1853" i="2"/>
  <c r="C1852" i="2"/>
  <c r="C1851" i="2"/>
  <c r="C1850" i="2"/>
  <c r="C1849" i="2"/>
  <c r="C1848" i="2"/>
  <c r="C1847" i="2"/>
  <c r="C1846" i="2"/>
  <c r="C1845" i="2"/>
  <c r="C1844" i="2"/>
  <c r="C1843" i="2"/>
  <c r="C1842" i="2"/>
  <c r="C1841" i="2"/>
  <c r="C1840" i="2"/>
  <c r="C1839" i="2"/>
  <c r="C1838" i="2"/>
  <c r="C1837" i="2"/>
  <c r="C1836" i="2"/>
  <c r="C1835" i="2"/>
  <c r="C1834" i="2"/>
  <c r="C1833" i="2"/>
  <c r="C1832" i="2"/>
  <c r="C1831" i="2"/>
  <c r="C1830" i="2"/>
  <c r="C1829" i="2"/>
  <c r="C1828" i="2"/>
  <c r="C1827" i="2"/>
  <c r="C1826" i="2"/>
  <c r="C1825" i="2"/>
  <c r="C1824" i="2"/>
  <c r="C1823" i="2"/>
  <c r="C1822" i="2"/>
  <c r="C1821" i="2"/>
  <c r="C1820" i="2"/>
  <c r="C1819" i="2"/>
  <c r="C1818" i="2"/>
  <c r="C1817" i="2"/>
  <c r="C1816" i="2"/>
  <c r="C1815" i="2"/>
  <c r="C1814" i="2"/>
  <c r="C1813" i="2"/>
  <c r="C1812" i="2"/>
  <c r="C1811" i="2"/>
  <c r="C1810" i="2"/>
  <c r="C1809" i="2"/>
  <c r="C1808" i="2"/>
  <c r="C1807" i="2"/>
  <c r="C1806" i="2"/>
  <c r="C1805" i="2"/>
  <c r="C1804" i="2"/>
  <c r="C1803" i="2"/>
  <c r="C1802" i="2"/>
  <c r="C1801" i="2"/>
  <c r="C1800" i="2"/>
  <c r="C1799" i="2"/>
  <c r="C1798" i="2"/>
  <c r="C1797" i="2"/>
  <c r="C1796" i="2"/>
  <c r="C1795" i="2"/>
  <c r="C1794" i="2"/>
  <c r="C1793" i="2"/>
  <c r="C1792" i="2"/>
  <c r="C1791" i="2"/>
  <c r="C1790" i="2"/>
  <c r="C1789" i="2"/>
  <c r="C1788" i="2"/>
  <c r="C1787" i="2"/>
  <c r="C1786" i="2"/>
  <c r="C1785" i="2"/>
  <c r="C1784" i="2"/>
  <c r="C1783" i="2"/>
  <c r="C1782" i="2"/>
  <c r="C1781" i="2"/>
  <c r="C1780" i="2"/>
  <c r="C1779" i="2"/>
  <c r="C1778" i="2"/>
  <c r="C1777" i="2"/>
  <c r="C1776" i="2"/>
  <c r="C1775" i="2"/>
  <c r="C1774" i="2"/>
  <c r="C1773" i="2"/>
  <c r="C1772" i="2"/>
  <c r="C1771" i="2"/>
  <c r="C1770" i="2"/>
  <c r="C1769" i="2"/>
  <c r="C1768" i="2"/>
  <c r="C1767" i="2"/>
  <c r="C1766" i="2"/>
  <c r="C1765" i="2"/>
  <c r="C1764" i="2"/>
  <c r="C1763" i="2"/>
  <c r="C1762" i="2"/>
  <c r="C1761" i="2"/>
  <c r="C1760" i="2"/>
  <c r="C1759" i="2"/>
  <c r="C1758" i="2"/>
  <c r="C1757" i="2"/>
  <c r="C1756" i="2"/>
  <c r="C1755" i="2"/>
  <c r="C1754" i="2"/>
  <c r="C1753" i="2"/>
  <c r="C1752" i="2"/>
  <c r="C1751" i="2"/>
  <c r="C1750" i="2"/>
  <c r="C1749" i="2"/>
  <c r="C1748" i="2"/>
  <c r="C1747" i="2"/>
  <c r="C1746" i="2"/>
  <c r="C1745" i="2"/>
  <c r="C1744" i="2"/>
  <c r="C1743" i="2"/>
  <c r="C1742" i="2"/>
  <c r="C1741" i="2"/>
  <c r="C1740" i="2"/>
  <c r="C1739" i="2"/>
  <c r="C1738" i="2"/>
  <c r="C1737" i="2"/>
  <c r="C1736" i="2"/>
  <c r="C1735" i="2"/>
  <c r="C1734" i="2"/>
  <c r="C1733" i="2"/>
  <c r="C1732" i="2"/>
  <c r="C1731" i="2"/>
  <c r="C1730" i="2"/>
  <c r="C1729" i="2"/>
  <c r="C1728" i="2"/>
  <c r="C1727" i="2"/>
  <c r="C1726" i="2"/>
  <c r="C1725" i="2"/>
  <c r="C1724" i="2"/>
  <c r="C1723" i="2"/>
  <c r="C1722" i="2"/>
  <c r="C1721" i="2"/>
  <c r="C1720" i="2"/>
  <c r="C1719" i="2"/>
  <c r="C1718" i="2"/>
  <c r="C1717" i="2"/>
  <c r="C1716" i="2"/>
  <c r="C1715" i="2"/>
  <c r="C1714" i="2"/>
  <c r="C1713" i="2"/>
  <c r="C1712" i="2"/>
  <c r="C1711" i="2"/>
  <c r="C1710" i="2"/>
  <c r="C1709" i="2"/>
  <c r="C1708" i="2"/>
  <c r="C1707" i="2"/>
  <c r="C1706" i="2"/>
  <c r="C1705" i="2"/>
  <c r="C1704" i="2"/>
  <c r="C1703" i="2"/>
  <c r="C1702" i="2"/>
  <c r="C1701" i="2"/>
  <c r="C1700" i="2"/>
  <c r="C1699" i="2"/>
  <c r="C1698" i="2"/>
  <c r="C1697" i="2"/>
  <c r="C1696" i="2"/>
  <c r="C1695" i="2"/>
  <c r="C1694" i="2"/>
  <c r="C1693" i="2"/>
  <c r="C1692" i="2"/>
  <c r="C1691" i="2"/>
  <c r="C1690" i="2"/>
  <c r="C1689" i="2"/>
  <c r="C1688" i="2"/>
  <c r="C1687" i="2"/>
  <c r="C1686" i="2"/>
  <c r="C1685" i="2"/>
  <c r="C1684" i="2"/>
  <c r="C1683" i="2"/>
  <c r="C1682" i="2"/>
  <c r="C1681" i="2"/>
  <c r="C1680" i="2"/>
  <c r="C1679" i="2"/>
  <c r="C1678" i="2"/>
  <c r="C1677" i="2"/>
  <c r="C1676" i="2"/>
  <c r="C1675" i="2"/>
  <c r="C1674" i="2"/>
  <c r="C1673" i="2"/>
  <c r="C1672" i="2"/>
  <c r="C1671" i="2"/>
  <c r="C1670" i="2"/>
  <c r="C1669" i="2"/>
  <c r="C1668" i="2"/>
  <c r="C1667" i="2"/>
  <c r="C1666" i="2"/>
  <c r="C1665" i="2"/>
  <c r="C1664" i="2"/>
  <c r="C1663" i="2"/>
  <c r="C1662" i="2"/>
  <c r="C1661" i="2"/>
  <c r="C1660" i="2"/>
  <c r="C1659" i="2"/>
  <c r="C1658" i="2"/>
  <c r="C1657" i="2"/>
  <c r="C1656" i="2"/>
  <c r="C1655" i="2"/>
  <c r="C1654" i="2"/>
  <c r="C1653" i="2"/>
  <c r="C1652" i="2"/>
  <c r="C1651" i="2"/>
  <c r="C1650" i="2"/>
  <c r="C1649" i="2"/>
  <c r="C1648" i="2"/>
  <c r="C1647" i="2"/>
  <c r="C1646" i="2"/>
  <c r="C1645" i="2"/>
  <c r="C1644" i="2"/>
  <c r="C1643" i="2"/>
  <c r="C1642" i="2"/>
  <c r="C1641" i="2"/>
  <c r="C1640" i="2"/>
  <c r="C1639" i="2"/>
  <c r="C1638" i="2"/>
  <c r="C1637" i="2"/>
  <c r="C1636" i="2"/>
  <c r="C1635" i="2"/>
  <c r="C1634" i="2"/>
  <c r="C1633" i="2"/>
  <c r="C1632" i="2"/>
  <c r="C1631" i="2"/>
  <c r="C1630" i="2"/>
  <c r="C1629" i="2"/>
  <c r="C1628" i="2"/>
  <c r="C1627" i="2"/>
  <c r="C1626" i="2"/>
  <c r="C1625" i="2"/>
  <c r="C1624" i="2"/>
  <c r="C1623" i="2"/>
  <c r="C1622" i="2"/>
  <c r="C1621" i="2"/>
  <c r="C1620" i="2"/>
  <c r="C1619" i="2"/>
  <c r="C1618" i="2"/>
  <c r="C1617" i="2"/>
  <c r="C1616" i="2"/>
  <c r="C1615" i="2"/>
  <c r="C1614" i="2"/>
  <c r="C1613" i="2"/>
  <c r="C1612" i="2"/>
  <c r="C1611" i="2"/>
  <c r="C1610" i="2"/>
  <c r="C1609" i="2"/>
  <c r="C1608" i="2"/>
  <c r="C1607" i="2"/>
  <c r="C1606" i="2"/>
  <c r="C1605" i="2"/>
  <c r="C1604" i="2"/>
  <c r="C1603" i="2"/>
  <c r="C1602" i="2"/>
  <c r="C1601" i="2"/>
  <c r="C1600" i="2"/>
  <c r="C1599" i="2"/>
  <c r="C1598" i="2"/>
  <c r="C1597" i="2"/>
  <c r="C1596" i="2"/>
  <c r="C1595" i="2"/>
  <c r="C1594" i="2"/>
  <c r="C1593" i="2"/>
  <c r="C1592" i="2"/>
  <c r="C1591" i="2"/>
  <c r="C1590" i="2"/>
  <c r="C1589" i="2"/>
  <c r="C1588" i="2"/>
  <c r="C1587" i="2"/>
  <c r="C1586" i="2"/>
  <c r="C1585" i="2"/>
  <c r="C1584" i="2"/>
  <c r="C1583" i="2"/>
  <c r="C1582" i="2"/>
  <c r="C1581" i="2"/>
  <c r="C1580" i="2"/>
  <c r="C1579" i="2"/>
  <c r="C1578" i="2"/>
  <c r="C1577" i="2"/>
  <c r="C1576" i="2"/>
  <c r="C1575" i="2"/>
  <c r="C1574" i="2"/>
  <c r="C1573" i="2"/>
  <c r="C1572" i="2"/>
  <c r="C1571" i="2"/>
  <c r="C1570" i="2"/>
  <c r="C1569" i="2"/>
  <c r="C1568" i="2"/>
  <c r="C1567" i="2"/>
  <c r="C1566" i="2"/>
  <c r="C1565" i="2"/>
  <c r="C1564" i="2"/>
  <c r="C1563" i="2"/>
  <c r="C1562" i="2"/>
  <c r="C1561" i="2"/>
  <c r="C1560" i="2"/>
  <c r="C1559" i="2"/>
  <c r="C1558" i="2"/>
  <c r="C1557" i="2"/>
  <c r="C1556" i="2"/>
  <c r="C1555" i="2"/>
  <c r="C1554" i="2"/>
  <c r="C1553" i="2"/>
  <c r="C1552" i="2"/>
  <c r="C1551" i="2"/>
  <c r="C1550" i="2"/>
  <c r="C1549" i="2"/>
  <c r="C1548" i="2"/>
  <c r="C1547" i="2"/>
  <c r="C1546" i="2"/>
  <c r="C1545" i="2"/>
  <c r="C1544" i="2"/>
  <c r="C1543" i="2"/>
  <c r="C1542" i="2"/>
  <c r="C1541" i="2"/>
  <c r="C1540" i="2"/>
  <c r="C1539" i="2"/>
  <c r="C1538" i="2"/>
  <c r="C1537" i="2"/>
  <c r="C1536" i="2"/>
  <c r="C1535" i="2"/>
  <c r="C1534" i="2"/>
  <c r="C1533" i="2"/>
  <c r="C1532" i="2"/>
  <c r="C1531" i="2"/>
  <c r="C1530" i="2"/>
  <c r="C1529" i="2"/>
  <c r="C1528" i="2"/>
  <c r="C1527" i="2"/>
  <c r="C1526" i="2"/>
  <c r="C1525" i="2"/>
  <c r="C1524" i="2"/>
  <c r="C1523" i="2"/>
  <c r="C1522" i="2"/>
  <c r="C1521" i="2"/>
  <c r="C1520" i="2"/>
  <c r="C1519" i="2"/>
  <c r="C1518" i="2"/>
  <c r="C1517" i="2"/>
  <c r="C1516" i="2"/>
  <c r="C1515" i="2"/>
  <c r="C1514" i="2"/>
  <c r="C1513" i="2"/>
  <c r="C1512" i="2"/>
  <c r="C1511" i="2"/>
  <c r="C1510" i="2"/>
  <c r="C1509" i="2"/>
  <c r="C1508" i="2"/>
  <c r="C1507" i="2"/>
  <c r="C1506" i="2"/>
  <c r="C1505" i="2"/>
  <c r="C1504" i="2"/>
  <c r="C1503" i="2"/>
  <c r="C1502" i="2"/>
  <c r="C1501" i="2"/>
  <c r="C1500" i="2"/>
  <c r="C1499" i="2"/>
  <c r="C1498" i="2"/>
  <c r="C1497" i="2"/>
  <c r="C1496" i="2"/>
  <c r="C1495" i="2"/>
  <c r="C1494" i="2"/>
  <c r="C1493" i="2"/>
  <c r="C1492" i="2"/>
  <c r="C1491" i="2"/>
  <c r="C1490" i="2"/>
  <c r="C1489" i="2"/>
  <c r="C1488" i="2"/>
  <c r="C1487" i="2"/>
  <c r="C1486" i="2"/>
  <c r="C1485" i="2"/>
  <c r="C1484" i="2"/>
  <c r="C1483" i="2"/>
  <c r="C1482" i="2"/>
  <c r="C1481" i="2"/>
  <c r="C1480" i="2"/>
  <c r="C1479" i="2"/>
  <c r="C1478" i="2"/>
  <c r="C1477" i="2"/>
  <c r="C1476" i="2"/>
  <c r="C1475" i="2"/>
  <c r="C1474" i="2"/>
  <c r="C1473" i="2"/>
  <c r="C1472" i="2"/>
  <c r="C1471" i="2"/>
  <c r="C1470" i="2"/>
  <c r="C1469" i="2"/>
  <c r="C1468" i="2"/>
  <c r="C1467" i="2"/>
  <c r="C1466" i="2"/>
  <c r="C1465" i="2"/>
  <c r="C1464" i="2"/>
  <c r="C1463" i="2"/>
  <c r="C1462" i="2"/>
  <c r="C1461" i="2"/>
  <c r="C1460" i="2"/>
  <c r="C1459" i="2"/>
  <c r="C1458" i="2"/>
  <c r="C1457" i="2"/>
  <c r="C1456" i="2"/>
  <c r="C1455" i="2"/>
  <c r="C1454" i="2"/>
  <c r="C1453" i="2"/>
  <c r="C1452" i="2"/>
  <c r="C1451" i="2"/>
  <c r="C1450" i="2"/>
  <c r="C1449" i="2"/>
  <c r="C1448" i="2"/>
  <c r="C1447" i="2"/>
  <c r="C1446" i="2"/>
  <c r="C1445" i="2"/>
  <c r="C1444" i="2"/>
  <c r="C1443" i="2"/>
  <c r="C1442" i="2"/>
  <c r="C1441" i="2"/>
  <c r="C1440" i="2"/>
  <c r="C1439" i="2"/>
  <c r="C1438" i="2"/>
  <c r="C1437" i="2"/>
  <c r="C1436" i="2"/>
  <c r="C1435" i="2"/>
  <c r="C1434" i="2"/>
  <c r="C1433" i="2"/>
  <c r="C1432" i="2"/>
  <c r="C1431" i="2"/>
  <c r="C1430" i="2"/>
  <c r="C1429" i="2"/>
  <c r="C1428" i="2"/>
  <c r="C1427" i="2"/>
  <c r="C1426" i="2"/>
  <c r="C1425" i="2"/>
  <c r="C1424" i="2"/>
  <c r="C1423" i="2"/>
  <c r="C1422" i="2"/>
  <c r="C1421" i="2"/>
  <c r="C1420" i="2"/>
  <c r="C1419" i="2"/>
  <c r="C1418" i="2"/>
  <c r="C1417" i="2"/>
  <c r="C1416" i="2"/>
  <c r="C1415" i="2"/>
  <c r="C1414" i="2"/>
  <c r="C1413" i="2"/>
  <c r="C1412" i="2"/>
  <c r="C1411" i="2"/>
  <c r="C1410" i="2"/>
  <c r="C1409" i="2"/>
  <c r="C1408" i="2"/>
  <c r="C1407" i="2"/>
  <c r="C1406" i="2"/>
  <c r="C1405" i="2"/>
  <c r="C1404" i="2"/>
  <c r="C1403" i="2"/>
  <c r="C1402" i="2"/>
  <c r="C1401" i="2"/>
  <c r="C1400" i="2"/>
  <c r="C1399" i="2"/>
  <c r="C1398" i="2"/>
  <c r="C1397" i="2"/>
  <c r="C1396" i="2"/>
  <c r="C1395" i="2"/>
  <c r="C1394" i="2"/>
  <c r="C1393" i="2"/>
  <c r="C1392" i="2"/>
  <c r="C1391" i="2"/>
  <c r="C1390" i="2"/>
  <c r="C1389" i="2"/>
  <c r="C1388" i="2"/>
  <c r="C1387" i="2"/>
  <c r="C1386" i="2"/>
  <c r="C1385" i="2"/>
  <c r="C1384" i="2"/>
  <c r="C1383" i="2"/>
  <c r="C1382" i="2"/>
  <c r="C1381" i="2"/>
  <c r="C1380" i="2"/>
  <c r="C1379" i="2"/>
  <c r="C1378" i="2"/>
  <c r="C1377" i="2"/>
  <c r="C1376" i="2"/>
  <c r="C1375" i="2"/>
  <c r="C1374" i="2"/>
  <c r="C1373" i="2"/>
  <c r="C1372" i="2"/>
  <c r="C1371" i="2"/>
  <c r="C1370" i="2"/>
  <c r="C1369" i="2"/>
  <c r="C1368" i="2"/>
  <c r="C1367" i="2"/>
  <c r="C1366" i="2"/>
  <c r="C1365" i="2"/>
  <c r="C1364" i="2"/>
  <c r="C1363" i="2"/>
  <c r="C1362" i="2"/>
  <c r="C1361" i="2"/>
  <c r="C1360" i="2"/>
  <c r="C1359" i="2"/>
  <c r="C1358" i="2"/>
  <c r="C1357" i="2"/>
  <c r="C1356" i="2"/>
  <c r="C1355" i="2"/>
  <c r="C1354" i="2"/>
  <c r="C1353" i="2"/>
  <c r="C1352" i="2"/>
  <c r="C1351" i="2"/>
  <c r="C1350" i="2"/>
  <c r="C1349" i="2"/>
  <c r="C1348" i="2"/>
  <c r="C1347" i="2"/>
  <c r="C1346" i="2"/>
  <c r="C1345" i="2"/>
  <c r="C1344" i="2"/>
  <c r="C1343" i="2"/>
  <c r="C1342" i="2"/>
  <c r="C1341" i="2"/>
  <c r="C1340" i="2"/>
  <c r="C1339" i="2"/>
  <c r="C1338" i="2"/>
  <c r="C1337" i="2"/>
  <c r="C1336" i="2"/>
  <c r="C1335" i="2"/>
  <c r="C1334" i="2"/>
  <c r="C1333" i="2"/>
  <c r="C1332" i="2"/>
  <c r="C1331" i="2"/>
  <c r="C1330" i="2"/>
  <c r="C1329" i="2"/>
  <c r="C1328" i="2"/>
  <c r="C1327" i="2"/>
  <c r="C1326" i="2"/>
  <c r="C1325" i="2"/>
  <c r="C1324" i="2"/>
  <c r="C1323" i="2"/>
  <c r="C1322" i="2"/>
  <c r="C1321" i="2"/>
  <c r="C1320" i="2"/>
  <c r="C1319" i="2"/>
  <c r="C1318" i="2"/>
  <c r="C1317" i="2"/>
  <c r="C1316" i="2"/>
  <c r="C1315" i="2"/>
  <c r="C1314" i="2"/>
  <c r="C1313" i="2"/>
  <c r="C1312" i="2"/>
  <c r="C1311" i="2"/>
  <c r="C1310" i="2"/>
  <c r="C1309" i="2"/>
  <c r="C1308" i="2"/>
  <c r="C1307" i="2"/>
  <c r="C1306" i="2"/>
  <c r="C1305" i="2"/>
  <c r="C1304" i="2"/>
  <c r="C1303" i="2"/>
  <c r="C1302" i="2"/>
  <c r="C1301" i="2"/>
  <c r="C1300" i="2"/>
  <c r="C1299" i="2"/>
  <c r="C1298" i="2"/>
  <c r="C1297" i="2"/>
  <c r="C1296" i="2"/>
  <c r="C1295" i="2"/>
  <c r="C1294" i="2"/>
  <c r="C1293" i="2"/>
  <c r="C1292" i="2"/>
  <c r="C1291" i="2"/>
  <c r="C1290" i="2"/>
  <c r="C1289" i="2"/>
  <c r="C1288" i="2"/>
  <c r="C1287" i="2"/>
  <c r="C1286" i="2"/>
  <c r="C1285" i="2"/>
  <c r="C1284" i="2"/>
  <c r="C1283" i="2"/>
  <c r="C1282" i="2"/>
  <c r="C1281" i="2"/>
  <c r="C1280" i="2"/>
  <c r="C1279" i="2"/>
  <c r="C1278" i="2"/>
  <c r="C1277" i="2"/>
  <c r="C1276" i="2"/>
  <c r="C1275" i="2"/>
  <c r="C1274" i="2"/>
  <c r="C1273" i="2"/>
  <c r="C1272" i="2"/>
  <c r="C1271" i="2"/>
  <c r="C1270" i="2"/>
  <c r="C1269" i="2"/>
  <c r="C1268" i="2"/>
  <c r="C1267" i="2"/>
  <c r="C1266" i="2"/>
  <c r="C1265" i="2"/>
  <c r="C1264" i="2"/>
  <c r="C1263" i="2"/>
  <c r="C1262" i="2"/>
  <c r="C1261" i="2"/>
  <c r="C1260" i="2"/>
  <c r="C1259" i="2"/>
  <c r="C1258" i="2"/>
  <c r="C1257" i="2"/>
  <c r="C1256" i="2"/>
  <c r="C1255" i="2"/>
  <c r="C1254" i="2"/>
  <c r="C1253" i="2"/>
  <c r="C1252" i="2"/>
  <c r="C1251" i="2"/>
  <c r="C1250" i="2"/>
  <c r="C1249" i="2"/>
  <c r="C1248" i="2"/>
  <c r="C1247" i="2"/>
  <c r="C1246" i="2"/>
  <c r="C1245" i="2"/>
  <c r="C1244" i="2"/>
  <c r="C1243" i="2"/>
  <c r="C1242" i="2"/>
  <c r="C1241" i="2"/>
  <c r="C1240" i="2"/>
  <c r="C1239" i="2"/>
  <c r="C1238" i="2"/>
  <c r="C1237" i="2"/>
  <c r="C1236" i="2"/>
  <c r="C1235" i="2"/>
  <c r="C1234" i="2"/>
  <c r="C1233" i="2"/>
  <c r="C1232" i="2"/>
  <c r="C1231" i="2"/>
  <c r="C1230" i="2"/>
  <c r="C1229" i="2"/>
  <c r="C1228" i="2"/>
  <c r="C1227" i="2"/>
  <c r="C1226" i="2"/>
  <c r="C1225" i="2"/>
  <c r="C1224" i="2"/>
  <c r="C1223" i="2"/>
  <c r="C1222" i="2"/>
  <c r="C1221" i="2"/>
  <c r="C1220" i="2"/>
  <c r="C1219" i="2"/>
  <c r="C1218" i="2"/>
  <c r="C1217" i="2"/>
  <c r="C1216" i="2"/>
  <c r="C1215" i="2"/>
  <c r="C1214" i="2"/>
  <c r="C1213" i="2"/>
  <c r="C1212" i="2"/>
  <c r="C1211" i="2"/>
  <c r="C1210" i="2"/>
  <c r="C1209" i="2"/>
  <c r="C1208" i="2"/>
  <c r="C1207" i="2"/>
  <c r="C1206" i="2"/>
  <c r="C1205" i="2"/>
  <c r="C1204" i="2"/>
  <c r="C1203" i="2"/>
  <c r="C1202" i="2"/>
  <c r="C1201" i="2"/>
  <c r="C1200" i="2"/>
  <c r="C1199" i="2"/>
  <c r="C1198" i="2"/>
  <c r="C1197" i="2"/>
  <c r="C1196" i="2"/>
  <c r="C1195" i="2"/>
  <c r="C1194" i="2"/>
  <c r="C1193" i="2"/>
  <c r="C1192" i="2"/>
  <c r="C1191" i="2"/>
  <c r="C1190" i="2"/>
  <c r="C1189" i="2"/>
  <c r="C1188" i="2"/>
  <c r="C1187" i="2"/>
  <c r="C1186" i="2"/>
  <c r="C1185" i="2"/>
  <c r="C1184" i="2"/>
  <c r="C1183" i="2"/>
  <c r="C1182" i="2"/>
  <c r="C1181" i="2"/>
  <c r="C1180" i="2"/>
  <c r="C1179" i="2"/>
  <c r="C1178" i="2"/>
  <c r="C1177" i="2"/>
  <c r="C1176" i="2"/>
  <c r="C1175" i="2"/>
  <c r="C1174" i="2"/>
  <c r="C1173" i="2"/>
  <c r="C1172" i="2"/>
  <c r="C1171" i="2"/>
  <c r="C1170" i="2"/>
  <c r="C1169" i="2"/>
  <c r="C1168" i="2"/>
  <c r="C1167" i="2"/>
  <c r="C1166" i="2"/>
  <c r="C1165" i="2"/>
  <c r="C1164" i="2"/>
  <c r="C1163" i="2"/>
  <c r="C1162" i="2"/>
  <c r="C1161" i="2"/>
  <c r="C1160" i="2"/>
  <c r="C1159" i="2"/>
  <c r="C1158" i="2"/>
  <c r="C1157" i="2"/>
  <c r="C1156" i="2"/>
  <c r="C1155" i="2"/>
  <c r="C1154" i="2"/>
  <c r="C1153" i="2"/>
  <c r="C1152" i="2"/>
  <c r="C1151" i="2"/>
  <c r="C1150" i="2"/>
  <c r="C1149" i="2"/>
  <c r="C1148" i="2"/>
  <c r="C1147" i="2"/>
  <c r="C1146" i="2"/>
  <c r="C1145" i="2"/>
  <c r="C1144" i="2"/>
  <c r="C1143" i="2"/>
  <c r="C1142" i="2"/>
  <c r="C1141" i="2"/>
  <c r="C1140" i="2"/>
  <c r="C1139" i="2"/>
  <c r="C1138" i="2"/>
  <c r="C1137" i="2"/>
  <c r="C1136" i="2"/>
  <c r="C1135" i="2"/>
  <c r="C1134" i="2"/>
  <c r="C1133" i="2"/>
  <c r="C1132" i="2"/>
  <c r="C1131" i="2"/>
  <c r="C1130" i="2"/>
  <c r="C1129" i="2"/>
  <c r="C1128" i="2"/>
  <c r="C1127" i="2"/>
  <c r="C1126" i="2"/>
  <c r="C1125" i="2"/>
  <c r="C1124" i="2"/>
  <c r="C1123" i="2"/>
  <c r="C1122" i="2"/>
  <c r="C1121" i="2"/>
  <c r="C1120" i="2"/>
  <c r="C1119" i="2"/>
  <c r="C1118" i="2"/>
  <c r="C1117" i="2"/>
  <c r="C1116" i="2"/>
  <c r="C1115" i="2"/>
  <c r="C1114" i="2"/>
  <c r="C1113" i="2"/>
  <c r="C1112" i="2"/>
  <c r="C1111" i="2"/>
  <c r="C1110" i="2"/>
  <c r="C1109" i="2"/>
  <c r="C1108" i="2"/>
  <c r="C1107" i="2"/>
  <c r="C1106" i="2"/>
  <c r="C1105" i="2"/>
  <c r="C1104" i="2"/>
  <c r="C1103" i="2"/>
  <c r="C1102" i="2"/>
  <c r="C1101" i="2"/>
  <c r="C1100" i="2"/>
  <c r="C1099" i="2"/>
  <c r="C1098" i="2"/>
  <c r="C1097" i="2"/>
  <c r="C1096" i="2"/>
  <c r="C1095" i="2"/>
  <c r="C1094" i="2"/>
  <c r="C1093" i="2"/>
  <c r="C1092" i="2"/>
  <c r="C1091" i="2"/>
  <c r="C1090" i="2"/>
  <c r="C1089" i="2"/>
  <c r="C1088" i="2"/>
  <c r="C1087" i="2"/>
  <c r="C1086" i="2"/>
  <c r="C1085" i="2"/>
  <c r="C1084" i="2"/>
  <c r="C1083" i="2"/>
  <c r="C1082" i="2"/>
  <c r="C1081" i="2"/>
  <c r="C1080" i="2"/>
  <c r="C1079" i="2"/>
  <c r="C1078" i="2"/>
  <c r="C1077" i="2"/>
  <c r="C1076" i="2"/>
  <c r="C1075" i="2"/>
  <c r="C1074" i="2"/>
  <c r="C1073" i="2"/>
  <c r="C1072" i="2"/>
  <c r="C1071" i="2"/>
  <c r="C1070" i="2"/>
  <c r="C1069" i="2"/>
  <c r="C1068" i="2"/>
  <c r="C1067" i="2"/>
  <c r="C1066" i="2"/>
  <c r="C1065" i="2"/>
  <c r="C1064" i="2"/>
  <c r="C1063" i="2"/>
  <c r="C1062" i="2"/>
  <c r="C1061" i="2"/>
  <c r="C1060" i="2"/>
  <c r="C1059" i="2"/>
  <c r="C1058" i="2"/>
  <c r="C1057" i="2"/>
  <c r="C1056" i="2"/>
  <c r="C1055" i="2"/>
  <c r="C1054" i="2"/>
  <c r="C1053" i="2"/>
  <c r="C1052" i="2"/>
  <c r="C1051" i="2"/>
  <c r="C1050" i="2"/>
  <c r="C1049" i="2"/>
  <c r="C1048" i="2"/>
  <c r="C1047" i="2"/>
  <c r="C1046" i="2"/>
  <c r="C1045" i="2"/>
  <c r="C1044" i="2"/>
  <c r="C1043" i="2"/>
  <c r="C1042" i="2"/>
  <c r="C1041" i="2"/>
  <c r="C1040" i="2"/>
  <c r="C1039" i="2"/>
  <c r="C1038" i="2"/>
  <c r="C1037" i="2"/>
  <c r="C1036" i="2"/>
  <c r="C1035" i="2"/>
  <c r="C1034" i="2"/>
  <c r="C1033" i="2"/>
  <c r="C1032" i="2"/>
  <c r="C1031" i="2"/>
  <c r="C1030" i="2"/>
  <c r="C1029" i="2"/>
  <c r="C1028" i="2"/>
  <c r="C1027" i="2"/>
  <c r="C1026" i="2"/>
  <c r="C1025" i="2"/>
  <c r="C1024" i="2"/>
  <c r="C1023" i="2"/>
  <c r="C1022" i="2"/>
  <c r="C1021" i="2"/>
  <c r="C1020" i="2"/>
  <c r="C1019" i="2"/>
  <c r="C1018" i="2"/>
  <c r="C1017" i="2"/>
  <c r="C1016" i="2"/>
  <c r="C1015" i="2"/>
  <c r="C1014" i="2"/>
  <c r="C1013" i="2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H132" i="1" l="1"/>
  <c r="H156" i="1"/>
  <c r="H20" i="1"/>
  <c r="H180" i="1"/>
  <c r="H60" i="1"/>
  <c r="H124" i="1"/>
  <c r="H196" i="1"/>
  <c r="H12" i="1"/>
  <c r="H116" i="1"/>
  <c r="H188" i="1"/>
  <c r="H68" i="1"/>
  <c r="H5" i="1"/>
  <c r="H13" i="1"/>
  <c r="H21" i="1"/>
  <c r="H37" i="1"/>
  <c r="H53" i="1"/>
  <c r="H61" i="1"/>
  <c r="H85" i="1"/>
  <c r="H93" i="1"/>
  <c r="H141" i="1"/>
  <c r="H149" i="1"/>
  <c r="H165" i="1"/>
  <c r="H181" i="1"/>
  <c r="H189" i="1"/>
  <c r="H197" i="1"/>
  <c r="H6" i="1"/>
  <c r="H14" i="1"/>
  <c r="H62" i="1"/>
  <c r="H70" i="1"/>
  <c r="H78" i="1"/>
  <c r="H126" i="1"/>
  <c r="H134" i="1"/>
  <c r="H158" i="1"/>
  <c r="H182" i="1"/>
  <c r="H23" i="1"/>
  <c r="H31" i="1"/>
  <c r="H39" i="1"/>
  <c r="H55" i="1"/>
  <c r="H63" i="1"/>
  <c r="H103" i="1"/>
  <c r="H135" i="1"/>
  <c r="H183" i="1"/>
  <c r="H191" i="1"/>
  <c r="H40" i="1"/>
  <c r="H72" i="1"/>
  <c r="H80" i="1"/>
  <c r="H88" i="1"/>
  <c r="H112" i="1"/>
  <c r="H128" i="1"/>
  <c r="H136" i="1"/>
  <c r="H144" i="1"/>
  <c r="H160" i="1"/>
  <c r="H184" i="1"/>
  <c r="H48" i="1"/>
  <c r="H9" i="1"/>
  <c r="H25" i="1"/>
  <c r="H41" i="1"/>
  <c r="H49" i="1"/>
  <c r="H89" i="1"/>
  <c r="H113" i="1"/>
  <c r="H121" i="1"/>
  <c r="H193" i="1"/>
  <c r="H66" i="1"/>
  <c r="H74" i="1"/>
  <c r="H106" i="1"/>
  <c r="H114" i="1"/>
  <c r="H122" i="1"/>
  <c r="H138" i="1"/>
  <c r="H162" i="1"/>
  <c r="H170" i="1"/>
  <c r="H3" i="1"/>
  <c r="H27" i="1"/>
  <c r="H51" i="1"/>
  <c r="H59" i="1"/>
  <c r="H91" i="1"/>
  <c r="H99" i="1"/>
  <c r="H107" i="1"/>
  <c r="H115" i="1"/>
  <c r="H147" i="1"/>
  <c r="H163" i="1"/>
  <c r="H171" i="1"/>
  <c r="A199" i="1"/>
  <c r="A200" i="1" s="1"/>
  <c r="A201" i="1" s="1"/>
  <c r="A202" i="1" l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H201" i="1"/>
  <c r="A216" i="1" l="1"/>
  <c r="A217" i="1" s="1"/>
  <c r="A218" i="1" s="1"/>
  <c r="H215" i="1"/>
  <c r="A219" i="1" l="1"/>
  <c r="H218" i="1"/>
  <c r="A220" i="1" l="1"/>
  <c r="H219" i="1"/>
  <c r="A221" i="1" l="1"/>
  <c r="H220" i="1"/>
  <c r="A222" i="1" l="1"/>
  <c r="A223" i="1" s="1"/>
  <c r="A224" i="1" s="1"/>
  <c r="H221" i="1"/>
  <c r="A225" i="1" l="1"/>
  <c r="H224" i="1"/>
  <c r="A226" i="1" l="1"/>
  <c r="A227" i="1" s="1"/>
  <c r="H225" i="1"/>
  <c r="A228" i="1" l="1"/>
  <c r="A229" i="1" s="1"/>
  <c r="H227" i="1"/>
  <c r="A230" i="1" l="1"/>
  <c r="A231" i="1" s="1"/>
  <c r="H229" i="1"/>
  <c r="A232" i="1" l="1"/>
  <c r="A233" i="1" s="1"/>
  <c r="H231" i="1"/>
  <c r="A234" i="1" l="1"/>
  <c r="A235" i="1" s="1"/>
  <c r="H233" i="1"/>
  <c r="A236" i="1" l="1"/>
  <c r="A237" i="1" s="1"/>
  <c r="A238" i="1" s="1"/>
  <c r="A239" i="1" s="1"/>
  <c r="A240" i="1" s="1"/>
  <c r="A241" i="1" s="1"/>
  <c r="H235" i="1"/>
  <c r="A242" i="1" l="1"/>
  <c r="A243" i="1" s="1"/>
  <c r="A244" i="1" s="1"/>
  <c r="A245" i="1" s="1"/>
  <c r="A246" i="1" s="1"/>
  <c r="H241" i="1"/>
  <c r="A247" i="1" l="1"/>
  <c r="H246" i="1"/>
  <c r="A248" i="1" l="1"/>
  <c r="A249" i="1" s="1"/>
  <c r="A250" i="1" s="1"/>
  <c r="A251" i="1" s="1"/>
  <c r="H247" i="1"/>
  <c r="A252" i="1" l="1"/>
  <c r="A253" i="1" s="1"/>
  <c r="H251" i="1"/>
  <c r="A254" i="1" l="1"/>
  <c r="H253" i="1"/>
  <c r="A255" i="1" l="1"/>
  <c r="H254" i="1"/>
  <c r="A256" i="1" l="1"/>
  <c r="A257" i="1" s="1"/>
  <c r="A258" i="1" s="1"/>
  <c r="H255" i="1"/>
  <c r="A259" i="1" l="1"/>
  <c r="H258" i="1"/>
  <c r="A260" i="1" l="1"/>
  <c r="A261" i="1" s="1"/>
  <c r="H259" i="1"/>
  <c r="A262" i="1" l="1"/>
  <c r="H261" i="1"/>
  <c r="A263" i="1" l="1"/>
  <c r="A264" i="1" s="1"/>
  <c r="A265" i="1" s="1"/>
  <c r="H262" i="1"/>
  <c r="A266" i="1" l="1"/>
  <c r="A267" i="1" s="1"/>
  <c r="A268" i="1" s="1"/>
  <c r="A269" i="1" s="1"/>
  <c r="A270" i="1" s="1"/>
  <c r="A271" i="1" s="1"/>
  <c r="A272" i="1" s="1"/>
  <c r="H265" i="1"/>
  <c r="A273" i="1" l="1"/>
  <c r="A274" i="1" s="1"/>
  <c r="A275" i="1" s="1"/>
  <c r="A276" i="1" s="1"/>
  <c r="A277" i="1" s="1"/>
  <c r="A278" i="1" s="1"/>
  <c r="A279" i="1" s="1"/>
  <c r="A280" i="1" s="1"/>
  <c r="A281" i="1" s="1"/>
  <c r="H272" i="1"/>
  <c r="A282" i="1" l="1"/>
  <c r="A283" i="1" s="1"/>
  <c r="A284" i="1" s="1"/>
  <c r="A285" i="1" s="1"/>
  <c r="H281" i="1"/>
  <c r="A286" i="1" l="1"/>
  <c r="A287" i="1" s="1"/>
  <c r="A288" i="1" s="1"/>
  <c r="H285" i="1"/>
  <c r="A289" i="1" l="1"/>
  <c r="A290" i="1" s="1"/>
  <c r="H288" i="1"/>
  <c r="A291" i="1" l="1"/>
  <c r="A292" i="1" s="1"/>
  <c r="A293" i="1" s="1"/>
  <c r="A294" i="1" s="1"/>
  <c r="A295" i="1" s="1"/>
  <c r="H290" i="1"/>
  <c r="A296" i="1" l="1"/>
  <c r="A297" i="1" s="1"/>
  <c r="A298" i="1" s="1"/>
  <c r="A299" i="1" s="1"/>
  <c r="H295" i="1"/>
  <c r="A300" i="1" l="1"/>
  <c r="H299" i="1"/>
  <c r="A301" i="1" l="1"/>
  <c r="A302" i="1" s="1"/>
  <c r="A303" i="1" s="1"/>
  <c r="H300" i="1"/>
  <c r="A304" i="1" l="1"/>
  <c r="A305" i="1" s="1"/>
  <c r="A306" i="1" s="1"/>
  <c r="A307" i="1" s="1"/>
  <c r="H303" i="1"/>
  <c r="A308" i="1" l="1"/>
  <c r="A309" i="1" s="1"/>
  <c r="A310" i="1" s="1"/>
  <c r="A311" i="1" s="1"/>
  <c r="H307" i="1"/>
  <c r="A312" i="1" l="1"/>
  <c r="A313" i="1" s="1"/>
  <c r="A314" i="1" s="1"/>
  <c r="H311" i="1"/>
  <c r="A315" i="1" l="1"/>
  <c r="H314" i="1"/>
  <c r="A316" i="1" l="1"/>
  <c r="H315" i="1"/>
  <c r="A317" i="1" l="1"/>
  <c r="A318" i="1" s="1"/>
  <c r="A319" i="1" s="1"/>
  <c r="H316" i="1"/>
  <c r="A320" i="1" l="1"/>
  <c r="A321" i="1" s="1"/>
  <c r="A322" i="1" s="1"/>
  <c r="A323" i="1" s="1"/>
  <c r="A324" i="1" s="1"/>
  <c r="H319" i="1"/>
  <c r="A325" i="1" l="1"/>
  <c r="A326" i="1" s="1"/>
  <c r="A327" i="1" s="1"/>
  <c r="H324" i="1"/>
  <c r="A328" i="1" l="1"/>
  <c r="A329" i="1" s="1"/>
  <c r="A330" i="1" s="1"/>
  <c r="A331" i="1" s="1"/>
  <c r="H327" i="1"/>
  <c r="A332" i="1" l="1"/>
  <c r="A333" i="1" s="1"/>
  <c r="A334" i="1" s="1"/>
  <c r="H331" i="1"/>
  <c r="A335" i="1" l="1"/>
  <c r="A336" i="1" s="1"/>
  <c r="H334" i="1"/>
  <c r="A337" i="1" l="1"/>
  <c r="H336" i="1"/>
  <c r="A338" i="1" l="1"/>
  <c r="A339" i="1" s="1"/>
  <c r="A340" i="1" s="1"/>
  <c r="A341" i="1" s="1"/>
  <c r="A342" i="1" s="1"/>
  <c r="A343" i="1" s="1"/>
  <c r="A344" i="1" s="1"/>
  <c r="A345" i="1" s="1"/>
  <c r="A346" i="1" s="1"/>
  <c r="A347" i="1" s="1"/>
  <c r="H337" i="1"/>
  <c r="A348" i="1" l="1"/>
  <c r="A349" i="1" s="1"/>
  <c r="H347" i="1"/>
  <c r="A350" i="1" l="1"/>
  <c r="A351" i="1" s="1"/>
  <c r="H349" i="1"/>
  <c r="A352" i="1" l="1"/>
  <c r="H351" i="1"/>
  <c r="A353" i="1" l="1"/>
  <c r="H352" i="1"/>
  <c r="A354" i="1" l="1"/>
  <c r="H353" i="1"/>
  <c r="A355" i="1" l="1"/>
  <c r="H354" i="1"/>
  <c r="A356" i="1" l="1"/>
  <c r="H355" i="1"/>
  <c r="A357" i="1" l="1"/>
  <c r="H356" i="1"/>
  <c r="A358" i="1" l="1"/>
  <c r="A359" i="1" s="1"/>
  <c r="A360" i="1" s="1"/>
  <c r="A361" i="1" s="1"/>
  <c r="H357" i="1"/>
  <c r="A362" i="1" l="1"/>
  <c r="A363" i="1" s="1"/>
  <c r="A364" i="1" s="1"/>
  <c r="A365" i="1" s="1"/>
  <c r="H361" i="1"/>
  <c r="A366" i="1" l="1"/>
  <c r="A367" i="1" s="1"/>
  <c r="A368" i="1" s="1"/>
  <c r="H365" i="1"/>
  <c r="A369" i="1" l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H368" i="1"/>
  <c r="A381" i="1" l="1"/>
  <c r="H380" i="1"/>
  <c r="A382" i="1" l="1"/>
  <c r="A383" i="1" s="1"/>
  <c r="A384" i="1" s="1"/>
  <c r="A385" i="1" s="1"/>
  <c r="A386" i="1" s="1"/>
  <c r="A387" i="1" s="1"/>
  <c r="H381" i="1"/>
  <c r="A388" i="1" l="1"/>
  <c r="H387" i="1"/>
  <c r="A389" i="1" l="1"/>
  <c r="H388" i="1"/>
  <c r="A390" i="1" l="1"/>
  <c r="H389" i="1"/>
  <c r="A391" i="1" l="1"/>
  <c r="A392" i="1" s="1"/>
  <c r="A393" i="1" s="1"/>
  <c r="A394" i="1" s="1"/>
  <c r="A395" i="1" s="1"/>
  <c r="H390" i="1"/>
  <c r="A396" i="1" l="1"/>
  <c r="H395" i="1"/>
  <c r="A397" i="1" l="1"/>
  <c r="H396" i="1"/>
  <c r="A398" i="1" l="1"/>
  <c r="A399" i="1" s="1"/>
  <c r="H397" i="1"/>
  <c r="A400" i="1" l="1"/>
  <c r="A401" i="1" s="1"/>
  <c r="A402" i="1" s="1"/>
  <c r="H399" i="1"/>
  <c r="A403" i="1" l="1"/>
  <c r="H402" i="1"/>
  <c r="A404" i="1" l="1"/>
  <c r="H403" i="1"/>
  <c r="A405" i="1" l="1"/>
  <c r="A406" i="1" s="1"/>
  <c r="A407" i="1" s="1"/>
  <c r="A408" i="1" s="1"/>
  <c r="H404" i="1"/>
  <c r="A409" i="1" l="1"/>
  <c r="A410" i="1" s="1"/>
  <c r="A411" i="1" s="1"/>
  <c r="A412" i="1" s="1"/>
  <c r="A413" i="1" s="1"/>
  <c r="H408" i="1"/>
  <c r="A414" i="1" l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H413" i="1"/>
  <c r="A429" i="1" l="1"/>
  <c r="H428" i="1"/>
  <c r="A430" i="1" l="1"/>
  <c r="H429" i="1"/>
  <c r="A431" i="1" l="1"/>
  <c r="A432" i="1" s="1"/>
  <c r="A433" i="1" s="1"/>
  <c r="H430" i="1"/>
  <c r="A434" i="1" l="1"/>
  <c r="H433" i="1"/>
  <c r="A435" i="1" l="1"/>
  <c r="H434" i="1"/>
  <c r="A436" i="1" l="1"/>
  <c r="H435" i="1"/>
  <c r="A437" i="1" l="1"/>
  <c r="A438" i="1" s="1"/>
  <c r="H436" i="1"/>
  <c r="A439" i="1" l="1"/>
  <c r="H438" i="1"/>
  <c r="A440" i="1" l="1"/>
  <c r="H439" i="1"/>
  <c r="A441" i="1" l="1"/>
  <c r="A442" i="1" s="1"/>
  <c r="A443" i="1" s="1"/>
  <c r="A444" i="1" s="1"/>
  <c r="A445" i="1" s="1"/>
  <c r="H440" i="1"/>
  <c r="A446" i="1" l="1"/>
  <c r="A447" i="1" s="1"/>
  <c r="A448" i="1" s="1"/>
  <c r="H445" i="1"/>
  <c r="A449" i="1" l="1"/>
  <c r="A450" i="1" s="1"/>
  <c r="A451" i="1" s="1"/>
  <c r="A452" i="1" s="1"/>
  <c r="A453" i="1" s="1"/>
  <c r="A454" i="1" s="1"/>
  <c r="H448" i="1"/>
  <c r="A455" i="1" l="1"/>
  <c r="H454" i="1"/>
  <c r="A456" i="1" l="1"/>
  <c r="A457" i="1" s="1"/>
  <c r="A458" i="1" s="1"/>
  <c r="H455" i="1"/>
  <c r="A459" i="1" l="1"/>
  <c r="A460" i="1" s="1"/>
  <c r="A461" i="1" s="1"/>
  <c r="A462" i="1" s="1"/>
  <c r="A463" i="1" s="1"/>
  <c r="A464" i="1" s="1"/>
  <c r="A465" i="1" s="1"/>
  <c r="A466" i="1" s="1"/>
  <c r="A467" i="1" s="1"/>
  <c r="H458" i="1"/>
  <c r="A468" i="1" l="1"/>
  <c r="A469" i="1" s="1"/>
  <c r="H467" i="1"/>
  <c r="A470" i="1" l="1"/>
  <c r="H469" i="1"/>
  <c r="A471" i="1" l="1"/>
  <c r="A472" i="1" s="1"/>
  <c r="A473" i="1" s="1"/>
  <c r="A474" i="1" s="1"/>
  <c r="H470" i="1"/>
  <c r="A475" i="1" l="1"/>
  <c r="H474" i="1"/>
  <c r="A476" i="1" l="1"/>
  <c r="H475" i="1"/>
  <c r="A477" i="1" l="1"/>
  <c r="H476" i="1"/>
  <c r="A478" i="1" l="1"/>
  <c r="H477" i="1"/>
  <c r="A479" i="1" l="1"/>
  <c r="A480" i="1" s="1"/>
  <c r="H478" i="1"/>
  <c r="A481" i="1" l="1"/>
  <c r="H480" i="1"/>
  <c r="A482" i="1" l="1"/>
  <c r="H481" i="1"/>
  <c r="A483" i="1" l="1"/>
  <c r="A484" i="1" s="1"/>
  <c r="A485" i="1" s="1"/>
  <c r="A486" i="1" s="1"/>
  <c r="A487" i="1" s="1"/>
  <c r="A488" i="1" s="1"/>
  <c r="H482" i="1"/>
  <c r="A489" i="1" l="1"/>
  <c r="A490" i="1" s="1"/>
  <c r="H488" i="1"/>
  <c r="A491" i="1" l="1"/>
  <c r="H490" i="1"/>
  <c r="A492" i="1" l="1"/>
  <c r="H491" i="1"/>
  <c r="A493" i="1" l="1"/>
  <c r="A494" i="1" s="1"/>
  <c r="H492" i="1"/>
  <c r="A495" i="1" l="1"/>
  <c r="H494" i="1"/>
  <c r="A496" i="1" l="1"/>
  <c r="H495" i="1"/>
  <c r="A497" i="1" l="1"/>
  <c r="H496" i="1"/>
  <c r="A498" i="1" l="1"/>
  <c r="A499" i="1" s="1"/>
  <c r="H497" i="1"/>
  <c r="A500" i="1" l="1"/>
  <c r="H499" i="1"/>
  <c r="A501" i="1" l="1"/>
  <c r="H500" i="1"/>
  <c r="A502" i="1" l="1"/>
  <c r="H501" i="1"/>
  <c r="A503" i="1" l="1"/>
  <c r="A504" i="1" s="1"/>
  <c r="A505" i="1" s="1"/>
  <c r="A506" i="1" s="1"/>
  <c r="A507" i="1" s="1"/>
  <c r="H502" i="1"/>
  <c r="A508" i="1" l="1"/>
  <c r="A509" i="1" s="1"/>
  <c r="A510" i="1" s="1"/>
  <c r="A511" i="1" s="1"/>
  <c r="H507" i="1"/>
  <c r="A512" i="1" l="1"/>
  <c r="H511" i="1"/>
  <c r="A513" i="1" l="1"/>
  <c r="A514" i="1" s="1"/>
  <c r="A515" i="1" s="1"/>
  <c r="A516" i="1" s="1"/>
  <c r="A517" i="1" s="1"/>
  <c r="H512" i="1"/>
  <c r="A518" i="1" l="1"/>
  <c r="H517" i="1"/>
  <c r="A519" i="1" l="1"/>
  <c r="H518" i="1"/>
  <c r="A520" i="1" l="1"/>
  <c r="A521" i="1" s="1"/>
  <c r="A522" i="1" s="1"/>
  <c r="A523" i="1" s="1"/>
  <c r="H519" i="1"/>
  <c r="A524" i="1" l="1"/>
  <c r="A525" i="1" s="1"/>
  <c r="H523" i="1"/>
  <c r="A526" i="1" l="1"/>
  <c r="A527" i="1" s="1"/>
  <c r="H525" i="1"/>
  <c r="A528" i="1" l="1"/>
  <c r="A529" i="1" s="1"/>
  <c r="A530" i="1" s="1"/>
  <c r="A531" i="1" s="1"/>
  <c r="A532" i="1" s="1"/>
  <c r="A533" i="1" s="1"/>
  <c r="A534" i="1" s="1"/>
  <c r="H527" i="1"/>
  <c r="A535" i="1" l="1"/>
  <c r="H534" i="1"/>
  <c r="A536" i="1" l="1"/>
  <c r="H535" i="1"/>
  <c r="A537" i="1" l="1"/>
  <c r="H536" i="1"/>
  <c r="A538" i="1" l="1"/>
  <c r="H537" i="1"/>
  <c r="A539" i="1" l="1"/>
  <c r="H538" i="1"/>
  <c r="A540" i="1" l="1"/>
  <c r="A541" i="1" s="1"/>
  <c r="A542" i="1" s="1"/>
  <c r="A543" i="1" s="1"/>
  <c r="H539" i="1"/>
  <c r="A544" i="1" l="1"/>
  <c r="H543" i="1"/>
  <c r="A545" i="1" l="1"/>
  <c r="H544" i="1"/>
  <c r="A546" i="1" l="1"/>
  <c r="A547" i="1" s="1"/>
  <c r="A548" i="1" s="1"/>
  <c r="H545" i="1"/>
  <c r="A549" i="1" l="1"/>
  <c r="H548" i="1"/>
  <c r="A550" i="1" l="1"/>
  <c r="H549" i="1"/>
  <c r="A551" i="1" l="1"/>
  <c r="H550" i="1"/>
  <c r="A552" i="1" l="1"/>
  <c r="H551" i="1"/>
  <c r="A553" i="1" l="1"/>
  <c r="A554" i="1" s="1"/>
  <c r="H552" i="1"/>
  <c r="A555" i="1" l="1"/>
  <c r="A556" i="1" s="1"/>
  <c r="H554" i="1"/>
  <c r="A557" i="1" l="1"/>
  <c r="H556" i="1"/>
  <c r="A558" i="1" l="1"/>
  <c r="A559" i="1" s="1"/>
  <c r="A560" i="1" s="1"/>
  <c r="A561" i="1" s="1"/>
  <c r="A562" i="1" s="1"/>
  <c r="A563" i="1" s="1"/>
  <c r="A564" i="1" s="1"/>
  <c r="A565" i="1" s="1"/>
  <c r="H557" i="1"/>
  <c r="A566" i="1" l="1"/>
  <c r="A567" i="1" s="1"/>
  <c r="A568" i="1" s="1"/>
  <c r="A569" i="1" s="1"/>
  <c r="H565" i="1"/>
  <c r="A570" i="1" l="1"/>
  <c r="A571" i="1" s="1"/>
  <c r="A572" i="1" s="1"/>
  <c r="H569" i="1"/>
  <c r="A573" i="1" l="1"/>
  <c r="H572" i="1"/>
  <c r="A574" i="1" l="1"/>
  <c r="A575" i="1" s="1"/>
  <c r="A576" i="1" s="1"/>
  <c r="A577" i="1" s="1"/>
  <c r="H573" i="1"/>
  <c r="A578" i="1" l="1"/>
  <c r="H577" i="1"/>
  <c r="A579" i="1" l="1"/>
  <c r="H578" i="1"/>
  <c r="A580" i="1" l="1"/>
  <c r="A581" i="1" s="1"/>
  <c r="A582" i="1" s="1"/>
  <c r="A583" i="1" s="1"/>
  <c r="H579" i="1"/>
  <c r="A584" i="1" l="1"/>
  <c r="A585" i="1" s="1"/>
  <c r="A586" i="1" s="1"/>
  <c r="A587" i="1" s="1"/>
  <c r="A588" i="1" s="1"/>
  <c r="H583" i="1"/>
  <c r="A589" i="1" l="1"/>
  <c r="H588" i="1"/>
  <c r="A590" i="1" l="1"/>
  <c r="H589" i="1"/>
  <c r="A591" i="1" l="1"/>
  <c r="A592" i="1" s="1"/>
  <c r="A593" i="1" s="1"/>
  <c r="H590" i="1"/>
  <c r="A594" i="1" l="1"/>
  <c r="A595" i="1" s="1"/>
  <c r="A596" i="1" s="1"/>
  <c r="A597" i="1" s="1"/>
  <c r="H593" i="1"/>
  <c r="A598" i="1" l="1"/>
  <c r="A599" i="1" s="1"/>
  <c r="H597" i="1"/>
  <c r="A600" i="1" l="1"/>
  <c r="A601" i="1" s="1"/>
  <c r="A602" i="1" s="1"/>
  <c r="H599" i="1"/>
  <c r="A603" i="1" l="1"/>
  <c r="H602" i="1"/>
  <c r="A604" i="1" l="1"/>
  <c r="H603" i="1"/>
  <c r="A605" i="1" l="1"/>
  <c r="A606" i="1" s="1"/>
  <c r="H604" i="1"/>
  <c r="A607" i="1" l="1"/>
  <c r="H606" i="1"/>
  <c r="A608" i="1" l="1"/>
  <c r="A609" i="1" s="1"/>
  <c r="H607" i="1"/>
  <c r="A610" i="1" l="1"/>
  <c r="H609" i="1"/>
  <c r="A611" i="1" l="1"/>
  <c r="A612" i="1" s="1"/>
  <c r="A613" i="1" s="1"/>
  <c r="A614" i="1" s="1"/>
  <c r="A615" i="1" s="1"/>
  <c r="A616" i="1" s="1"/>
  <c r="A617" i="1" s="1"/>
  <c r="A618" i="1" s="1"/>
  <c r="H610" i="1"/>
  <c r="A619" i="1" l="1"/>
  <c r="H618" i="1"/>
  <c r="A620" i="1" l="1"/>
  <c r="A621" i="1" s="1"/>
  <c r="H619" i="1"/>
  <c r="A622" i="1" l="1"/>
  <c r="A623" i="1" s="1"/>
  <c r="A624" i="1" s="1"/>
  <c r="H621" i="1"/>
  <c r="A625" i="1" l="1"/>
  <c r="H624" i="1"/>
  <c r="A626" i="1" l="1"/>
  <c r="A627" i="1" s="1"/>
  <c r="A628" i="1" s="1"/>
  <c r="A629" i="1" s="1"/>
  <c r="A630" i="1" s="1"/>
  <c r="A631" i="1" s="1"/>
  <c r="A632" i="1" s="1"/>
  <c r="H625" i="1"/>
  <c r="A633" i="1" l="1"/>
  <c r="A634" i="1" s="1"/>
  <c r="H632" i="1"/>
  <c r="A635" i="1" l="1"/>
  <c r="H634" i="1"/>
  <c r="A636" i="1" l="1"/>
  <c r="A637" i="1" s="1"/>
  <c r="A638" i="1" s="1"/>
  <c r="A639" i="1" s="1"/>
  <c r="A640" i="1" s="1"/>
  <c r="A641" i="1" s="1"/>
  <c r="A642" i="1" s="1"/>
  <c r="H635" i="1"/>
  <c r="A643" i="1" l="1"/>
  <c r="A644" i="1" s="1"/>
  <c r="A645" i="1" s="1"/>
  <c r="A646" i="1" s="1"/>
  <c r="A647" i="1" s="1"/>
  <c r="A648" i="1" s="1"/>
  <c r="A649" i="1" s="1"/>
  <c r="A650" i="1" s="1"/>
  <c r="H642" i="1"/>
  <c r="A651" i="1" l="1"/>
  <c r="H650" i="1"/>
  <c r="A652" i="1" l="1"/>
  <c r="A653" i="1" s="1"/>
  <c r="A654" i="1" s="1"/>
  <c r="H651" i="1"/>
  <c r="A655" i="1" l="1"/>
  <c r="H654" i="1"/>
  <c r="A656" i="1" l="1"/>
  <c r="H655" i="1"/>
  <c r="A657" i="1" l="1"/>
  <c r="A658" i="1" s="1"/>
  <c r="A659" i="1" s="1"/>
  <c r="H656" i="1"/>
  <c r="A660" i="1" l="1"/>
  <c r="H659" i="1"/>
  <c r="A661" i="1" l="1"/>
  <c r="A662" i="1" s="1"/>
  <c r="A663" i="1" s="1"/>
  <c r="A664" i="1" s="1"/>
  <c r="A665" i="1" s="1"/>
  <c r="H660" i="1"/>
  <c r="A666" i="1" l="1"/>
  <c r="A667" i="1" s="1"/>
  <c r="A668" i="1" s="1"/>
  <c r="A669" i="1" s="1"/>
  <c r="A670" i="1" s="1"/>
  <c r="H665" i="1"/>
  <c r="A671" i="1" l="1"/>
  <c r="A672" i="1" s="1"/>
  <c r="A673" i="1" s="1"/>
  <c r="A674" i="1" s="1"/>
  <c r="H670" i="1"/>
  <c r="A675" i="1" l="1"/>
  <c r="H674" i="1"/>
  <c r="A676" i="1" l="1"/>
  <c r="A677" i="1" s="1"/>
  <c r="A678" i="1" s="1"/>
  <c r="A679" i="1" s="1"/>
  <c r="H675" i="1"/>
  <c r="A680" i="1" l="1"/>
  <c r="A681" i="1" s="1"/>
  <c r="A682" i="1" s="1"/>
  <c r="A683" i="1" s="1"/>
  <c r="H679" i="1"/>
  <c r="A684" i="1" l="1"/>
  <c r="A685" i="1" s="1"/>
  <c r="A686" i="1" s="1"/>
  <c r="H683" i="1"/>
  <c r="A687" i="1" l="1"/>
  <c r="A688" i="1" s="1"/>
  <c r="H686" i="1"/>
  <c r="A689" i="1" l="1"/>
  <c r="H688" i="1"/>
  <c r="A690" i="1" l="1"/>
  <c r="A691" i="1" s="1"/>
  <c r="A692" i="1" s="1"/>
  <c r="A693" i="1" s="1"/>
  <c r="A694" i="1" s="1"/>
  <c r="H689" i="1"/>
  <c r="A695" i="1" l="1"/>
  <c r="H694" i="1"/>
  <c r="A696" i="1" l="1"/>
  <c r="H695" i="1"/>
  <c r="A697" i="1" l="1"/>
  <c r="H696" i="1"/>
  <c r="A698" i="1" l="1"/>
  <c r="H697" i="1"/>
  <c r="A699" i="1" l="1"/>
  <c r="A700" i="1" s="1"/>
  <c r="A701" i="1" s="1"/>
  <c r="H698" i="1"/>
  <c r="A702" i="1" l="1"/>
  <c r="A703" i="1" s="1"/>
  <c r="A704" i="1" s="1"/>
  <c r="A705" i="1" s="1"/>
  <c r="A706" i="1" s="1"/>
  <c r="A707" i="1" s="1"/>
  <c r="A708" i="1" s="1"/>
  <c r="H701" i="1"/>
  <c r="A709" i="1" l="1"/>
  <c r="H708" i="1"/>
  <c r="A710" i="1" l="1"/>
  <c r="A711" i="1" s="1"/>
  <c r="H709" i="1"/>
  <c r="A712" i="1" l="1"/>
  <c r="A713" i="1" s="1"/>
  <c r="A714" i="1" s="1"/>
  <c r="A715" i="1" s="1"/>
  <c r="A716" i="1" s="1"/>
  <c r="A717" i="1" s="1"/>
  <c r="A718" i="1" s="1"/>
  <c r="H711" i="1"/>
  <c r="A719" i="1" l="1"/>
  <c r="H718" i="1"/>
  <c r="A720" i="1" l="1"/>
  <c r="H719" i="1"/>
  <c r="A721" i="1" l="1"/>
  <c r="H720" i="1"/>
  <c r="A722" i="1" l="1"/>
  <c r="A723" i="1" s="1"/>
  <c r="A724" i="1" s="1"/>
  <c r="H721" i="1"/>
  <c r="A725" i="1" l="1"/>
  <c r="H724" i="1"/>
  <c r="A726" i="1" l="1"/>
  <c r="A727" i="1" s="1"/>
  <c r="A728" i="1" s="1"/>
  <c r="A729" i="1" s="1"/>
  <c r="H725" i="1"/>
  <c r="A730" i="1" l="1"/>
  <c r="A731" i="1" s="1"/>
  <c r="A732" i="1" s="1"/>
  <c r="A733" i="1" s="1"/>
  <c r="A734" i="1" s="1"/>
  <c r="H729" i="1"/>
  <c r="A735" i="1" l="1"/>
  <c r="A736" i="1" s="1"/>
  <c r="A737" i="1" s="1"/>
  <c r="A738" i="1" s="1"/>
  <c r="H734" i="1"/>
  <c r="A739" i="1" l="1"/>
  <c r="A740" i="1" s="1"/>
  <c r="A741" i="1" s="1"/>
  <c r="H738" i="1"/>
  <c r="A742" i="1" l="1"/>
  <c r="A743" i="1" s="1"/>
  <c r="A744" i="1" s="1"/>
  <c r="A745" i="1" s="1"/>
  <c r="A746" i="1" s="1"/>
  <c r="H741" i="1"/>
  <c r="A747" i="1" l="1"/>
  <c r="H746" i="1"/>
  <c r="A748" i="1" l="1"/>
  <c r="H747" i="1"/>
  <c r="A749" i="1" l="1"/>
  <c r="A750" i="1" s="1"/>
  <c r="H748" i="1"/>
  <c r="A751" i="1" l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H750" i="1"/>
  <c r="A764" i="1" l="1"/>
  <c r="A765" i="1" s="1"/>
  <c r="A766" i="1" s="1"/>
  <c r="A767" i="1" s="1"/>
  <c r="A768" i="1" s="1"/>
  <c r="A769" i="1" s="1"/>
  <c r="A770" i="1" s="1"/>
  <c r="A771" i="1" s="1"/>
  <c r="H763" i="1"/>
  <c r="A772" i="1" l="1"/>
  <c r="A773" i="1" s="1"/>
  <c r="H771" i="1"/>
  <c r="A774" i="1" l="1"/>
  <c r="A775" i="1" s="1"/>
  <c r="H773" i="1"/>
  <c r="A776" i="1" l="1"/>
  <c r="A777" i="1" s="1"/>
  <c r="H775" i="1"/>
  <c r="A778" i="1" l="1"/>
  <c r="A779" i="1" s="1"/>
  <c r="A780" i="1" s="1"/>
  <c r="A781" i="1" s="1"/>
  <c r="H777" i="1"/>
  <c r="A782" i="1" l="1"/>
  <c r="H781" i="1"/>
  <c r="A783" i="1" l="1"/>
  <c r="A784" i="1" s="1"/>
  <c r="H782" i="1"/>
  <c r="A785" i="1" l="1"/>
  <c r="A786" i="1" s="1"/>
  <c r="H784" i="1"/>
  <c r="A787" i="1" l="1"/>
  <c r="H786" i="1"/>
  <c r="A788" i="1" l="1"/>
  <c r="H787" i="1"/>
  <c r="A789" i="1" l="1"/>
  <c r="H788" i="1"/>
  <c r="A790" i="1" l="1"/>
  <c r="A791" i="1" s="1"/>
  <c r="A792" i="1" s="1"/>
  <c r="A793" i="1" s="1"/>
  <c r="H789" i="1"/>
  <c r="A794" i="1" l="1"/>
  <c r="A795" i="1" s="1"/>
  <c r="A796" i="1" s="1"/>
  <c r="A797" i="1" s="1"/>
  <c r="A798" i="1" s="1"/>
  <c r="A799" i="1" s="1"/>
  <c r="A800" i="1" s="1"/>
  <c r="H793" i="1"/>
  <c r="A801" i="1" l="1"/>
  <c r="H800" i="1"/>
  <c r="A802" i="1" l="1"/>
  <c r="H801" i="1"/>
  <c r="A803" i="1" l="1"/>
  <c r="H802" i="1"/>
  <c r="A804" i="1" l="1"/>
  <c r="H803" i="1"/>
  <c r="A805" i="1" l="1"/>
  <c r="H804" i="1"/>
  <c r="A806" i="1" l="1"/>
  <c r="H805" i="1"/>
  <c r="A807" i="1" l="1"/>
  <c r="A808" i="1" s="1"/>
  <c r="A809" i="1" s="1"/>
  <c r="H806" i="1"/>
  <c r="A810" i="1" l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H809" i="1"/>
  <c r="A823" i="1" l="1"/>
  <c r="A824" i="1" s="1"/>
  <c r="A825" i="1" s="1"/>
  <c r="A826" i="1" s="1"/>
  <c r="H822" i="1"/>
  <c r="A827" i="1" l="1"/>
  <c r="A828" i="1" s="1"/>
  <c r="H826" i="1"/>
  <c r="A829" i="1" l="1"/>
  <c r="A830" i="1" s="1"/>
  <c r="A831" i="1" s="1"/>
  <c r="H828" i="1"/>
  <c r="A832" i="1" l="1"/>
  <c r="A833" i="1" s="1"/>
  <c r="H831" i="1"/>
  <c r="A834" i="1" l="1"/>
  <c r="A835" i="1" s="1"/>
  <c r="A836" i="1" s="1"/>
  <c r="H833" i="1"/>
  <c r="A837" i="1" l="1"/>
  <c r="H836" i="1"/>
  <c r="A838" i="1" l="1"/>
  <c r="A839" i="1" s="1"/>
  <c r="A840" i="1" s="1"/>
  <c r="A841" i="1" s="1"/>
  <c r="H837" i="1"/>
  <c r="A842" i="1" l="1"/>
  <c r="A843" i="1" s="1"/>
  <c r="A844" i="1" s="1"/>
  <c r="A845" i="1" s="1"/>
  <c r="A846" i="1" s="1"/>
  <c r="H841" i="1"/>
  <c r="A847" i="1" l="1"/>
  <c r="H846" i="1"/>
  <c r="A848" i="1" l="1"/>
  <c r="A849" i="1" s="1"/>
  <c r="A850" i="1" s="1"/>
  <c r="H847" i="1"/>
  <c r="A851" i="1" l="1"/>
  <c r="H850" i="1"/>
  <c r="A852" i="1" l="1"/>
  <c r="A853" i="1" s="1"/>
  <c r="A854" i="1" s="1"/>
  <c r="A855" i="1" s="1"/>
  <c r="A856" i="1" s="1"/>
  <c r="A857" i="1" s="1"/>
  <c r="H851" i="1"/>
  <c r="A858" i="1" l="1"/>
  <c r="H857" i="1"/>
  <c r="A859" i="1" l="1"/>
  <c r="A860" i="1" s="1"/>
  <c r="A861" i="1" s="1"/>
  <c r="A862" i="1" s="1"/>
  <c r="A863" i="1" s="1"/>
  <c r="A864" i="1" s="1"/>
  <c r="A865" i="1" s="1"/>
  <c r="H858" i="1"/>
  <c r="A866" i="1" l="1"/>
  <c r="H865" i="1"/>
  <c r="A867" i="1" l="1"/>
  <c r="A868" i="1" s="1"/>
  <c r="A869" i="1" s="1"/>
  <c r="A870" i="1" s="1"/>
  <c r="H866" i="1"/>
  <c r="A871" i="1" l="1"/>
  <c r="A872" i="1" s="1"/>
  <c r="H870" i="1"/>
  <c r="A873" i="1" l="1"/>
  <c r="H872" i="1"/>
  <c r="A874" i="1" l="1"/>
  <c r="A875" i="1" s="1"/>
  <c r="A876" i="1" s="1"/>
  <c r="A877" i="1" s="1"/>
  <c r="H873" i="1"/>
  <c r="A878" i="1" l="1"/>
  <c r="A879" i="1" s="1"/>
  <c r="H877" i="1"/>
  <c r="A880" i="1" l="1"/>
  <c r="A881" i="1" s="1"/>
  <c r="A882" i="1" s="1"/>
  <c r="H879" i="1"/>
  <c r="A883" i="1" l="1"/>
  <c r="H882" i="1"/>
  <c r="A884" i="1" l="1"/>
  <c r="H883" i="1"/>
  <c r="A885" i="1" l="1"/>
  <c r="H884" i="1"/>
  <c r="A886" i="1" l="1"/>
  <c r="A887" i="1" s="1"/>
  <c r="H885" i="1"/>
  <c r="A888" i="1" l="1"/>
  <c r="A889" i="1" s="1"/>
  <c r="A890" i="1" s="1"/>
  <c r="H887" i="1"/>
  <c r="A891" i="1" l="1"/>
  <c r="A892" i="1" s="1"/>
  <c r="H890" i="1"/>
  <c r="A893" i="1" l="1"/>
  <c r="H892" i="1"/>
  <c r="A894" i="1" l="1"/>
  <c r="A895" i="1" s="1"/>
  <c r="H893" i="1"/>
  <c r="A896" i="1" l="1"/>
  <c r="H895" i="1"/>
  <c r="A897" i="1" l="1"/>
  <c r="A898" i="1" s="1"/>
  <c r="H896" i="1"/>
  <c r="A899" i="1" l="1"/>
  <c r="H898" i="1"/>
  <c r="A900" i="1" l="1"/>
  <c r="A901" i="1" s="1"/>
  <c r="A902" i="1" s="1"/>
  <c r="A903" i="1" s="1"/>
  <c r="H899" i="1"/>
  <c r="A904" i="1" l="1"/>
  <c r="A905" i="1" s="1"/>
  <c r="A906" i="1" s="1"/>
  <c r="A907" i="1" s="1"/>
  <c r="A908" i="1" s="1"/>
  <c r="A909" i="1" s="1"/>
  <c r="H903" i="1"/>
  <c r="A910" i="1" l="1"/>
  <c r="A911" i="1" s="1"/>
  <c r="A912" i="1" s="1"/>
  <c r="H909" i="1"/>
  <c r="A913" i="1" l="1"/>
  <c r="A914" i="1" s="1"/>
  <c r="A915" i="1" s="1"/>
  <c r="A916" i="1" s="1"/>
  <c r="A917" i="1" s="1"/>
  <c r="A918" i="1" s="1"/>
  <c r="H912" i="1"/>
  <c r="A919" i="1" l="1"/>
  <c r="A920" i="1" s="1"/>
  <c r="H918" i="1"/>
  <c r="A921" i="1" l="1"/>
  <c r="H920" i="1"/>
  <c r="A922" i="1" l="1"/>
  <c r="A923" i="1" s="1"/>
  <c r="H921" i="1"/>
  <c r="A924" i="1" l="1"/>
  <c r="A925" i="1" s="1"/>
  <c r="H923" i="1"/>
  <c r="A926" i="1" l="1"/>
  <c r="A927" i="1" s="1"/>
  <c r="A928" i="1" s="1"/>
  <c r="A929" i="1" s="1"/>
  <c r="H925" i="1"/>
  <c r="A930" i="1" l="1"/>
  <c r="H929" i="1"/>
  <c r="A931" i="1" l="1"/>
  <c r="A932" i="1" s="1"/>
  <c r="H930" i="1"/>
  <c r="A933" i="1" l="1"/>
  <c r="A934" i="1" s="1"/>
  <c r="H932" i="1"/>
  <c r="A935" i="1" l="1"/>
  <c r="A936" i="1" s="1"/>
  <c r="H934" i="1"/>
  <c r="A937" i="1" l="1"/>
  <c r="H936" i="1"/>
  <c r="A938" i="1" l="1"/>
  <c r="H937" i="1"/>
  <c r="A939" i="1" l="1"/>
  <c r="A940" i="1" s="1"/>
  <c r="A941" i="1" s="1"/>
  <c r="H938" i="1"/>
  <c r="A942" i="1" l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H941" i="1"/>
  <c r="A954" i="1" l="1"/>
  <c r="H953" i="1"/>
  <c r="A955" i="1" l="1"/>
  <c r="A956" i="1" s="1"/>
  <c r="A957" i="1" s="1"/>
  <c r="H954" i="1"/>
  <c r="A958" i="1" l="1"/>
  <c r="H957" i="1"/>
  <c r="A959" i="1" l="1"/>
  <c r="A960" i="1" s="1"/>
  <c r="H958" i="1"/>
  <c r="A961" i="1" l="1"/>
  <c r="A962" i="1" s="1"/>
  <c r="A963" i="1" s="1"/>
  <c r="A964" i="1" s="1"/>
  <c r="A965" i="1" s="1"/>
  <c r="A966" i="1" s="1"/>
  <c r="A967" i="1" s="1"/>
  <c r="A968" i="1" s="1"/>
  <c r="H960" i="1"/>
  <c r="A969" i="1" l="1"/>
  <c r="A970" i="1" s="1"/>
  <c r="H968" i="1"/>
  <c r="A971" i="1" l="1"/>
  <c r="A972" i="1" s="1"/>
  <c r="A973" i="1" s="1"/>
  <c r="A974" i="1" s="1"/>
  <c r="A975" i="1" s="1"/>
  <c r="H970" i="1"/>
  <c r="A976" i="1" l="1"/>
  <c r="H975" i="1"/>
  <c r="A977" i="1" l="1"/>
  <c r="A978" i="1" s="1"/>
  <c r="A979" i="1" s="1"/>
  <c r="H976" i="1"/>
  <c r="A980" i="1" l="1"/>
  <c r="H979" i="1"/>
  <c r="A981" i="1" l="1"/>
  <c r="H980" i="1"/>
  <c r="A982" i="1" l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H981" i="1"/>
  <c r="A997" i="1" l="1"/>
  <c r="H996" i="1"/>
  <c r="A998" i="1" l="1"/>
  <c r="H997" i="1"/>
  <c r="A999" i="1" l="1"/>
  <c r="A1000" i="1" s="1"/>
  <c r="A1001" i="1" s="1"/>
  <c r="A1002" i="1" s="1"/>
  <c r="A1003" i="1" s="1"/>
  <c r="A1004" i="1" s="1"/>
  <c r="A1005" i="1" s="1"/>
  <c r="H998" i="1"/>
  <c r="A1006" i="1" l="1"/>
  <c r="H1005" i="1"/>
  <c r="A1007" i="1" l="1"/>
  <c r="H1006" i="1"/>
  <c r="A1008" i="1" l="1"/>
  <c r="A1009" i="1" s="1"/>
  <c r="A1010" i="1" s="1"/>
  <c r="A1011" i="1" s="1"/>
  <c r="H1007" i="1"/>
  <c r="A1012" i="1" l="1"/>
  <c r="H1011" i="1"/>
  <c r="A1013" i="1" l="1"/>
  <c r="H1012" i="1"/>
  <c r="A1014" i="1" l="1"/>
  <c r="A1015" i="1" s="1"/>
  <c r="H1013" i="1"/>
  <c r="A1016" i="1" l="1"/>
  <c r="H1015" i="1"/>
  <c r="A1017" i="1" l="1"/>
  <c r="A1018" i="1" s="1"/>
  <c r="H1016" i="1"/>
  <c r="A1019" i="1" l="1"/>
  <c r="H1018" i="1"/>
  <c r="A1020" i="1" l="1"/>
  <c r="A1021" i="1" s="1"/>
  <c r="A1022" i="1" s="1"/>
  <c r="A1023" i="1" s="1"/>
  <c r="A1024" i="1" s="1"/>
  <c r="A1025" i="1" s="1"/>
  <c r="H1019" i="1"/>
  <c r="A1026" i="1" l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H1025" i="1"/>
  <c r="A1039" i="1" l="1"/>
  <c r="A1040" i="1" s="1"/>
  <c r="A1041" i="1" s="1"/>
  <c r="A1042" i="1" s="1"/>
  <c r="A1043" i="1" s="1"/>
  <c r="A1044" i="1" s="1"/>
  <c r="A1045" i="1" s="1"/>
  <c r="A1046" i="1" s="1"/>
  <c r="H1038" i="1"/>
  <c r="A1047" i="1" l="1"/>
  <c r="A1048" i="1" s="1"/>
  <c r="H1046" i="1"/>
  <c r="A1049" i="1" l="1"/>
  <c r="H1048" i="1"/>
  <c r="A1050" i="1" l="1"/>
  <c r="A1051" i="1" s="1"/>
  <c r="H1049" i="1"/>
  <c r="A1052" i="1" l="1"/>
  <c r="A1053" i="1" s="1"/>
  <c r="A1054" i="1" s="1"/>
  <c r="A1055" i="1" s="1"/>
  <c r="A1056" i="1" s="1"/>
  <c r="A1057" i="1" s="1"/>
  <c r="H1051" i="1"/>
  <c r="A1058" i="1" l="1"/>
  <c r="H1057" i="1"/>
  <c r="A1059" i="1" l="1"/>
  <c r="A1060" i="1" s="1"/>
  <c r="A1061" i="1" s="1"/>
  <c r="A1062" i="1" s="1"/>
  <c r="A1063" i="1" s="1"/>
  <c r="H1058" i="1"/>
  <c r="A1064" i="1" l="1"/>
  <c r="H1063" i="1"/>
  <c r="A1065" i="1" l="1"/>
  <c r="H1064" i="1"/>
  <c r="A1066" i="1" l="1"/>
  <c r="A1067" i="1" s="1"/>
  <c r="H1065" i="1"/>
  <c r="A1068" i="1" l="1"/>
  <c r="A1069" i="1" s="1"/>
  <c r="A1070" i="1" s="1"/>
  <c r="A1071" i="1" s="1"/>
  <c r="H1067" i="1"/>
  <c r="A1072" i="1" l="1"/>
  <c r="A1073" i="1" s="1"/>
  <c r="H1071" i="1"/>
  <c r="A1074" i="1" l="1"/>
  <c r="H1073" i="1"/>
  <c r="A1075" i="1" l="1"/>
  <c r="A1076" i="1" s="1"/>
  <c r="A1077" i="1" s="1"/>
  <c r="H1074" i="1"/>
  <c r="A1078" i="1" l="1"/>
  <c r="H1077" i="1"/>
  <c r="A1079" i="1" l="1"/>
  <c r="A1080" i="1" s="1"/>
  <c r="A1081" i="1" s="1"/>
  <c r="H1078" i="1"/>
  <c r="A1082" i="1" l="1"/>
  <c r="A1083" i="1" s="1"/>
  <c r="A1084" i="1" s="1"/>
  <c r="A1085" i="1" s="1"/>
  <c r="A1086" i="1" s="1"/>
  <c r="A1087" i="1" s="1"/>
  <c r="H1081" i="1"/>
  <c r="A1088" i="1" l="1"/>
  <c r="A1089" i="1" s="1"/>
  <c r="A1090" i="1" s="1"/>
  <c r="A1091" i="1" s="1"/>
  <c r="A1092" i="1" s="1"/>
  <c r="H1087" i="1"/>
  <c r="A1093" i="1" l="1"/>
  <c r="A1094" i="1" s="1"/>
  <c r="A1095" i="1" s="1"/>
  <c r="A1096" i="1" s="1"/>
  <c r="H1092" i="1"/>
  <c r="A1097" i="1" l="1"/>
  <c r="H1096" i="1"/>
  <c r="A1098" i="1" l="1"/>
  <c r="H1097" i="1"/>
  <c r="A1099" i="1" l="1"/>
  <c r="H1098" i="1"/>
  <c r="A1100" i="1" l="1"/>
  <c r="A1101" i="1" s="1"/>
  <c r="A1102" i="1" s="1"/>
  <c r="H1099" i="1"/>
  <c r="A1103" i="1" l="1"/>
  <c r="A1104" i="1" s="1"/>
  <c r="A1105" i="1" s="1"/>
  <c r="A1106" i="1" s="1"/>
  <c r="H1102" i="1"/>
  <c r="A1107" i="1" l="1"/>
  <c r="A1108" i="1" s="1"/>
  <c r="A1109" i="1" s="1"/>
  <c r="A1110" i="1" s="1"/>
  <c r="H1106" i="1"/>
  <c r="A1111" i="1" l="1"/>
  <c r="A1112" i="1" s="1"/>
  <c r="H1110" i="1"/>
  <c r="A1113" i="1" l="1"/>
  <c r="H1112" i="1"/>
  <c r="A1114" i="1" l="1"/>
  <c r="A1115" i="1" s="1"/>
  <c r="H1113" i="1"/>
  <c r="A1116" i="1" l="1"/>
  <c r="H1115" i="1"/>
  <c r="A1117" i="1" l="1"/>
  <c r="A1118" i="1" s="1"/>
  <c r="A1119" i="1" s="1"/>
  <c r="A1120" i="1" s="1"/>
  <c r="A1121" i="1" s="1"/>
  <c r="A1122" i="1" s="1"/>
  <c r="A1123" i="1" s="1"/>
  <c r="A1124" i="1" s="1"/>
  <c r="A1125" i="1" s="1"/>
  <c r="A1126" i="1" s="1"/>
  <c r="H1116" i="1"/>
  <c r="A1127" i="1" l="1"/>
  <c r="A1128" i="1" s="1"/>
  <c r="A1129" i="1" s="1"/>
  <c r="H1126" i="1"/>
  <c r="A1130" i="1" l="1"/>
  <c r="H1129" i="1"/>
  <c r="A1131" i="1" l="1"/>
  <c r="H1130" i="1"/>
  <c r="A1132" i="1" l="1"/>
  <c r="H1131" i="1"/>
  <c r="A1133" i="1" l="1"/>
  <c r="A1134" i="1" s="1"/>
  <c r="A1135" i="1" s="1"/>
  <c r="A1136" i="1" s="1"/>
  <c r="A1137" i="1" s="1"/>
  <c r="H1132" i="1"/>
  <c r="A1138" i="1" l="1"/>
  <c r="A1139" i="1" s="1"/>
  <c r="A1140" i="1" s="1"/>
  <c r="H1137" i="1"/>
  <c r="A1141" i="1" l="1"/>
  <c r="A1142" i="1" s="1"/>
  <c r="A1143" i="1" s="1"/>
  <c r="A1144" i="1" s="1"/>
  <c r="H1140" i="1"/>
  <c r="A1145" i="1" l="1"/>
  <c r="A1146" i="1" s="1"/>
  <c r="A1147" i="1" s="1"/>
  <c r="H1144" i="1"/>
  <c r="A1148" i="1" l="1"/>
  <c r="A1149" i="1" s="1"/>
  <c r="A1150" i="1" s="1"/>
  <c r="A1151" i="1" s="1"/>
  <c r="A1152" i="1" s="1"/>
  <c r="A1153" i="1" s="1"/>
  <c r="H1147" i="1"/>
  <c r="A1154" i="1" l="1"/>
  <c r="A1155" i="1" s="1"/>
  <c r="A1156" i="1" s="1"/>
  <c r="H1153" i="1"/>
  <c r="A1157" i="1" l="1"/>
  <c r="H1156" i="1"/>
  <c r="A1158" i="1" l="1"/>
  <c r="A1159" i="1" s="1"/>
  <c r="A1160" i="1" s="1"/>
  <c r="A1161" i="1" s="1"/>
  <c r="A1162" i="1" s="1"/>
  <c r="A1163" i="1" s="1"/>
  <c r="A1164" i="1" s="1"/>
  <c r="H1157" i="1"/>
  <c r="A1165" i="1" l="1"/>
  <c r="A1166" i="1" s="1"/>
  <c r="H1164" i="1"/>
  <c r="A1167" i="1" l="1"/>
  <c r="A1168" i="1" s="1"/>
  <c r="H1166" i="1"/>
  <c r="A1169" i="1" l="1"/>
  <c r="H1168" i="1"/>
  <c r="A1170" i="1" l="1"/>
  <c r="A1171" i="1" s="1"/>
  <c r="H1169" i="1"/>
  <c r="A1172" i="1" l="1"/>
  <c r="H1171" i="1"/>
  <c r="A1173" i="1" l="1"/>
  <c r="H1172" i="1"/>
  <c r="A1174" i="1" l="1"/>
  <c r="A1175" i="1" s="1"/>
  <c r="H1173" i="1"/>
  <c r="A1176" i="1" l="1"/>
  <c r="A1177" i="1" s="1"/>
  <c r="A1178" i="1" s="1"/>
  <c r="A1179" i="1" s="1"/>
  <c r="A1180" i="1" s="1"/>
  <c r="A1181" i="1" s="1"/>
  <c r="A1182" i="1" s="1"/>
  <c r="H1175" i="1"/>
  <c r="A1183" i="1" l="1"/>
  <c r="A1184" i="1" s="1"/>
  <c r="A1185" i="1" s="1"/>
  <c r="H1182" i="1"/>
  <c r="A1186" i="1" l="1"/>
  <c r="A1187" i="1" s="1"/>
  <c r="H1185" i="1"/>
  <c r="A1188" i="1" l="1"/>
  <c r="A1189" i="1" s="1"/>
  <c r="A1190" i="1" s="1"/>
  <c r="A1191" i="1" s="1"/>
  <c r="H1187" i="1"/>
  <c r="A1192" i="1" l="1"/>
  <c r="H1191" i="1"/>
  <c r="A1193" i="1" l="1"/>
  <c r="H1192" i="1"/>
  <c r="A1194" i="1" l="1"/>
  <c r="H1193" i="1"/>
  <c r="A1195" i="1" l="1"/>
  <c r="A1196" i="1" s="1"/>
  <c r="H1194" i="1"/>
  <c r="A1197" i="1" l="1"/>
  <c r="A1198" i="1" s="1"/>
  <c r="H1196" i="1"/>
  <c r="A1199" i="1" l="1"/>
  <c r="A1200" i="1" s="1"/>
  <c r="A1201" i="1" s="1"/>
  <c r="H1198" i="1"/>
  <c r="A1202" i="1" l="1"/>
  <c r="H1201" i="1"/>
  <c r="A1203" i="1" l="1"/>
  <c r="A1204" i="1" s="1"/>
  <c r="H1202" i="1"/>
  <c r="A1205" i="1" l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H1204" i="1"/>
  <c r="A1218" i="1" l="1"/>
  <c r="A1219" i="1" s="1"/>
  <c r="H1217" i="1"/>
  <c r="A1220" i="1" l="1"/>
  <c r="A1221" i="1" s="1"/>
  <c r="A1222" i="1" s="1"/>
  <c r="H1219" i="1"/>
  <c r="A1223" i="1" l="1"/>
  <c r="H1222" i="1"/>
  <c r="A1224" i="1" l="1"/>
  <c r="H1223" i="1"/>
  <c r="A1225" i="1" l="1"/>
  <c r="A1226" i="1" s="1"/>
  <c r="H1224" i="1"/>
  <c r="A1227" i="1" l="1"/>
  <c r="A1228" i="1" s="1"/>
  <c r="H1226" i="1"/>
  <c r="A1229" i="1" l="1"/>
  <c r="A1230" i="1" s="1"/>
  <c r="H1228" i="1"/>
  <c r="A1231" i="1" l="1"/>
  <c r="H1230" i="1"/>
  <c r="A1232" i="1" l="1"/>
  <c r="H1231" i="1"/>
  <c r="A1233" i="1" l="1"/>
  <c r="A1234" i="1" s="1"/>
  <c r="A1235" i="1" s="1"/>
  <c r="H1232" i="1"/>
  <c r="A1236" i="1" l="1"/>
  <c r="H1235" i="1"/>
  <c r="A1237" i="1" l="1"/>
  <c r="H1236" i="1"/>
  <c r="A1238" i="1" l="1"/>
  <c r="A1239" i="1" s="1"/>
  <c r="H1237" i="1"/>
  <c r="A1240" i="1" l="1"/>
  <c r="A1241" i="1" s="1"/>
  <c r="A1242" i="1" s="1"/>
  <c r="H1239" i="1"/>
  <c r="A1243" i="1" l="1"/>
  <c r="A1244" i="1" s="1"/>
  <c r="H1242" i="1"/>
  <c r="A1245" i="1" l="1"/>
  <c r="A1246" i="1" s="1"/>
  <c r="A1247" i="1" s="1"/>
  <c r="H1244" i="1"/>
  <c r="A1248" i="1" l="1"/>
  <c r="H1247" i="1"/>
  <c r="A1249" i="1" l="1"/>
  <c r="A1250" i="1" s="1"/>
  <c r="A1251" i="1" s="1"/>
  <c r="A1252" i="1" s="1"/>
  <c r="A1253" i="1" s="1"/>
  <c r="A1254" i="1" s="1"/>
  <c r="A1255" i="1" s="1"/>
  <c r="A1256" i="1" s="1"/>
  <c r="H1248" i="1"/>
  <c r="A1257" i="1" l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H1256" i="1"/>
  <c r="A1272" i="1" l="1"/>
  <c r="A1273" i="1" s="1"/>
  <c r="A1274" i="1" s="1"/>
  <c r="H1271" i="1"/>
  <c r="A1275" i="1" l="1"/>
  <c r="A1276" i="1" s="1"/>
  <c r="A1277" i="1" s="1"/>
  <c r="H1274" i="1"/>
  <c r="A1278" i="1" l="1"/>
  <c r="A1279" i="1" s="1"/>
  <c r="A1280" i="1" s="1"/>
  <c r="H1277" i="1"/>
  <c r="A1281" i="1" l="1"/>
  <c r="H1280" i="1"/>
  <c r="A1282" i="1" l="1"/>
  <c r="A1283" i="1" s="1"/>
  <c r="A1284" i="1" s="1"/>
  <c r="A1285" i="1" s="1"/>
  <c r="A1286" i="1" s="1"/>
  <c r="A1287" i="1" s="1"/>
  <c r="H1281" i="1"/>
  <c r="A1288" i="1" l="1"/>
  <c r="A1289" i="1" s="1"/>
  <c r="A1290" i="1" s="1"/>
  <c r="H1287" i="1"/>
  <c r="A1291" i="1" l="1"/>
  <c r="A1292" i="1" s="1"/>
  <c r="H1290" i="1"/>
  <c r="A1293" i="1" l="1"/>
  <c r="H1292" i="1"/>
  <c r="A1294" i="1" l="1"/>
  <c r="H1293" i="1"/>
  <c r="A1295" i="1" l="1"/>
  <c r="H1294" i="1"/>
  <c r="A1296" i="1" l="1"/>
  <c r="H1295" i="1"/>
  <c r="A1297" i="1" l="1"/>
  <c r="A1298" i="1" s="1"/>
  <c r="H1296" i="1"/>
  <c r="A1299" i="1" l="1"/>
  <c r="H1298" i="1"/>
  <c r="A1300" i="1" l="1"/>
  <c r="A1301" i="1" s="1"/>
  <c r="H1299" i="1"/>
  <c r="A1302" i="1" l="1"/>
  <c r="A1303" i="1" s="1"/>
  <c r="A1304" i="1" s="1"/>
  <c r="A1305" i="1" s="1"/>
  <c r="A1306" i="1" s="1"/>
  <c r="A1307" i="1" s="1"/>
  <c r="H1301" i="1"/>
  <c r="A1308" i="1" l="1"/>
  <c r="H1307" i="1"/>
  <c r="A1309" i="1" l="1"/>
  <c r="H1308" i="1"/>
  <c r="A1310" i="1" l="1"/>
  <c r="A1311" i="1" s="1"/>
  <c r="H1309" i="1"/>
  <c r="A1312" i="1" l="1"/>
  <c r="H1311" i="1"/>
  <c r="A1313" i="1" l="1"/>
  <c r="H1312" i="1"/>
  <c r="A1314" i="1" l="1"/>
  <c r="A1315" i="1" s="1"/>
  <c r="H1313" i="1"/>
  <c r="A1316" i="1" l="1"/>
  <c r="H1315" i="1"/>
  <c r="A1317" i="1" l="1"/>
  <c r="A1318" i="1" s="1"/>
  <c r="A1319" i="1" s="1"/>
  <c r="H1316" i="1"/>
  <c r="A1320" i="1" l="1"/>
  <c r="H1319" i="1"/>
  <c r="A1321" i="1" l="1"/>
  <c r="H1320" i="1"/>
  <c r="A1322" i="1" l="1"/>
  <c r="A1323" i="1" s="1"/>
  <c r="A1324" i="1" s="1"/>
  <c r="A1325" i="1" s="1"/>
  <c r="A1326" i="1" s="1"/>
  <c r="A1327" i="1" s="1"/>
  <c r="H1321" i="1"/>
  <c r="A1328" i="1" l="1"/>
  <c r="A1329" i="1" s="1"/>
  <c r="H1327" i="1"/>
  <c r="A1330" i="1" l="1"/>
  <c r="A1331" i="1" s="1"/>
  <c r="A1332" i="1" s="1"/>
  <c r="H1329" i="1"/>
  <c r="A1333" i="1" l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H1332" i="1"/>
  <c r="A1345" i="1" l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H1344" i="1"/>
  <c r="A1362" i="1" l="1"/>
  <c r="A1363" i="1" s="1"/>
  <c r="A1364" i="1" s="1"/>
  <c r="H1361" i="1"/>
  <c r="A1365" i="1" l="1"/>
  <c r="A1366" i="1" s="1"/>
  <c r="H1364" i="1"/>
  <c r="A1367" i="1" l="1"/>
  <c r="H1366" i="1"/>
  <c r="A1368" i="1" l="1"/>
  <c r="A1369" i="1" s="1"/>
  <c r="A1370" i="1" s="1"/>
  <c r="A1371" i="1" s="1"/>
  <c r="H1367" i="1"/>
  <c r="A1372" i="1" l="1"/>
  <c r="H1371" i="1"/>
  <c r="A1373" i="1" l="1"/>
  <c r="A1374" i="1" s="1"/>
  <c r="A1375" i="1" s="1"/>
  <c r="H1372" i="1"/>
  <c r="A1376" i="1" l="1"/>
  <c r="H1375" i="1"/>
  <c r="A1377" i="1" l="1"/>
  <c r="H1376" i="1"/>
  <c r="A1378" i="1" l="1"/>
  <c r="A1379" i="1" s="1"/>
  <c r="A1380" i="1" s="1"/>
  <c r="A1381" i="1" s="1"/>
  <c r="A1382" i="1" s="1"/>
  <c r="A1383" i="1" s="1"/>
  <c r="H1377" i="1"/>
  <c r="A1384" i="1" l="1"/>
  <c r="H1383" i="1"/>
  <c r="A1385" i="1" l="1"/>
  <c r="H1384" i="1"/>
  <c r="A1386" i="1" l="1"/>
  <c r="A1387" i="1" s="1"/>
  <c r="A1388" i="1" s="1"/>
  <c r="A1389" i="1" s="1"/>
  <c r="A1390" i="1" s="1"/>
  <c r="A1391" i="1" s="1"/>
  <c r="A1392" i="1" s="1"/>
  <c r="H1385" i="1"/>
  <c r="A1393" i="1" l="1"/>
  <c r="H1392" i="1"/>
  <c r="A1394" i="1" l="1"/>
  <c r="H1393" i="1"/>
  <c r="A1395" i="1" l="1"/>
  <c r="H1394" i="1"/>
  <c r="A1396" i="1" l="1"/>
  <c r="H1395" i="1"/>
  <c r="A1397" i="1" l="1"/>
  <c r="A1398" i="1" s="1"/>
  <c r="H1396" i="1"/>
  <c r="A1399" i="1" l="1"/>
  <c r="A1400" i="1" s="1"/>
  <c r="A1401" i="1" s="1"/>
  <c r="H1398" i="1"/>
  <c r="A1402" i="1" l="1"/>
  <c r="H1401" i="1"/>
  <c r="A1403" i="1" l="1"/>
  <c r="H1402" i="1"/>
  <c r="A1404" i="1" l="1"/>
  <c r="H1403" i="1"/>
  <c r="A1405" i="1" l="1"/>
  <c r="H1404" i="1"/>
  <c r="A1406" i="1" l="1"/>
  <c r="H1405" i="1"/>
  <c r="A1407" i="1" l="1"/>
  <c r="A1408" i="1" s="1"/>
  <c r="A1409" i="1" s="1"/>
  <c r="H1406" i="1"/>
  <c r="A1410" i="1" l="1"/>
  <c r="A1411" i="1" s="1"/>
  <c r="A1412" i="1" s="1"/>
  <c r="H1409" i="1"/>
  <c r="A1413" i="1" l="1"/>
  <c r="H1412" i="1"/>
  <c r="A1414" i="1" l="1"/>
  <c r="A1415" i="1" s="1"/>
  <c r="A1416" i="1" s="1"/>
  <c r="H1413" i="1"/>
  <c r="A1417" i="1" l="1"/>
  <c r="H1416" i="1"/>
  <c r="A1418" i="1" l="1"/>
  <c r="H1417" i="1"/>
  <c r="A1419" i="1" l="1"/>
  <c r="H1418" i="1"/>
  <c r="A1420" i="1" l="1"/>
  <c r="A1421" i="1" s="1"/>
  <c r="A1422" i="1" s="1"/>
  <c r="A1423" i="1" s="1"/>
  <c r="H1419" i="1"/>
  <c r="A1424" i="1" l="1"/>
  <c r="H1423" i="1"/>
  <c r="A1425" i="1" l="1"/>
  <c r="A1426" i="1" s="1"/>
  <c r="A1427" i="1" s="1"/>
  <c r="A1428" i="1" s="1"/>
  <c r="H1424" i="1"/>
  <c r="A1429" i="1" l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H1428" i="1"/>
  <c r="A1440" i="1" l="1"/>
  <c r="A1441" i="1" s="1"/>
  <c r="H1439" i="1"/>
  <c r="A1442" i="1" l="1"/>
  <c r="H1441" i="1"/>
  <c r="A1443" i="1" l="1"/>
  <c r="A1444" i="1" s="1"/>
  <c r="H1442" i="1"/>
  <c r="A1445" i="1" l="1"/>
  <c r="A1446" i="1" s="1"/>
  <c r="H1444" i="1"/>
  <c r="A1447" i="1" l="1"/>
  <c r="H1446" i="1"/>
  <c r="A1448" i="1" l="1"/>
  <c r="A1449" i="1" s="1"/>
  <c r="A1450" i="1" s="1"/>
  <c r="A1451" i="1" s="1"/>
  <c r="H1447" i="1"/>
  <c r="A1452" i="1" l="1"/>
  <c r="A1453" i="1" s="1"/>
  <c r="H1451" i="1"/>
  <c r="A1454" i="1" l="1"/>
  <c r="H1453" i="1"/>
  <c r="A1455" i="1" l="1"/>
  <c r="H1454" i="1"/>
  <c r="A1456" i="1" l="1"/>
  <c r="A1457" i="1" s="1"/>
  <c r="H1455" i="1"/>
  <c r="A1458" i="1" l="1"/>
  <c r="A1459" i="1" s="1"/>
  <c r="H1457" i="1"/>
  <c r="A1460" i="1" l="1"/>
  <c r="A1461" i="1" s="1"/>
  <c r="H1459" i="1"/>
  <c r="A1462" i="1" l="1"/>
  <c r="A1463" i="1" s="1"/>
  <c r="H1461" i="1"/>
  <c r="A1464" i="1" l="1"/>
  <c r="A1465" i="1" s="1"/>
  <c r="H1463" i="1"/>
  <c r="A1466" i="1" l="1"/>
  <c r="A1467" i="1" s="1"/>
  <c r="A1468" i="1" s="1"/>
  <c r="A1469" i="1" s="1"/>
  <c r="A1470" i="1" s="1"/>
  <c r="A1471" i="1" s="1"/>
  <c r="A1472" i="1" s="1"/>
  <c r="A1473" i="1" s="1"/>
  <c r="H1465" i="1"/>
  <c r="A1474" i="1" l="1"/>
  <c r="A1475" i="1" s="1"/>
  <c r="H1473" i="1"/>
  <c r="A1476" i="1" l="1"/>
  <c r="A1477" i="1" s="1"/>
  <c r="A1478" i="1" s="1"/>
  <c r="H1475" i="1"/>
  <c r="A1479" i="1" l="1"/>
  <c r="A1480" i="1" s="1"/>
  <c r="H1478" i="1"/>
  <c r="A1481" i="1" l="1"/>
  <c r="A1482" i="1" s="1"/>
  <c r="A1483" i="1" s="1"/>
  <c r="H1480" i="1"/>
  <c r="A1484" i="1" l="1"/>
  <c r="H1483" i="1"/>
  <c r="A1485" i="1" l="1"/>
  <c r="A1486" i="1" s="1"/>
  <c r="A1487" i="1" s="1"/>
  <c r="A1488" i="1" s="1"/>
  <c r="A1489" i="1" s="1"/>
  <c r="A1490" i="1" s="1"/>
  <c r="A1491" i="1" s="1"/>
  <c r="A1492" i="1" s="1"/>
  <c r="A1493" i="1" s="1"/>
  <c r="A1494" i="1" s="1"/>
  <c r="H1484" i="1"/>
  <c r="A1495" i="1" l="1"/>
  <c r="H1494" i="1"/>
  <c r="A1496" i="1" l="1"/>
  <c r="H1495" i="1"/>
  <c r="A1497" i="1" l="1"/>
  <c r="A1498" i="1" s="1"/>
  <c r="H1496" i="1"/>
  <c r="A1499" i="1" l="1"/>
  <c r="A1500" i="1" s="1"/>
  <c r="H1498" i="1"/>
  <c r="A1501" i="1" l="1"/>
  <c r="H1500" i="1"/>
  <c r="A1502" i="1" l="1"/>
  <c r="H1501" i="1"/>
  <c r="A1503" i="1" l="1"/>
  <c r="H1502" i="1"/>
  <c r="A1504" i="1" l="1"/>
  <c r="H1503" i="1"/>
  <c r="A1505" i="1" l="1"/>
  <c r="H1504" i="1"/>
  <c r="A1506" i="1" l="1"/>
  <c r="A1507" i="1" s="1"/>
  <c r="A1508" i="1" s="1"/>
  <c r="H1505" i="1"/>
  <c r="A1509" i="1" l="1"/>
  <c r="A1510" i="1" s="1"/>
  <c r="H1508" i="1"/>
  <c r="A1511" i="1" l="1"/>
  <c r="A1512" i="1" s="1"/>
  <c r="A1513" i="1" s="1"/>
  <c r="A1514" i="1" s="1"/>
  <c r="H1510" i="1"/>
  <c r="A1515" i="1" l="1"/>
  <c r="A1516" i="1" s="1"/>
  <c r="H1514" i="1"/>
  <c r="A1517" i="1" l="1"/>
  <c r="A1518" i="1" s="1"/>
  <c r="H1516" i="1"/>
  <c r="A1519" i="1" l="1"/>
  <c r="A1520" i="1" s="1"/>
  <c r="H1518" i="1"/>
  <c r="A1521" i="1" l="1"/>
  <c r="A1522" i="1" s="1"/>
  <c r="A1523" i="1" s="1"/>
  <c r="A1524" i="1" s="1"/>
  <c r="A1525" i="1" s="1"/>
  <c r="H1520" i="1"/>
  <c r="A1526" i="1" l="1"/>
  <c r="A1527" i="1" s="1"/>
  <c r="H1525" i="1"/>
  <c r="A1528" i="1" l="1"/>
  <c r="H1527" i="1"/>
  <c r="A1529" i="1" l="1"/>
  <c r="A1530" i="1" s="1"/>
  <c r="H1528" i="1"/>
  <c r="A1531" i="1" l="1"/>
  <c r="H1530" i="1"/>
  <c r="A1532" i="1" l="1"/>
  <c r="A1533" i="1" s="1"/>
  <c r="A1534" i="1" s="1"/>
  <c r="H1531" i="1"/>
  <c r="A1535" i="1" l="1"/>
  <c r="A1536" i="1" s="1"/>
  <c r="A1537" i="1" s="1"/>
  <c r="A1538" i="1" s="1"/>
  <c r="A1539" i="1" s="1"/>
  <c r="A1540" i="1" s="1"/>
  <c r="A1541" i="1" s="1"/>
  <c r="A1542" i="1" s="1"/>
  <c r="H1534" i="1"/>
  <c r="A1543" i="1" l="1"/>
  <c r="A1544" i="1" s="1"/>
  <c r="H1542" i="1"/>
  <c r="A1545" i="1" l="1"/>
  <c r="A1546" i="1" s="1"/>
  <c r="A1547" i="1" s="1"/>
  <c r="H1544" i="1"/>
  <c r="A1548" i="1" l="1"/>
  <c r="A1549" i="1" s="1"/>
  <c r="H1547" i="1"/>
  <c r="A1550" i="1" l="1"/>
  <c r="H1549" i="1"/>
  <c r="A1551" i="1" l="1"/>
  <c r="A1552" i="1" s="1"/>
  <c r="H1550" i="1"/>
  <c r="A1553" i="1" l="1"/>
  <c r="H1552" i="1"/>
  <c r="A1554" i="1" l="1"/>
  <c r="A1555" i="1" s="1"/>
  <c r="A1556" i="1" s="1"/>
  <c r="A1557" i="1" s="1"/>
  <c r="A1558" i="1" s="1"/>
  <c r="A1559" i="1" s="1"/>
  <c r="H1553" i="1"/>
  <c r="A1560" i="1" l="1"/>
  <c r="A1561" i="1" s="1"/>
  <c r="H1559" i="1"/>
  <c r="A1562" i="1" l="1"/>
  <c r="A1563" i="1" s="1"/>
  <c r="A1564" i="1" s="1"/>
  <c r="A1565" i="1" s="1"/>
  <c r="H1561" i="1"/>
  <c r="A1566" i="1" l="1"/>
  <c r="H1565" i="1"/>
  <c r="A1567" i="1" l="1"/>
  <c r="H1566" i="1"/>
  <c r="A1568" i="1" l="1"/>
  <c r="H1567" i="1"/>
  <c r="A1569" i="1" l="1"/>
  <c r="H1568" i="1"/>
  <c r="A1570" i="1" l="1"/>
  <c r="H1569" i="1"/>
  <c r="A1571" i="1" l="1"/>
  <c r="A1572" i="1" s="1"/>
  <c r="A1573" i="1" s="1"/>
  <c r="A1574" i="1" s="1"/>
  <c r="A1575" i="1" s="1"/>
  <c r="H1570" i="1"/>
  <c r="A1576" i="1" l="1"/>
  <c r="H1575" i="1"/>
  <c r="A1577" i="1" l="1"/>
  <c r="H1576" i="1"/>
  <c r="A1578" i="1" l="1"/>
  <c r="H1577" i="1"/>
  <c r="A1579" i="1" l="1"/>
  <c r="A1580" i="1" s="1"/>
  <c r="H1578" i="1"/>
  <c r="A1581" i="1" l="1"/>
  <c r="A1582" i="1" s="1"/>
  <c r="A1583" i="1" s="1"/>
  <c r="A1584" i="1" s="1"/>
  <c r="H1580" i="1"/>
  <c r="A1585" i="1" l="1"/>
  <c r="A1586" i="1" s="1"/>
  <c r="A1587" i="1" s="1"/>
  <c r="H1584" i="1"/>
  <c r="A1588" i="1" l="1"/>
  <c r="A1589" i="1" s="1"/>
  <c r="H1587" i="1"/>
  <c r="A1590" i="1" l="1"/>
  <c r="A1591" i="1" s="1"/>
  <c r="H1589" i="1"/>
  <c r="A1592" i="1" l="1"/>
  <c r="A1593" i="1" s="1"/>
  <c r="A1594" i="1" s="1"/>
  <c r="A1595" i="1" s="1"/>
  <c r="A1596" i="1" s="1"/>
  <c r="A1597" i="1" s="1"/>
  <c r="A1598" i="1" s="1"/>
  <c r="A1599" i="1" s="1"/>
  <c r="A1600" i="1" s="1"/>
  <c r="A1601" i="1" s="1"/>
  <c r="A1602" i="1" s="1"/>
  <c r="H1591" i="1"/>
  <c r="A1603" i="1" l="1"/>
  <c r="H1602" i="1"/>
  <c r="A1604" i="1" l="1"/>
  <c r="A1605" i="1" s="1"/>
  <c r="A1606" i="1" s="1"/>
  <c r="H1603" i="1"/>
  <c r="A1607" i="1" l="1"/>
  <c r="A1608" i="1" s="1"/>
  <c r="A1609" i="1" s="1"/>
  <c r="A1610" i="1" s="1"/>
  <c r="A1611" i="1" s="1"/>
  <c r="A1612" i="1" s="1"/>
  <c r="A1613" i="1" s="1"/>
  <c r="A1614" i="1" s="1"/>
  <c r="A1615" i="1" s="1"/>
  <c r="A1616" i="1" s="1"/>
  <c r="H1606" i="1"/>
  <c r="A1617" i="1" l="1"/>
  <c r="A1618" i="1" s="1"/>
  <c r="A1619" i="1" s="1"/>
  <c r="A1620" i="1" s="1"/>
  <c r="H1616" i="1"/>
  <c r="A1621" i="1" l="1"/>
  <c r="A1622" i="1" s="1"/>
  <c r="A1623" i="1" s="1"/>
  <c r="A1624" i="1" s="1"/>
  <c r="A1625" i="1" s="1"/>
  <c r="A1626" i="1" s="1"/>
  <c r="A1627" i="1" s="1"/>
  <c r="H1620" i="1"/>
  <c r="A1628" i="1" l="1"/>
  <c r="A1629" i="1" s="1"/>
  <c r="A1630" i="1" s="1"/>
  <c r="A1631" i="1" s="1"/>
  <c r="A1632" i="1" s="1"/>
  <c r="A1633" i="1" s="1"/>
  <c r="A1634" i="1" s="1"/>
  <c r="A1635" i="1" s="1"/>
  <c r="A1636" i="1" s="1"/>
  <c r="A1637" i="1" s="1"/>
  <c r="A1638" i="1" s="1"/>
  <c r="A1639" i="1" s="1"/>
  <c r="A1640" i="1" s="1"/>
  <c r="A1641" i="1" s="1"/>
  <c r="A1642" i="1" s="1"/>
  <c r="A1643" i="1" s="1"/>
  <c r="A1644" i="1" s="1"/>
  <c r="H1627" i="1"/>
  <c r="A1645" i="1" l="1"/>
  <c r="A1646" i="1" s="1"/>
  <c r="A1647" i="1" s="1"/>
  <c r="H1644" i="1"/>
  <c r="A1648" i="1" l="1"/>
  <c r="H1647" i="1"/>
  <c r="A1649" i="1" l="1"/>
  <c r="A1650" i="1" s="1"/>
  <c r="A1651" i="1" s="1"/>
  <c r="A1652" i="1" s="1"/>
  <c r="A1653" i="1" s="1"/>
  <c r="A1654" i="1" s="1"/>
  <c r="H1648" i="1"/>
  <c r="A1655" i="1" l="1"/>
  <c r="A1656" i="1" s="1"/>
  <c r="A1657" i="1" s="1"/>
  <c r="H1654" i="1"/>
  <c r="A1658" i="1" l="1"/>
  <c r="A1659" i="1" s="1"/>
  <c r="A1660" i="1" s="1"/>
  <c r="A1661" i="1" s="1"/>
  <c r="A1662" i="1" s="1"/>
  <c r="A1663" i="1" s="1"/>
  <c r="A1664" i="1" s="1"/>
  <c r="A1665" i="1" s="1"/>
  <c r="H1657" i="1"/>
  <c r="A1666" i="1" l="1"/>
  <c r="H1665" i="1"/>
  <c r="A1667" i="1" l="1"/>
  <c r="H1666" i="1"/>
  <c r="A1668" i="1" l="1"/>
  <c r="A1669" i="1" s="1"/>
  <c r="H1667" i="1"/>
  <c r="A1670" i="1" l="1"/>
  <c r="A1671" i="1" s="1"/>
  <c r="A1672" i="1" s="1"/>
  <c r="H1669" i="1"/>
  <c r="A1673" i="1" l="1"/>
  <c r="H1672" i="1"/>
  <c r="A1674" i="1" l="1"/>
  <c r="H1673" i="1"/>
  <c r="A1675" i="1" l="1"/>
  <c r="A1676" i="1" s="1"/>
  <c r="A1677" i="1" s="1"/>
  <c r="H1674" i="1"/>
  <c r="A1678" i="1" l="1"/>
  <c r="A1679" i="1" s="1"/>
  <c r="A1680" i="1" s="1"/>
  <c r="A1681" i="1" s="1"/>
  <c r="A1682" i="1" s="1"/>
  <c r="A1683" i="1" s="1"/>
  <c r="H1677" i="1"/>
  <c r="A1684" i="1" l="1"/>
  <c r="A1685" i="1" s="1"/>
  <c r="A1686" i="1" s="1"/>
  <c r="A1687" i="1" s="1"/>
  <c r="A1688" i="1" s="1"/>
  <c r="A1689" i="1" s="1"/>
  <c r="A1690" i="1" s="1"/>
  <c r="A1691" i="1" s="1"/>
  <c r="A1692" i="1" s="1"/>
  <c r="H1683" i="1"/>
  <c r="A1693" i="1" l="1"/>
  <c r="A1694" i="1" s="1"/>
  <c r="A1695" i="1" s="1"/>
  <c r="A1696" i="1" s="1"/>
  <c r="A1697" i="1" s="1"/>
  <c r="A1698" i="1" s="1"/>
  <c r="A1699" i="1" s="1"/>
  <c r="H1692" i="1"/>
  <c r="A1700" i="1" l="1"/>
  <c r="H1699" i="1"/>
  <c r="A1701" i="1" l="1"/>
  <c r="H1700" i="1"/>
  <c r="A1702" i="1" l="1"/>
  <c r="H1701" i="1"/>
  <c r="A1703" i="1" l="1"/>
  <c r="A1704" i="1" s="1"/>
  <c r="A1705" i="1" s="1"/>
  <c r="A1706" i="1" s="1"/>
  <c r="H1702" i="1"/>
  <c r="A1707" i="1" l="1"/>
  <c r="H1706" i="1"/>
  <c r="A1708" i="1" l="1"/>
  <c r="A1709" i="1" s="1"/>
  <c r="A1710" i="1" s="1"/>
  <c r="H1707" i="1"/>
  <c r="A1711" i="1" l="1"/>
  <c r="A1712" i="1" s="1"/>
  <c r="A1713" i="1" s="1"/>
  <c r="H1710" i="1"/>
  <c r="A1714" i="1" l="1"/>
  <c r="H1713" i="1"/>
  <c r="A1715" i="1" l="1"/>
  <c r="A1716" i="1" s="1"/>
  <c r="H1714" i="1"/>
  <c r="A1717" i="1" l="1"/>
  <c r="H1716" i="1"/>
  <c r="A1718" i="1" l="1"/>
  <c r="H1717" i="1"/>
  <c r="A1719" i="1" l="1"/>
  <c r="H1718" i="1"/>
  <c r="A1720" i="1" l="1"/>
  <c r="A1721" i="1" s="1"/>
  <c r="A1722" i="1" s="1"/>
  <c r="A1723" i="1" s="1"/>
  <c r="A1724" i="1" s="1"/>
  <c r="A1725" i="1" s="1"/>
  <c r="A1726" i="1" s="1"/>
  <c r="H1719" i="1"/>
  <c r="A1727" i="1" l="1"/>
  <c r="H1726" i="1"/>
  <c r="A1728" i="1" l="1"/>
  <c r="H1727" i="1"/>
  <c r="A1729" i="1" l="1"/>
  <c r="A1730" i="1" s="1"/>
  <c r="H1728" i="1"/>
  <c r="A1731" i="1" l="1"/>
  <c r="A1732" i="1" s="1"/>
  <c r="A1733" i="1" s="1"/>
  <c r="A1734" i="1" s="1"/>
  <c r="H1730" i="1"/>
  <c r="A1735" i="1" l="1"/>
  <c r="A1736" i="1" s="1"/>
  <c r="A1737" i="1" s="1"/>
  <c r="H1734" i="1"/>
  <c r="A1738" i="1" l="1"/>
  <c r="A1739" i="1" s="1"/>
  <c r="H1737" i="1"/>
  <c r="A1740" i="1" l="1"/>
  <c r="A1741" i="1" s="1"/>
  <c r="H1739" i="1"/>
  <c r="A1742" i="1" l="1"/>
  <c r="H1741" i="1"/>
  <c r="A1743" i="1" l="1"/>
  <c r="H1742" i="1"/>
  <c r="A1744" i="1" l="1"/>
  <c r="H1743" i="1"/>
  <c r="A1745" i="1" l="1"/>
  <c r="A1746" i="1" s="1"/>
  <c r="A1747" i="1" s="1"/>
  <c r="H1744" i="1"/>
  <c r="A1748" i="1" l="1"/>
  <c r="A1749" i="1" s="1"/>
  <c r="A1750" i="1" s="1"/>
  <c r="A1751" i="1" s="1"/>
  <c r="H1747" i="1"/>
  <c r="A1752" i="1" l="1"/>
  <c r="A1753" i="1" s="1"/>
  <c r="A1754" i="1" s="1"/>
  <c r="H1751" i="1"/>
  <c r="A1755" i="1" l="1"/>
  <c r="H1754" i="1"/>
  <c r="A1756" i="1" l="1"/>
  <c r="A1757" i="1" s="1"/>
  <c r="A1758" i="1" s="1"/>
  <c r="A1759" i="1" s="1"/>
  <c r="H1755" i="1"/>
  <c r="A1760" i="1" l="1"/>
  <c r="H1759" i="1"/>
  <c r="A1761" i="1" l="1"/>
  <c r="H1760" i="1"/>
  <c r="A1762" i="1" l="1"/>
  <c r="A1763" i="1" s="1"/>
  <c r="H1761" i="1"/>
  <c r="A1764" i="1" l="1"/>
  <c r="H1763" i="1"/>
  <c r="A1765" i="1" l="1"/>
  <c r="A1766" i="1" s="1"/>
  <c r="A1767" i="1" s="1"/>
  <c r="H1764" i="1"/>
  <c r="A1768" i="1" l="1"/>
  <c r="A1769" i="1" s="1"/>
  <c r="A1770" i="1" s="1"/>
  <c r="A1771" i="1" s="1"/>
  <c r="A1772" i="1" s="1"/>
  <c r="H1767" i="1"/>
  <c r="A1773" i="1" l="1"/>
  <c r="H1772" i="1"/>
  <c r="A1774" i="1" l="1"/>
  <c r="A1775" i="1" s="1"/>
  <c r="A1776" i="1" s="1"/>
  <c r="A1777" i="1" s="1"/>
  <c r="H1773" i="1"/>
  <c r="A1778" i="1" l="1"/>
  <c r="A1779" i="1" s="1"/>
  <c r="A1780" i="1" s="1"/>
  <c r="A1781" i="1" s="1"/>
  <c r="A1782" i="1" s="1"/>
  <c r="A1783" i="1" s="1"/>
  <c r="H1777" i="1"/>
  <c r="A1784" i="1" l="1"/>
  <c r="H1783" i="1"/>
  <c r="A1785" i="1" l="1"/>
  <c r="H1784" i="1"/>
  <c r="A1786" i="1" l="1"/>
  <c r="H1785" i="1"/>
  <c r="A1787" i="1" l="1"/>
  <c r="H1786" i="1"/>
  <c r="A1788" i="1" l="1"/>
  <c r="H1787" i="1"/>
  <c r="A1789" i="1" l="1"/>
  <c r="H1788" i="1"/>
  <c r="A1790" i="1" l="1"/>
  <c r="H1789" i="1"/>
  <c r="A1791" i="1" l="1"/>
  <c r="H1790" i="1"/>
  <c r="A1792" i="1" l="1"/>
  <c r="H1791" i="1"/>
  <c r="A1793" i="1" l="1"/>
  <c r="A1794" i="1" s="1"/>
  <c r="A1795" i="1" s="1"/>
  <c r="A1796" i="1" s="1"/>
  <c r="A1797" i="1" s="1"/>
  <c r="A1798" i="1" s="1"/>
  <c r="A1799" i="1" s="1"/>
  <c r="A1800" i="1" s="1"/>
  <c r="H1792" i="1"/>
  <c r="A1801" i="1" l="1"/>
  <c r="H1800" i="1"/>
  <c r="A1802" i="1" l="1"/>
  <c r="H1801" i="1"/>
  <c r="A1803" i="1" l="1"/>
  <c r="A1804" i="1" s="1"/>
  <c r="A1805" i="1" s="1"/>
  <c r="A1806" i="1" s="1"/>
  <c r="A1807" i="1" s="1"/>
  <c r="H1802" i="1"/>
  <c r="A1808" i="1" l="1"/>
  <c r="H1807" i="1"/>
  <c r="A1809" i="1" l="1"/>
  <c r="H1808" i="1"/>
  <c r="A1810" i="1" l="1"/>
  <c r="A1811" i="1" s="1"/>
  <c r="H1809" i="1"/>
  <c r="A1812" i="1" l="1"/>
  <c r="H1811" i="1"/>
  <c r="A1813" i="1" l="1"/>
  <c r="H1812" i="1"/>
  <c r="A1814" i="1" l="1"/>
  <c r="A1815" i="1" s="1"/>
  <c r="A1816" i="1" s="1"/>
  <c r="A1817" i="1" s="1"/>
  <c r="A1818" i="1" s="1"/>
  <c r="A1819" i="1" s="1"/>
  <c r="A1820" i="1" s="1"/>
  <c r="A1821" i="1" s="1"/>
  <c r="H1813" i="1"/>
  <c r="A1822" i="1" l="1"/>
  <c r="H1821" i="1"/>
  <c r="A1823" i="1" l="1"/>
  <c r="H1822" i="1"/>
  <c r="A1824" i="1" l="1"/>
  <c r="H1823" i="1"/>
  <c r="A1825" i="1" l="1"/>
  <c r="H1824" i="1"/>
  <c r="A1826" i="1" l="1"/>
  <c r="H1825" i="1"/>
  <c r="H1826" i="1" l="1"/>
  <c r="A1827" i="1"/>
  <c r="A1828" i="1" s="1"/>
  <c r="A1829" i="1" l="1"/>
  <c r="H1828" i="1"/>
  <c r="A1830" i="1" l="1"/>
  <c r="A1831" i="1" s="1"/>
  <c r="H1829" i="1"/>
  <c r="A1832" i="1" l="1"/>
  <c r="A1833" i="1" s="1"/>
  <c r="H1831" i="1"/>
  <c r="A1834" i="1" l="1"/>
  <c r="A1835" i="1" s="1"/>
  <c r="A1836" i="1" s="1"/>
  <c r="H1833" i="1"/>
  <c r="A1837" i="1" l="1"/>
  <c r="A1838" i="1" s="1"/>
  <c r="H1836" i="1"/>
  <c r="A1839" i="1" l="1"/>
  <c r="A1840" i="1" s="1"/>
  <c r="H1838" i="1"/>
  <c r="A1841" i="1" l="1"/>
  <c r="H1840" i="1"/>
  <c r="A1842" i="1" l="1"/>
  <c r="A1843" i="1" s="1"/>
  <c r="H1841" i="1"/>
  <c r="A1844" i="1" l="1"/>
  <c r="H1843" i="1"/>
  <c r="A1845" i="1" l="1"/>
  <c r="A1846" i="1" s="1"/>
  <c r="A1847" i="1" s="1"/>
  <c r="H1844" i="1"/>
  <c r="A1848" i="1" l="1"/>
  <c r="A1849" i="1" s="1"/>
  <c r="A1850" i="1" s="1"/>
  <c r="H1847" i="1"/>
  <c r="A1851" i="1" l="1"/>
  <c r="A1852" i="1" s="1"/>
  <c r="A1853" i="1" s="1"/>
  <c r="A1854" i="1" s="1"/>
  <c r="A1855" i="1" s="1"/>
  <c r="A1856" i="1" s="1"/>
  <c r="A1857" i="1" s="1"/>
  <c r="A1858" i="1" s="1"/>
  <c r="A1859" i="1" s="1"/>
  <c r="A1860" i="1" s="1"/>
  <c r="A1861" i="1" s="1"/>
  <c r="A1862" i="1" s="1"/>
  <c r="A1863" i="1" s="1"/>
  <c r="A1864" i="1" s="1"/>
  <c r="A1865" i="1" s="1"/>
  <c r="A1866" i="1" s="1"/>
  <c r="H1850" i="1"/>
  <c r="A1867" i="1" l="1"/>
  <c r="A1868" i="1" s="1"/>
  <c r="H1866" i="1"/>
  <c r="A1869" i="1" l="1"/>
  <c r="H1868" i="1"/>
  <c r="A1870" i="1" l="1"/>
  <c r="A1871" i="1" s="1"/>
  <c r="H1869" i="1"/>
  <c r="A1872" i="1" l="1"/>
  <c r="H1871" i="1"/>
  <c r="A1873" i="1" l="1"/>
  <c r="A1874" i="1" s="1"/>
  <c r="H1872" i="1"/>
  <c r="A1875" i="1" l="1"/>
  <c r="A1876" i="1" s="1"/>
  <c r="A1877" i="1" s="1"/>
  <c r="H1874" i="1"/>
  <c r="A1878" i="1" l="1"/>
  <c r="A1879" i="1" s="1"/>
  <c r="H1877" i="1"/>
  <c r="A1880" i="1" l="1"/>
  <c r="H1879" i="1"/>
  <c r="A1881" i="1" l="1"/>
  <c r="H1880" i="1"/>
  <c r="A1882" i="1" l="1"/>
  <c r="H1881" i="1"/>
  <c r="A1883" i="1" l="1"/>
  <c r="A1884" i="1" s="1"/>
  <c r="A1885" i="1" s="1"/>
  <c r="A1886" i="1" s="1"/>
  <c r="H1882" i="1"/>
  <c r="A1887" i="1" l="1"/>
  <c r="A1888" i="1" s="1"/>
  <c r="A1889" i="1" s="1"/>
  <c r="A1890" i="1" s="1"/>
  <c r="A1891" i="1" s="1"/>
  <c r="A1892" i="1" s="1"/>
  <c r="A1893" i="1" s="1"/>
  <c r="A1894" i="1" s="1"/>
  <c r="A1895" i="1" s="1"/>
  <c r="A1896" i="1" s="1"/>
  <c r="A1897" i="1" s="1"/>
  <c r="H1886" i="1"/>
  <c r="A1898" i="1" l="1"/>
  <c r="H1897" i="1"/>
  <c r="A1899" i="1" l="1"/>
  <c r="H1898" i="1"/>
  <c r="A1900" i="1" l="1"/>
  <c r="H1899" i="1"/>
  <c r="A1901" i="1" l="1"/>
  <c r="A1902" i="1" s="1"/>
  <c r="H1900" i="1"/>
  <c r="A1903" i="1" l="1"/>
  <c r="A1904" i="1" s="1"/>
  <c r="A1905" i="1" s="1"/>
  <c r="A1906" i="1" s="1"/>
  <c r="H1902" i="1"/>
  <c r="A1907" i="1" l="1"/>
  <c r="A1908" i="1" s="1"/>
  <c r="H1906" i="1"/>
  <c r="A1909" i="1" l="1"/>
  <c r="H1908" i="1"/>
  <c r="A1910" i="1" l="1"/>
  <c r="H1909" i="1"/>
  <c r="A1911" i="1" l="1"/>
  <c r="A1912" i="1" s="1"/>
  <c r="A1913" i="1" s="1"/>
  <c r="H1910" i="1"/>
  <c r="A1914" i="1" l="1"/>
  <c r="A1915" i="1" s="1"/>
  <c r="A1916" i="1" s="1"/>
  <c r="A1917" i="1" s="1"/>
  <c r="A1918" i="1" s="1"/>
  <c r="A1919" i="1" s="1"/>
  <c r="H1913" i="1"/>
  <c r="A1920" i="1" l="1"/>
  <c r="A1921" i="1" s="1"/>
  <c r="H1919" i="1"/>
  <c r="A1922" i="1" l="1"/>
  <c r="H1921" i="1"/>
  <c r="A1923" i="1" l="1"/>
  <c r="A1924" i="1" s="1"/>
  <c r="H1922" i="1"/>
  <c r="A1925" i="1" l="1"/>
  <c r="H1924" i="1"/>
  <c r="A1926" i="1" l="1"/>
  <c r="H1925" i="1"/>
  <c r="A1927" i="1" l="1"/>
  <c r="H1926" i="1"/>
  <c r="A1928" i="1" l="1"/>
  <c r="A1929" i="1" s="1"/>
  <c r="H1927" i="1"/>
  <c r="A1930" i="1" l="1"/>
  <c r="A1931" i="1" s="1"/>
  <c r="A1932" i="1" s="1"/>
  <c r="H1929" i="1"/>
  <c r="A1933" i="1" l="1"/>
  <c r="A1934" i="1" s="1"/>
  <c r="H1932" i="1"/>
  <c r="A1935" i="1" l="1"/>
  <c r="A1936" i="1" s="1"/>
  <c r="A1937" i="1" s="1"/>
  <c r="H1934" i="1"/>
  <c r="A1938" i="1" l="1"/>
  <c r="A1939" i="1" s="1"/>
  <c r="H1937" i="1"/>
  <c r="A1940" i="1" l="1"/>
  <c r="A1941" i="1" s="1"/>
  <c r="A1942" i="1" s="1"/>
  <c r="A1943" i="1" s="1"/>
  <c r="A1944" i="1" s="1"/>
  <c r="H1939" i="1"/>
  <c r="A1945" i="1" l="1"/>
  <c r="A1946" i="1" s="1"/>
  <c r="A1947" i="1" s="1"/>
  <c r="A1948" i="1" s="1"/>
  <c r="A1949" i="1" s="1"/>
  <c r="A1950" i="1" s="1"/>
  <c r="A1951" i="1" s="1"/>
  <c r="H1944" i="1"/>
  <c r="A1952" i="1" l="1"/>
  <c r="A1953" i="1" s="1"/>
  <c r="A1954" i="1" s="1"/>
  <c r="H1951" i="1"/>
  <c r="A1955" i="1" l="1"/>
  <c r="A1956" i="1" s="1"/>
  <c r="A1957" i="1" s="1"/>
  <c r="A1958" i="1" s="1"/>
  <c r="A1959" i="1" s="1"/>
  <c r="A1960" i="1" s="1"/>
  <c r="A1961" i="1" s="1"/>
  <c r="H1954" i="1"/>
  <c r="A1962" i="1" l="1"/>
  <c r="A1963" i="1" s="1"/>
  <c r="H1961" i="1"/>
  <c r="A1964" i="1" l="1"/>
  <c r="A1965" i="1" s="1"/>
  <c r="A1966" i="1" s="1"/>
  <c r="H1963" i="1"/>
  <c r="A1967" i="1" l="1"/>
  <c r="H1966" i="1"/>
  <c r="A1968" i="1" l="1"/>
  <c r="A1969" i="1" s="1"/>
  <c r="H1967" i="1"/>
  <c r="A1970" i="1" l="1"/>
  <c r="H1969" i="1"/>
  <c r="A1971" i="1" l="1"/>
  <c r="A1972" i="1" s="1"/>
  <c r="H1970" i="1"/>
  <c r="A1973" i="1" l="1"/>
  <c r="H1972" i="1"/>
  <c r="A1974" i="1" l="1"/>
  <c r="H1973" i="1"/>
  <c r="A1975" i="1" l="1"/>
  <c r="H1974" i="1"/>
  <c r="A1976" i="1" l="1"/>
  <c r="A1977" i="1" s="1"/>
  <c r="A1978" i="1" s="1"/>
  <c r="A1979" i="1" s="1"/>
  <c r="A1980" i="1" s="1"/>
  <c r="A1981" i="1" s="1"/>
  <c r="A1982" i="1" s="1"/>
  <c r="H1975" i="1"/>
  <c r="A1983" i="1" l="1"/>
  <c r="H1982" i="1"/>
  <c r="A1984" i="1" l="1"/>
  <c r="H1983" i="1"/>
  <c r="A1985" i="1" l="1"/>
  <c r="A1986" i="1" s="1"/>
  <c r="A1987" i="1" s="1"/>
  <c r="A1988" i="1" s="1"/>
  <c r="A1989" i="1" s="1"/>
  <c r="A1990" i="1" s="1"/>
  <c r="A1991" i="1" s="1"/>
  <c r="A1992" i="1" s="1"/>
  <c r="A1993" i="1" s="1"/>
  <c r="H1984" i="1"/>
  <c r="A1994" i="1" l="1"/>
  <c r="H1993" i="1"/>
  <c r="A1995" i="1" l="1"/>
  <c r="H1994" i="1"/>
  <c r="A1996" i="1" l="1"/>
  <c r="A1997" i="1" s="1"/>
  <c r="A1998" i="1" s="1"/>
  <c r="A1999" i="1" s="1"/>
  <c r="A2000" i="1" s="1"/>
  <c r="A2001" i="1" s="1"/>
  <c r="A2002" i="1" s="1"/>
  <c r="A2003" i="1" s="1"/>
  <c r="A2004" i="1" s="1"/>
  <c r="A2005" i="1" s="1"/>
  <c r="H1995" i="1"/>
  <c r="A2006" i="1" l="1"/>
  <c r="A2007" i="1" s="1"/>
  <c r="A2008" i="1" s="1"/>
  <c r="A2009" i="1" s="1"/>
  <c r="A2010" i="1" s="1"/>
  <c r="A2011" i="1" s="1"/>
  <c r="A2012" i="1" s="1"/>
  <c r="A2013" i="1" s="1"/>
  <c r="A2014" i="1" s="1"/>
  <c r="A2015" i="1" s="1"/>
  <c r="H2005" i="1"/>
  <c r="A2016" i="1" l="1"/>
  <c r="A2017" i="1" s="1"/>
  <c r="A2018" i="1" s="1"/>
  <c r="H2015" i="1"/>
  <c r="A2019" i="1" l="1"/>
  <c r="A2020" i="1" s="1"/>
  <c r="A2021" i="1" s="1"/>
  <c r="A2022" i="1" s="1"/>
  <c r="A2023" i="1" s="1"/>
  <c r="A2024" i="1" s="1"/>
  <c r="A2025" i="1" s="1"/>
  <c r="A2026" i="1" s="1"/>
  <c r="H2018" i="1"/>
  <c r="A2027" i="1" l="1"/>
  <c r="A2028" i="1" s="1"/>
  <c r="A2029" i="1" s="1"/>
  <c r="A2030" i="1" s="1"/>
  <c r="A2031" i="1" s="1"/>
  <c r="A2032" i="1" s="1"/>
  <c r="A2033" i="1" s="1"/>
  <c r="A2034" i="1" s="1"/>
  <c r="H2026" i="1"/>
  <c r="A2035" i="1" l="1"/>
  <c r="A2036" i="1" s="1"/>
  <c r="A2037" i="1" s="1"/>
  <c r="H2034" i="1"/>
  <c r="A2038" i="1" l="1"/>
  <c r="A2039" i="1" s="1"/>
  <c r="H2037" i="1"/>
  <c r="A2040" i="1" l="1"/>
  <c r="A2041" i="1" s="1"/>
  <c r="A2042" i="1" s="1"/>
  <c r="H2039" i="1"/>
  <c r="A2043" i="1" l="1"/>
  <c r="A2044" i="1" s="1"/>
  <c r="A2045" i="1" s="1"/>
  <c r="A2046" i="1" s="1"/>
  <c r="A2047" i="1" s="1"/>
  <c r="H2042" i="1"/>
  <c r="A2048" i="1" l="1"/>
  <c r="A2049" i="1" s="1"/>
  <c r="A2050" i="1" s="1"/>
  <c r="H2047" i="1"/>
  <c r="A2051" i="1" l="1"/>
  <c r="A2052" i="1" s="1"/>
  <c r="A2053" i="1" s="1"/>
  <c r="A2054" i="1" s="1"/>
  <c r="H2050" i="1"/>
  <c r="A2055" i="1" l="1"/>
  <c r="A2056" i="1" s="1"/>
  <c r="A2057" i="1" s="1"/>
  <c r="H2054" i="1"/>
  <c r="A2058" i="1" l="1"/>
  <c r="A2059" i="1" s="1"/>
  <c r="A2060" i="1" s="1"/>
  <c r="A2061" i="1" s="1"/>
  <c r="A2062" i="1" s="1"/>
  <c r="A2063" i="1" s="1"/>
  <c r="A2064" i="1" s="1"/>
  <c r="A2065" i="1" s="1"/>
  <c r="A2066" i="1" s="1"/>
  <c r="H2057" i="1"/>
  <c r="A2067" i="1" l="1"/>
  <c r="A2068" i="1" s="1"/>
  <c r="A2069" i="1" s="1"/>
  <c r="A2070" i="1" s="1"/>
  <c r="H2066" i="1"/>
  <c r="A2071" i="1" l="1"/>
  <c r="A2072" i="1" s="1"/>
  <c r="A2073" i="1" s="1"/>
  <c r="A2074" i="1" s="1"/>
  <c r="A2075" i="1" s="1"/>
  <c r="A2076" i="1" s="1"/>
  <c r="A2077" i="1" s="1"/>
  <c r="A2078" i="1" s="1"/>
  <c r="A2079" i="1" s="1"/>
  <c r="A2080" i="1" s="1"/>
  <c r="A2081" i="1" s="1"/>
  <c r="A2082" i="1" s="1"/>
  <c r="A2083" i="1" s="1"/>
  <c r="A2084" i="1" s="1"/>
  <c r="H2070" i="1"/>
  <c r="A2085" i="1" l="1"/>
  <c r="A2086" i="1" s="1"/>
  <c r="A2087" i="1" s="1"/>
  <c r="A2088" i="1" s="1"/>
  <c r="A2089" i="1" s="1"/>
  <c r="A2090" i="1" s="1"/>
  <c r="A2091" i="1" s="1"/>
  <c r="A2092" i="1" s="1"/>
  <c r="A2093" i="1" s="1"/>
  <c r="H2084" i="1"/>
  <c r="A2094" i="1" l="1"/>
  <c r="A2095" i="1" s="1"/>
  <c r="H2093" i="1"/>
  <c r="A2096" i="1" l="1"/>
  <c r="A2097" i="1" s="1"/>
  <c r="A2098" i="1" s="1"/>
  <c r="A2099" i="1" s="1"/>
  <c r="A2100" i="1" s="1"/>
  <c r="A2101" i="1" s="1"/>
  <c r="H2095" i="1"/>
  <c r="A2102" i="1" l="1"/>
  <c r="H2101" i="1"/>
  <c r="A2103" i="1" l="1"/>
  <c r="A2104" i="1" s="1"/>
  <c r="A2105" i="1" s="1"/>
  <c r="H2102" i="1"/>
  <c r="A2106" i="1" l="1"/>
  <c r="A2107" i="1" s="1"/>
  <c r="A2108" i="1" s="1"/>
  <c r="A2109" i="1" s="1"/>
  <c r="A2110" i="1" s="1"/>
  <c r="A2111" i="1" s="1"/>
  <c r="H2105" i="1"/>
  <c r="A2112" i="1" l="1"/>
  <c r="H2111" i="1"/>
  <c r="A2113" i="1" l="1"/>
  <c r="H2112" i="1"/>
  <c r="A2114" i="1" l="1"/>
  <c r="H2113" i="1"/>
  <c r="A2115" i="1" l="1"/>
  <c r="A2116" i="1" s="1"/>
  <c r="H2114" i="1"/>
  <c r="A2117" i="1" l="1"/>
  <c r="A2118" i="1" s="1"/>
  <c r="A2119" i="1" s="1"/>
  <c r="A2120" i="1" s="1"/>
  <c r="A2121" i="1" s="1"/>
  <c r="H2116" i="1"/>
  <c r="A2122" i="1" l="1"/>
  <c r="A2123" i="1" s="1"/>
  <c r="A2124" i="1" s="1"/>
  <c r="A2125" i="1" s="1"/>
  <c r="H2121" i="1"/>
  <c r="A2126" i="1" l="1"/>
  <c r="H2125" i="1"/>
  <c r="A2127" i="1" l="1"/>
  <c r="A2128" i="1" s="1"/>
  <c r="H2126" i="1"/>
  <c r="A2129" i="1" l="1"/>
  <c r="A2130" i="1" s="1"/>
  <c r="A2131" i="1" s="1"/>
  <c r="A2132" i="1" s="1"/>
  <c r="A2133" i="1" s="1"/>
  <c r="A2134" i="1" s="1"/>
  <c r="H2128" i="1"/>
  <c r="A2135" i="1" l="1"/>
  <c r="A2136" i="1" s="1"/>
  <c r="H2134" i="1"/>
  <c r="A2137" i="1" l="1"/>
  <c r="A2138" i="1" s="1"/>
  <c r="H2136" i="1"/>
  <c r="A2139" i="1" l="1"/>
  <c r="H2138" i="1"/>
  <c r="A2140" i="1" l="1"/>
  <c r="H2139" i="1"/>
  <c r="A2141" i="1" l="1"/>
  <c r="H2140" i="1"/>
  <c r="A2142" i="1" l="1"/>
  <c r="H2141" i="1"/>
  <c r="A2143" i="1" l="1"/>
  <c r="A2144" i="1" s="1"/>
  <c r="H2142" i="1"/>
  <c r="A2145" i="1" l="1"/>
  <c r="A2146" i="1" s="1"/>
  <c r="A2147" i="1" s="1"/>
  <c r="A2148" i="1" s="1"/>
  <c r="A2149" i="1" s="1"/>
  <c r="A2150" i="1" s="1"/>
  <c r="H2144" i="1"/>
  <c r="A2151" i="1" l="1"/>
  <c r="A2152" i="1" s="1"/>
  <c r="A2153" i="1" s="1"/>
  <c r="A2154" i="1" s="1"/>
  <c r="A2155" i="1" s="1"/>
  <c r="A2156" i="1" s="1"/>
  <c r="H2150" i="1"/>
  <c r="A2157" i="1" l="1"/>
  <c r="A2158" i="1" s="1"/>
  <c r="A2159" i="1" s="1"/>
  <c r="A2160" i="1" s="1"/>
  <c r="A2161" i="1" s="1"/>
  <c r="H2156" i="1"/>
  <c r="A2162" i="1" l="1"/>
  <c r="H2161" i="1"/>
  <c r="A2163" i="1" l="1"/>
  <c r="H2162" i="1"/>
  <c r="A2164" i="1" l="1"/>
  <c r="H2163" i="1"/>
  <c r="A2165" i="1" l="1"/>
  <c r="H2164" i="1"/>
  <c r="A2166" i="1" l="1"/>
  <c r="A2167" i="1" s="1"/>
  <c r="A2168" i="1" s="1"/>
  <c r="A2169" i="1" s="1"/>
  <c r="A2170" i="1" s="1"/>
  <c r="A2171" i="1" s="1"/>
  <c r="H2165" i="1"/>
  <c r="A2172" i="1" l="1"/>
  <c r="H2171" i="1"/>
  <c r="A2173" i="1" l="1"/>
  <c r="A2174" i="1" s="1"/>
  <c r="H2172" i="1"/>
  <c r="A2175" i="1" l="1"/>
  <c r="A2176" i="1" s="1"/>
  <c r="A2177" i="1" s="1"/>
  <c r="A2178" i="1" s="1"/>
  <c r="A2179" i="1" s="1"/>
  <c r="H2174" i="1"/>
  <c r="A2180" i="1" l="1"/>
  <c r="A2181" i="1" s="1"/>
  <c r="A2182" i="1" s="1"/>
  <c r="A2183" i="1" s="1"/>
  <c r="H2179" i="1"/>
  <c r="A2184" i="1" l="1"/>
  <c r="H2183" i="1"/>
  <c r="A2185" i="1" l="1"/>
  <c r="A2186" i="1" s="1"/>
  <c r="H2184" i="1"/>
  <c r="A2187" i="1" l="1"/>
  <c r="A2188" i="1" s="1"/>
  <c r="H2186" i="1"/>
  <c r="A2189" i="1" l="1"/>
  <c r="A2190" i="1" s="1"/>
  <c r="A2191" i="1" s="1"/>
  <c r="A2192" i="1" s="1"/>
  <c r="A2193" i="1" s="1"/>
  <c r="H2188" i="1"/>
  <c r="A2194" i="1" l="1"/>
  <c r="H2193" i="1"/>
  <c r="A2195" i="1" l="1"/>
  <c r="A2196" i="1" s="1"/>
  <c r="A2197" i="1" s="1"/>
  <c r="A2198" i="1" s="1"/>
  <c r="H2194" i="1"/>
  <c r="A2199" i="1" l="1"/>
  <c r="A2200" i="1" s="1"/>
  <c r="H2198" i="1"/>
  <c r="A2201" i="1" l="1"/>
  <c r="H2200" i="1"/>
  <c r="A2202" i="1" l="1"/>
  <c r="H2201" i="1"/>
  <c r="A2203" i="1" l="1"/>
  <c r="H2202" i="1"/>
  <c r="A2204" i="1" l="1"/>
  <c r="H2203" i="1"/>
  <c r="A2205" i="1" l="1"/>
  <c r="A2206" i="1" s="1"/>
  <c r="A2207" i="1" s="1"/>
  <c r="A2208" i="1" s="1"/>
  <c r="A2209" i="1" s="1"/>
  <c r="H2204" i="1"/>
  <c r="A2210" i="1" l="1"/>
  <c r="A2211" i="1" s="1"/>
  <c r="H2209" i="1"/>
  <c r="A2212" i="1" l="1"/>
  <c r="H2211" i="1"/>
  <c r="A2213" i="1" l="1"/>
  <c r="H2212" i="1"/>
  <c r="A2214" i="1" l="1"/>
  <c r="H2213" i="1"/>
  <c r="A2215" i="1" l="1"/>
  <c r="H2214" i="1"/>
  <c r="A2216" i="1" l="1"/>
  <c r="A2217" i="1" s="1"/>
  <c r="H2215" i="1"/>
  <c r="A2218" i="1" l="1"/>
  <c r="H2217" i="1"/>
  <c r="A2219" i="1" l="1"/>
  <c r="A2220" i="1" s="1"/>
  <c r="A2221" i="1" s="1"/>
  <c r="A2222" i="1" s="1"/>
  <c r="A2223" i="1" s="1"/>
  <c r="H2218" i="1"/>
  <c r="A2224" i="1" l="1"/>
  <c r="A2225" i="1" s="1"/>
  <c r="A2226" i="1" s="1"/>
  <c r="A2227" i="1" s="1"/>
  <c r="H2223" i="1"/>
  <c r="A2228" i="1" l="1"/>
  <c r="H2227" i="1"/>
  <c r="A2229" i="1" l="1"/>
  <c r="A2230" i="1" s="1"/>
  <c r="A2231" i="1" s="1"/>
  <c r="A2232" i="1" s="1"/>
  <c r="A2233" i="1" s="1"/>
  <c r="H2228" i="1"/>
  <c r="A2234" i="1" l="1"/>
  <c r="A2235" i="1" s="1"/>
  <c r="H2233" i="1"/>
  <c r="A2236" i="1" l="1"/>
  <c r="A2237" i="1" s="1"/>
  <c r="A2238" i="1" s="1"/>
  <c r="H2235" i="1"/>
  <c r="A2239" i="1" l="1"/>
  <c r="A2240" i="1" s="1"/>
  <c r="A2241" i="1" s="1"/>
  <c r="A2242" i="1" s="1"/>
  <c r="A2243" i="1" s="1"/>
  <c r="A2244" i="1" s="1"/>
  <c r="A2245" i="1" s="1"/>
  <c r="H2238" i="1"/>
  <c r="A2246" i="1" l="1"/>
  <c r="A2247" i="1" s="1"/>
  <c r="A2248" i="1" s="1"/>
  <c r="H2245" i="1"/>
  <c r="A2249" i="1" l="1"/>
  <c r="A2250" i="1" s="1"/>
  <c r="A2251" i="1" s="1"/>
  <c r="A2252" i="1" s="1"/>
  <c r="A2253" i="1" s="1"/>
  <c r="A2254" i="1" s="1"/>
  <c r="H2248" i="1"/>
  <c r="A2255" i="1" l="1"/>
  <c r="A2256" i="1" s="1"/>
  <c r="A2257" i="1" s="1"/>
  <c r="A2258" i="1" s="1"/>
  <c r="A2259" i="1" s="1"/>
  <c r="A2260" i="1" s="1"/>
  <c r="H2254" i="1"/>
  <c r="A2261" i="1" l="1"/>
  <c r="A2262" i="1" s="1"/>
  <c r="H2260" i="1"/>
  <c r="A2263" i="1" l="1"/>
  <c r="H2262" i="1"/>
  <c r="A2264" i="1" l="1"/>
  <c r="H2263" i="1"/>
  <c r="A2265" i="1" l="1"/>
  <c r="H2264" i="1"/>
  <c r="A2266" i="1" l="1"/>
  <c r="A2267" i="1" s="1"/>
  <c r="A2268" i="1" s="1"/>
  <c r="H2265" i="1"/>
  <c r="A2269" i="1" l="1"/>
  <c r="A2270" i="1" s="1"/>
  <c r="A2271" i="1" s="1"/>
  <c r="H2268" i="1"/>
  <c r="A2272" i="1" l="1"/>
  <c r="A2273" i="1" s="1"/>
  <c r="H2271" i="1"/>
  <c r="A2274" i="1" l="1"/>
  <c r="A2275" i="1" s="1"/>
  <c r="H2273" i="1"/>
  <c r="A2276" i="1" l="1"/>
  <c r="H2275" i="1"/>
  <c r="A2277" i="1" l="1"/>
  <c r="H2276" i="1"/>
  <c r="A2278" i="1" l="1"/>
  <c r="H2277" i="1"/>
  <c r="A2279" i="1" l="1"/>
  <c r="H2278" i="1"/>
  <c r="A2280" i="1" l="1"/>
  <c r="A2281" i="1" s="1"/>
  <c r="H2279" i="1"/>
  <c r="A2282" i="1" l="1"/>
  <c r="A2283" i="1" s="1"/>
  <c r="A2284" i="1" s="1"/>
  <c r="A2285" i="1" s="1"/>
  <c r="H2281" i="1"/>
  <c r="A2286" i="1" l="1"/>
  <c r="A2287" i="1" s="1"/>
  <c r="A2288" i="1" s="1"/>
  <c r="A2289" i="1" s="1"/>
  <c r="H2285" i="1"/>
  <c r="A2290" i="1" l="1"/>
  <c r="A2291" i="1" s="1"/>
  <c r="A2292" i="1" s="1"/>
  <c r="H2289" i="1"/>
  <c r="A2293" i="1" l="1"/>
  <c r="H2292" i="1"/>
  <c r="A2294" i="1" l="1"/>
  <c r="A2295" i="1" s="1"/>
  <c r="A2296" i="1" s="1"/>
  <c r="A2297" i="1" s="1"/>
  <c r="A2298" i="1" s="1"/>
  <c r="A2299" i="1" s="1"/>
  <c r="H2293" i="1"/>
  <c r="A2300" i="1" l="1"/>
  <c r="H2299" i="1"/>
  <c r="A2301" i="1" l="1"/>
  <c r="H2300" i="1"/>
  <c r="A2302" i="1" l="1"/>
  <c r="A2303" i="1" s="1"/>
  <c r="A2304" i="1" s="1"/>
  <c r="A2305" i="1" s="1"/>
  <c r="A2306" i="1" s="1"/>
  <c r="A2307" i="1" s="1"/>
  <c r="A2308" i="1" s="1"/>
  <c r="A2309" i="1" s="1"/>
  <c r="H2301" i="1"/>
  <c r="A2310" i="1" l="1"/>
  <c r="H2309" i="1"/>
  <c r="A2311" i="1" l="1"/>
  <c r="H2310" i="1"/>
  <c r="A2312" i="1" l="1"/>
  <c r="A2313" i="1" s="1"/>
  <c r="H2311" i="1"/>
  <c r="A2314" i="1" l="1"/>
  <c r="A2315" i="1" s="1"/>
  <c r="A2316" i="1" s="1"/>
  <c r="A2317" i="1" s="1"/>
  <c r="A2318" i="1" s="1"/>
  <c r="A2319" i="1" s="1"/>
  <c r="H2313" i="1"/>
  <c r="A2320" i="1" l="1"/>
  <c r="H2319" i="1"/>
  <c r="A2321" i="1" l="1"/>
  <c r="A2322" i="1" s="1"/>
  <c r="A2323" i="1" s="1"/>
  <c r="H2320" i="1"/>
  <c r="A2324" i="1" l="1"/>
  <c r="H2323" i="1"/>
  <c r="A2325" i="1" l="1"/>
  <c r="H2324" i="1"/>
  <c r="A2326" i="1" l="1"/>
  <c r="A2327" i="1" s="1"/>
  <c r="H2325" i="1"/>
  <c r="A2328" i="1" l="1"/>
  <c r="A2329" i="1" s="1"/>
  <c r="H2327" i="1"/>
  <c r="A2330" i="1" l="1"/>
  <c r="H2329" i="1"/>
  <c r="A2331" i="1" l="1"/>
  <c r="H2330" i="1"/>
  <c r="A2332" i="1" l="1"/>
  <c r="A2333" i="1" s="1"/>
  <c r="A2334" i="1" s="1"/>
  <c r="A2335" i="1" s="1"/>
  <c r="A2336" i="1" s="1"/>
  <c r="A2337" i="1" s="1"/>
  <c r="H2331" i="1"/>
  <c r="A2338" i="1" l="1"/>
  <c r="A2339" i="1" s="1"/>
  <c r="A2340" i="1" s="1"/>
  <c r="H2337" i="1"/>
  <c r="A2341" i="1" l="1"/>
  <c r="H2340" i="1"/>
  <c r="A2342" i="1" l="1"/>
  <c r="H2341" i="1"/>
  <c r="A2343" i="1" l="1"/>
  <c r="A2344" i="1" s="1"/>
  <c r="H2342" i="1"/>
  <c r="A2345" i="1" l="1"/>
  <c r="H2344" i="1"/>
  <c r="A2346" i="1" l="1"/>
  <c r="H2345" i="1"/>
  <c r="A2347" i="1" l="1"/>
  <c r="H2346" i="1"/>
  <c r="A2348" i="1" l="1"/>
  <c r="A2349" i="1" s="1"/>
  <c r="A2350" i="1" s="1"/>
  <c r="A2351" i="1" s="1"/>
  <c r="A2352" i="1" s="1"/>
  <c r="A2353" i="1" s="1"/>
  <c r="A2354" i="1" s="1"/>
  <c r="H2347" i="1"/>
  <c r="A2355" i="1" l="1"/>
  <c r="A2356" i="1" s="1"/>
  <c r="A2357" i="1" s="1"/>
  <c r="A2358" i="1" s="1"/>
  <c r="A2359" i="1" s="1"/>
  <c r="A2360" i="1" s="1"/>
  <c r="H2354" i="1"/>
  <c r="A2361" i="1" l="1"/>
  <c r="A2362" i="1" s="1"/>
  <c r="A2363" i="1" s="1"/>
  <c r="A2364" i="1" s="1"/>
  <c r="A2365" i="1" s="1"/>
  <c r="A2366" i="1" s="1"/>
  <c r="A2367" i="1" s="1"/>
  <c r="H2360" i="1"/>
  <c r="A2368" i="1" l="1"/>
  <c r="H2367" i="1"/>
  <c r="A2369" i="1" l="1"/>
  <c r="A2370" i="1" s="1"/>
  <c r="A2371" i="1" s="1"/>
  <c r="H2368" i="1"/>
  <c r="A2372" i="1" l="1"/>
  <c r="A2373" i="1" s="1"/>
  <c r="H2371" i="1"/>
  <c r="A2374" i="1" l="1"/>
  <c r="H2373" i="1"/>
  <c r="A2375" i="1" l="1"/>
  <c r="H2374" i="1"/>
  <c r="A2376" i="1" l="1"/>
  <c r="A2377" i="1" s="1"/>
  <c r="A2378" i="1" s="1"/>
  <c r="A2379" i="1" s="1"/>
  <c r="A2380" i="1" s="1"/>
  <c r="A2381" i="1" s="1"/>
  <c r="A2382" i="1" s="1"/>
  <c r="A2383" i="1" s="1"/>
  <c r="H2375" i="1"/>
  <c r="A2384" i="1" l="1"/>
  <c r="H2383" i="1"/>
  <c r="A2385" i="1" l="1"/>
  <c r="A2386" i="1" s="1"/>
  <c r="H2384" i="1"/>
  <c r="A2387" i="1" l="1"/>
  <c r="H2386" i="1"/>
  <c r="A2388" i="1" l="1"/>
  <c r="H2387" i="1"/>
  <c r="A2389" i="1" l="1"/>
  <c r="H2388" i="1"/>
  <c r="A2390" i="1" l="1"/>
  <c r="H2389" i="1"/>
  <c r="A2391" i="1" l="1"/>
  <c r="H2390" i="1"/>
  <c r="A2392" i="1" l="1"/>
  <c r="H2391" i="1"/>
  <c r="A2393" i="1" l="1"/>
  <c r="H2392" i="1"/>
  <c r="A2394" i="1" l="1"/>
  <c r="H2393" i="1"/>
  <c r="A2395" i="1" l="1"/>
  <c r="H2394" i="1"/>
  <c r="A2396" i="1" l="1"/>
  <c r="H2395" i="1"/>
  <c r="A2397" i="1" l="1"/>
  <c r="H2396" i="1"/>
  <c r="A2398" i="1" l="1"/>
  <c r="H2397" i="1"/>
  <c r="A2399" i="1" l="1"/>
  <c r="H2398" i="1"/>
  <c r="A2400" i="1" l="1"/>
  <c r="A2401" i="1" s="1"/>
  <c r="A2402" i="1" s="1"/>
  <c r="A2403" i="1" s="1"/>
  <c r="A2404" i="1" s="1"/>
  <c r="H2399" i="1"/>
  <c r="A2405" i="1" l="1"/>
  <c r="A2406" i="1" s="1"/>
  <c r="H2404" i="1"/>
  <c r="A2407" i="1" l="1"/>
  <c r="A2408" i="1" s="1"/>
  <c r="A2409" i="1" s="1"/>
  <c r="H2406" i="1"/>
  <c r="A2410" i="1" l="1"/>
  <c r="A2411" i="1" s="1"/>
  <c r="A2412" i="1" s="1"/>
  <c r="H2409" i="1"/>
  <c r="A2413" i="1" l="1"/>
  <c r="A2414" i="1" s="1"/>
  <c r="A2415" i="1" s="1"/>
  <c r="A2416" i="1" s="1"/>
  <c r="A2417" i="1" s="1"/>
  <c r="A2418" i="1" s="1"/>
  <c r="A2419" i="1" s="1"/>
  <c r="H2412" i="1"/>
  <c r="A2420" i="1" l="1"/>
  <c r="A2421" i="1" s="1"/>
  <c r="A2422" i="1" s="1"/>
  <c r="H2419" i="1"/>
  <c r="A2423" i="1" l="1"/>
  <c r="A2424" i="1" s="1"/>
  <c r="A2425" i="1" s="1"/>
  <c r="H2422" i="1"/>
  <c r="A2426" i="1" l="1"/>
  <c r="A2427" i="1" s="1"/>
  <c r="A2428" i="1" s="1"/>
  <c r="H2425" i="1"/>
  <c r="A2429" i="1" l="1"/>
  <c r="H2428" i="1"/>
  <c r="A2430" i="1" l="1"/>
  <c r="A2431" i="1" s="1"/>
  <c r="H2429" i="1"/>
  <c r="A2432" i="1" l="1"/>
  <c r="H2431" i="1"/>
  <c r="A2433" i="1" l="1"/>
  <c r="H2432" i="1"/>
  <c r="A2434" i="1" l="1"/>
  <c r="A2435" i="1" s="1"/>
  <c r="H2433" i="1"/>
  <c r="A2436" i="1" l="1"/>
  <c r="A2437" i="1" s="1"/>
  <c r="A2438" i="1" s="1"/>
  <c r="H2435" i="1"/>
  <c r="A2439" i="1" l="1"/>
  <c r="H2438" i="1"/>
  <c r="A2440" i="1" l="1"/>
  <c r="A2441" i="1" s="1"/>
  <c r="A2442" i="1" s="1"/>
  <c r="A2443" i="1" s="1"/>
  <c r="A2444" i="1" s="1"/>
  <c r="A2445" i="1" s="1"/>
  <c r="A2446" i="1" s="1"/>
  <c r="A2447" i="1" s="1"/>
  <c r="A2448" i="1" s="1"/>
  <c r="H2439" i="1"/>
  <c r="A2449" i="1" l="1"/>
  <c r="A2450" i="1" s="1"/>
  <c r="A2451" i="1" s="1"/>
  <c r="A2452" i="1" s="1"/>
  <c r="A2453" i="1" s="1"/>
  <c r="A2454" i="1" s="1"/>
  <c r="H2448" i="1"/>
  <c r="A2455" i="1" l="1"/>
  <c r="A2456" i="1" s="1"/>
  <c r="A2457" i="1" s="1"/>
  <c r="A2458" i="1" s="1"/>
  <c r="A2459" i="1" s="1"/>
  <c r="A2460" i="1" s="1"/>
  <c r="H2454" i="1"/>
  <c r="A2461" i="1" l="1"/>
  <c r="A2462" i="1" s="1"/>
  <c r="A2463" i="1" s="1"/>
  <c r="A2464" i="1" s="1"/>
  <c r="H2460" i="1"/>
  <c r="A2465" i="1" l="1"/>
  <c r="A2466" i="1" s="1"/>
  <c r="A2467" i="1" s="1"/>
  <c r="H2464" i="1"/>
  <c r="A2468" i="1" l="1"/>
  <c r="A2469" i="1" s="1"/>
  <c r="A2470" i="1" s="1"/>
  <c r="H2467" i="1"/>
  <c r="A2471" i="1" l="1"/>
  <c r="H2470" i="1"/>
  <c r="A2472" i="1" l="1"/>
  <c r="H2471" i="1"/>
  <c r="A2473" i="1" l="1"/>
  <c r="H2472" i="1"/>
  <c r="A2474" i="1" l="1"/>
  <c r="H2473" i="1"/>
  <c r="A2475" i="1" l="1"/>
  <c r="A2476" i="1" s="1"/>
  <c r="H2474" i="1"/>
  <c r="A2477" i="1" l="1"/>
  <c r="H2476" i="1"/>
  <c r="A2478" i="1" l="1"/>
  <c r="H2477" i="1"/>
  <c r="A2479" i="1" l="1"/>
  <c r="H2478" i="1"/>
  <c r="A2480" i="1" l="1"/>
  <c r="A2481" i="1" s="1"/>
  <c r="H2479" i="1"/>
  <c r="A2482" i="1" l="1"/>
  <c r="A2483" i="1" s="1"/>
  <c r="H2481" i="1"/>
  <c r="A2484" i="1" l="1"/>
  <c r="A2485" i="1" s="1"/>
  <c r="A2486" i="1" s="1"/>
  <c r="H2483" i="1"/>
  <c r="A2487" i="1" l="1"/>
  <c r="A2488" i="1" s="1"/>
  <c r="H2486" i="1"/>
  <c r="A2489" i="1" l="1"/>
  <c r="A2490" i="1" s="1"/>
  <c r="A2491" i="1" s="1"/>
  <c r="A2492" i="1" s="1"/>
  <c r="A2493" i="1" s="1"/>
  <c r="A2494" i="1" s="1"/>
  <c r="A2495" i="1" s="1"/>
  <c r="A2496" i="1" s="1"/>
  <c r="A2497" i="1" s="1"/>
  <c r="A2498" i="1" s="1"/>
  <c r="A2499" i="1" s="1"/>
  <c r="A2500" i="1" s="1"/>
  <c r="H2488" i="1"/>
  <c r="A2501" i="1" l="1"/>
  <c r="A2502" i="1" s="1"/>
  <c r="H2500" i="1"/>
  <c r="A2503" i="1" l="1"/>
  <c r="H2502" i="1"/>
  <c r="A2504" i="1" l="1"/>
  <c r="H2503" i="1"/>
  <c r="A2505" i="1" l="1"/>
  <c r="H2504" i="1"/>
  <c r="A2506" i="1" l="1"/>
  <c r="A2507" i="1" s="1"/>
  <c r="H2505" i="1"/>
  <c r="A2508" i="1" l="1"/>
  <c r="H2507" i="1"/>
  <c r="A2509" i="1" l="1"/>
  <c r="A2510" i="1" s="1"/>
  <c r="H2508" i="1"/>
  <c r="A2511" i="1" l="1"/>
  <c r="A2512" i="1" s="1"/>
  <c r="H2510" i="1"/>
  <c r="A2513" i="1" l="1"/>
  <c r="A2514" i="1" s="1"/>
  <c r="H2512" i="1"/>
  <c r="A2515" i="1" l="1"/>
  <c r="A2516" i="1" s="1"/>
  <c r="A2517" i="1" s="1"/>
  <c r="A2518" i="1" s="1"/>
  <c r="A2519" i="1" s="1"/>
  <c r="A2520" i="1" s="1"/>
  <c r="H2514" i="1"/>
  <c r="A2521" i="1" l="1"/>
  <c r="A2522" i="1" s="1"/>
  <c r="A2523" i="1" s="1"/>
  <c r="H2520" i="1"/>
  <c r="A2524" i="1" l="1"/>
  <c r="H2523" i="1"/>
  <c r="A2525" i="1" l="1"/>
  <c r="A2526" i="1" s="1"/>
  <c r="A2527" i="1" s="1"/>
  <c r="A2528" i="1" s="1"/>
  <c r="A2529" i="1" s="1"/>
  <c r="H2524" i="1"/>
  <c r="A2530" i="1" l="1"/>
  <c r="H2529" i="1"/>
  <c r="A2531" i="1" l="1"/>
  <c r="A2532" i="1" s="1"/>
  <c r="A2533" i="1" s="1"/>
  <c r="A2534" i="1" s="1"/>
  <c r="H2530" i="1"/>
  <c r="A2535" i="1" l="1"/>
  <c r="A2536" i="1" s="1"/>
  <c r="H2534" i="1"/>
  <c r="A2537" i="1" l="1"/>
  <c r="A2538" i="1" s="1"/>
  <c r="A2539" i="1" s="1"/>
  <c r="H2536" i="1"/>
  <c r="A2540" i="1" l="1"/>
  <c r="A2541" i="1" s="1"/>
  <c r="A2542" i="1" s="1"/>
  <c r="A2543" i="1" s="1"/>
  <c r="H2539" i="1"/>
  <c r="A2544" i="1" l="1"/>
  <c r="A2545" i="1" s="1"/>
  <c r="H2543" i="1"/>
  <c r="A2546" i="1" l="1"/>
  <c r="H2545" i="1"/>
  <c r="A2547" i="1" l="1"/>
  <c r="A2548" i="1" s="1"/>
  <c r="H2546" i="1"/>
  <c r="A2549" i="1" l="1"/>
  <c r="A2550" i="1" s="1"/>
  <c r="A2551" i="1" s="1"/>
  <c r="A2552" i="1" s="1"/>
  <c r="A2553" i="1" s="1"/>
  <c r="H2548" i="1"/>
  <c r="A2554" i="1" l="1"/>
  <c r="A2555" i="1" s="1"/>
  <c r="A2556" i="1" s="1"/>
  <c r="H2553" i="1"/>
  <c r="A2557" i="1" l="1"/>
  <c r="A2558" i="1" s="1"/>
  <c r="A2559" i="1" s="1"/>
  <c r="A2560" i="1" s="1"/>
  <c r="H2556" i="1"/>
  <c r="A2561" i="1" l="1"/>
  <c r="H2560" i="1"/>
  <c r="A2562" i="1" l="1"/>
  <c r="A2563" i="1" s="1"/>
  <c r="A2564" i="1" s="1"/>
  <c r="A2565" i="1" s="1"/>
  <c r="A2566" i="1" s="1"/>
  <c r="A2567" i="1" s="1"/>
  <c r="H2561" i="1"/>
  <c r="A2568" i="1" l="1"/>
  <c r="H2567" i="1"/>
  <c r="A2569" i="1" l="1"/>
  <c r="H2568" i="1"/>
  <c r="A2570" i="1" l="1"/>
  <c r="H2569" i="1"/>
  <c r="A2571" i="1" l="1"/>
  <c r="H2570" i="1"/>
  <c r="A2572" i="1" l="1"/>
  <c r="H2571" i="1"/>
  <c r="A2573" i="1" l="1"/>
  <c r="H2572" i="1"/>
  <c r="A2574" i="1" l="1"/>
  <c r="A2575" i="1" s="1"/>
  <c r="H2573" i="1"/>
  <c r="A2576" i="1" l="1"/>
  <c r="H2575" i="1"/>
  <c r="A2577" i="1" l="1"/>
  <c r="H2576" i="1"/>
  <c r="A2578" i="1" l="1"/>
  <c r="H2577" i="1"/>
  <c r="A2579" i="1" l="1"/>
  <c r="H2578" i="1"/>
  <c r="A2580" i="1" l="1"/>
  <c r="H2579" i="1"/>
  <c r="A2581" i="1" l="1"/>
  <c r="A2582" i="1" s="1"/>
  <c r="A2583" i="1" s="1"/>
  <c r="H2580" i="1"/>
  <c r="A2584" i="1" l="1"/>
  <c r="A2585" i="1" s="1"/>
  <c r="A2586" i="1" s="1"/>
  <c r="H2583" i="1"/>
  <c r="A2587" i="1" l="1"/>
  <c r="A2588" i="1" s="1"/>
  <c r="A2589" i="1" s="1"/>
  <c r="A2590" i="1" s="1"/>
  <c r="A2591" i="1" s="1"/>
  <c r="A2592" i="1" s="1"/>
  <c r="H2586" i="1"/>
  <c r="A2593" i="1" l="1"/>
  <c r="A2594" i="1" s="1"/>
  <c r="A2595" i="1" s="1"/>
  <c r="A2596" i="1" s="1"/>
  <c r="A2597" i="1" s="1"/>
  <c r="A2598" i="1" s="1"/>
  <c r="A2599" i="1" s="1"/>
  <c r="H2592" i="1"/>
  <c r="A2600" i="1" l="1"/>
  <c r="H2599" i="1"/>
  <c r="A2601" i="1" l="1"/>
  <c r="H2600" i="1"/>
  <c r="A2602" i="1" l="1"/>
  <c r="H2601" i="1"/>
  <c r="A2603" i="1" l="1"/>
  <c r="A2604" i="1" s="1"/>
  <c r="A2605" i="1" s="1"/>
  <c r="H2602" i="1"/>
  <c r="A2606" i="1" l="1"/>
  <c r="H2605" i="1"/>
  <c r="A2607" i="1" l="1"/>
  <c r="H2606" i="1"/>
  <c r="A2608" i="1" l="1"/>
  <c r="A2609" i="1" s="1"/>
  <c r="A2610" i="1" s="1"/>
  <c r="H2607" i="1"/>
  <c r="A2611" i="1" l="1"/>
  <c r="A2612" i="1" s="1"/>
  <c r="A2613" i="1" s="1"/>
  <c r="H2610" i="1"/>
  <c r="A2614" i="1" l="1"/>
  <c r="H2613" i="1"/>
  <c r="A2615" i="1" l="1"/>
  <c r="A2616" i="1" s="1"/>
  <c r="H2614" i="1"/>
  <c r="A2617" i="1" l="1"/>
  <c r="A2618" i="1" s="1"/>
  <c r="A2619" i="1" s="1"/>
  <c r="A2620" i="1" s="1"/>
  <c r="H2616" i="1"/>
  <c r="A2621" i="1" l="1"/>
  <c r="A2622" i="1" s="1"/>
  <c r="A2623" i="1" s="1"/>
  <c r="H2620" i="1"/>
  <c r="A2624" i="1" l="1"/>
  <c r="A2625" i="1" s="1"/>
  <c r="H2623" i="1"/>
  <c r="A2626" i="1" l="1"/>
  <c r="A2627" i="1" s="1"/>
  <c r="A2628" i="1" s="1"/>
  <c r="H2625" i="1"/>
  <c r="A2629" i="1" l="1"/>
  <c r="A2630" i="1" s="1"/>
  <c r="H2628" i="1"/>
  <c r="A2631" i="1" l="1"/>
  <c r="A2632" i="1" s="1"/>
  <c r="A2633" i="1" s="1"/>
  <c r="A2634" i="1" s="1"/>
  <c r="A2635" i="1" s="1"/>
  <c r="H2630" i="1"/>
  <c r="A2636" i="1" l="1"/>
  <c r="A2637" i="1" s="1"/>
  <c r="A2638" i="1" s="1"/>
  <c r="A2639" i="1" s="1"/>
  <c r="A2640" i="1" s="1"/>
  <c r="H2635" i="1"/>
  <c r="A2641" i="1" l="1"/>
  <c r="A2642" i="1" s="1"/>
  <c r="A2643" i="1" s="1"/>
  <c r="A2644" i="1" s="1"/>
  <c r="H2640" i="1"/>
  <c r="A2645" i="1" l="1"/>
  <c r="A2646" i="1" s="1"/>
  <c r="A2647" i="1" s="1"/>
  <c r="A2648" i="1" s="1"/>
  <c r="A2649" i="1" s="1"/>
  <c r="A2650" i="1" s="1"/>
  <c r="A2651" i="1" s="1"/>
  <c r="A2652" i="1" s="1"/>
  <c r="A2653" i="1" s="1"/>
  <c r="A2654" i="1" s="1"/>
  <c r="A2655" i="1" s="1"/>
  <c r="A2656" i="1" s="1"/>
  <c r="H2644" i="1"/>
  <c r="A2657" i="1" l="1"/>
  <c r="A2658" i="1" s="1"/>
  <c r="A2659" i="1" s="1"/>
  <c r="A2660" i="1" s="1"/>
  <c r="H2656" i="1"/>
  <c r="A2661" i="1" l="1"/>
  <c r="A2662" i="1" s="1"/>
  <c r="A2663" i="1" s="1"/>
  <c r="A2664" i="1" s="1"/>
  <c r="A2665" i="1" s="1"/>
  <c r="A2666" i="1" s="1"/>
  <c r="A2667" i="1" s="1"/>
  <c r="A2668" i="1" s="1"/>
  <c r="H2660" i="1"/>
  <c r="A2669" i="1" l="1"/>
  <c r="A2670" i="1" s="1"/>
  <c r="A2671" i="1" s="1"/>
  <c r="A2672" i="1" s="1"/>
  <c r="A2673" i="1" s="1"/>
  <c r="A2674" i="1" s="1"/>
  <c r="A2675" i="1" s="1"/>
  <c r="H2668" i="1"/>
  <c r="A2676" i="1" l="1"/>
  <c r="A2677" i="1" s="1"/>
  <c r="A2678" i="1" s="1"/>
  <c r="H2675" i="1"/>
  <c r="A2679" i="1" l="1"/>
  <c r="A2680" i="1" s="1"/>
  <c r="H2678" i="1"/>
  <c r="A2681" i="1" l="1"/>
  <c r="A2682" i="1" s="1"/>
  <c r="H2680" i="1"/>
  <c r="A2683" i="1" l="1"/>
  <c r="H2682" i="1"/>
  <c r="A2684" i="1" l="1"/>
  <c r="H2683" i="1"/>
  <c r="A2685" i="1" l="1"/>
  <c r="A2686" i="1" s="1"/>
  <c r="A2687" i="1" s="1"/>
  <c r="A2688" i="1" s="1"/>
  <c r="A2689" i="1" s="1"/>
  <c r="A2690" i="1" s="1"/>
  <c r="A2691" i="1" s="1"/>
  <c r="H2684" i="1"/>
  <c r="A2692" i="1" l="1"/>
  <c r="A2693" i="1" s="1"/>
  <c r="H2691" i="1"/>
  <c r="A2694" i="1" l="1"/>
  <c r="A2695" i="1" s="1"/>
  <c r="H2693" i="1"/>
  <c r="A2696" i="1" l="1"/>
  <c r="A2697" i="1" s="1"/>
  <c r="H2695" i="1"/>
  <c r="A2698" i="1" l="1"/>
  <c r="A2699" i="1" s="1"/>
  <c r="A2700" i="1" s="1"/>
  <c r="H2697" i="1"/>
  <c r="A2701" i="1" l="1"/>
  <c r="H2700" i="1"/>
  <c r="A2702" i="1" l="1"/>
  <c r="H2701" i="1"/>
  <c r="A2703" i="1" l="1"/>
  <c r="H2702" i="1"/>
  <c r="A2704" i="1" l="1"/>
  <c r="A2705" i="1" s="1"/>
  <c r="A2706" i="1" s="1"/>
  <c r="A2707" i="1" s="1"/>
  <c r="A2708" i="1" s="1"/>
  <c r="A2709" i="1" s="1"/>
  <c r="A2710" i="1" s="1"/>
  <c r="A2711" i="1" s="1"/>
  <c r="A2712" i="1" s="1"/>
  <c r="A2713" i="1" s="1"/>
  <c r="A2714" i="1" s="1"/>
  <c r="A2715" i="1" s="1"/>
  <c r="A2716" i="1" s="1"/>
  <c r="A2717" i="1" s="1"/>
  <c r="A2718" i="1" s="1"/>
  <c r="A2719" i="1" s="1"/>
  <c r="H2703" i="1"/>
  <c r="A2720" i="1" l="1"/>
  <c r="A2721" i="1" s="1"/>
  <c r="A2722" i="1" s="1"/>
  <c r="H2719" i="1"/>
  <c r="A2723" i="1" l="1"/>
  <c r="A2724" i="1" s="1"/>
  <c r="H2722" i="1"/>
  <c r="A2725" i="1" l="1"/>
  <c r="A2726" i="1" s="1"/>
  <c r="A2727" i="1" s="1"/>
  <c r="A2728" i="1" s="1"/>
  <c r="A2729" i="1" s="1"/>
  <c r="A2730" i="1" s="1"/>
  <c r="A2731" i="1" s="1"/>
  <c r="A2732" i="1" s="1"/>
  <c r="A2733" i="1" s="1"/>
  <c r="A2734" i="1" s="1"/>
  <c r="A2735" i="1" s="1"/>
  <c r="A2736" i="1" s="1"/>
  <c r="A2737" i="1" s="1"/>
  <c r="A2738" i="1" s="1"/>
  <c r="A2739" i="1" s="1"/>
  <c r="A2740" i="1" s="1"/>
  <c r="A2741" i="1" s="1"/>
  <c r="A2742" i="1" s="1"/>
  <c r="A2743" i="1" s="1"/>
  <c r="A2744" i="1" s="1"/>
  <c r="A2745" i="1" s="1"/>
  <c r="A2746" i="1" s="1"/>
  <c r="A2747" i="1" s="1"/>
  <c r="H2724" i="1"/>
  <c r="A2748" i="1" l="1"/>
  <c r="H2747" i="1"/>
  <c r="A2749" i="1" l="1"/>
  <c r="A2750" i="1" s="1"/>
  <c r="A2751" i="1" s="1"/>
  <c r="A2752" i="1" s="1"/>
  <c r="A2753" i="1" s="1"/>
  <c r="A2754" i="1" s="1"/>
  <c r="A2755" i="1" s="1"/>
  <c r="A2756" i="1" s="1"/>
  <c r="A2757" i="1" s="1"/>
  <c r="A2758" i="1" s="1"/>
  <c r="A2759" i="1" s="1"/>
  <c r="A2760" i="1" s="1"/>
  <c r="A2761" i="1" s="1"/>
  <c r="A2762" i="1" s="1"/>
  <c r="A2763" i="1" s="1"/>
  <c r="A2764" i="1" s="1"/>
  <c r="A2765" i="1" s="1"/>
  <c r="A2766" i="1" s="1"/>
  <c r="A2767" i="1" s="1"/>
  <c r="A2768" i="1" s="1"/>
  <c r="A2769" i="1" s="1"/>
  <c r="A2770" i="1" s="1"/>
  <c r="A2771" i="1" s="1"/>
  <c r="A2772" i="1" s="1"/>
  <c r="A2773" i="1" s="1"/>
  <c r="A2774" i="1" s="1"/>
  <c r="A2775" i="1" s="1"/>
  <c r="A2776" i="1" s="1"/>
  <c r="A2777" i="1" s="1"/>
  <c r="A2778" i="1" s="1"/>
  <c r="A2779" i="1" s="1"/>
  <c r="A2780" i="1" s="1"/>
  <c r="A2781" i="1" s="1"/>
  <c r="A2782" i="1" s="1"/>
  <c r="H2748" i="1"/>
  <c r="A2783" i="1" l="1"/>
  <c r="A2784" i="1" s="1"/>
  <c r="A2785" i="1" s="1"/>
  <c r="A2786" i="1" s="1"/>
  <c r="A2787" i="1" s="1"/>
  <c r="A2788" i="1" s="1"/>
  <c r="A2789" i="1" s="1"/>
  <c r="A2790" i="1" s="1"/>
  <c r="A2791" i="1" s="1"/>
  <c r="A2792" i="1" s="1"/>
  <c r="A2793" i="1" s="1"/>
  <c r="A2794" i="1" s="1"/>
  <c r="A2795" i="1" s="1"/>
  <c r="H2782" i="1"/>
  <c r="A2796" i="1" l="1"/>
  <c r="A2797" i="1" s="1"/>
  <c r="A2798" i="1" s="1"/>
  <c r="A2799" i="1" s="1"/>
  <c r="A2800" i="1" s="1"/>
  <c r="A2801" i="1" s="1"/>
  <c r="A2802" i="1" s="1"/>
  <c r="A2803" i="1" s="1"/>
  <c r="A2804" i="1" s="1"/>
  <c r="A2805" i="1" s="1"/>
  <c r="H2795" i="1"/>
  <c r="A2806" i="1" l="1"/>
  <c r="A2807" i="1" s="1"/>
  <c r="A2808" i="1" s="1"/>
  <c r="A2809" i="1" s="1"/>
  <c r="A2810" i="1" s="1"/>
  <c r="H2805" i="1"/>
  <c r="A2811" i="1" l="1"/>
  <c r="A2812" i="1" s="1"/>
  <c r="A2813" i="1" s="1"/>
  <c r="H2810" i="1"/>
  <c r="A2814" i="1" l="1"/>
  <c r="A2815" i="1" s="1"/>
  <c r="A2816" i="1" s="1"/>
  <c r="A2817" i="1" s="1"/>
  <c r="A2818" i="1" s="1"/>
  <c r="A2819" i="1" s="1"/>
  <c r="A2820" i="1" s="1"/>
  <c r="A2821" i="1" s="1"/>
  <c r="A2822" i="1" s="1"/>
  <c r="A2823" i="1" s="1"/>
  <c r="A2824" i="1" s="1"/>
  <c r="A2825" i="1" s="1"/>
  <c r="A2826" i="1" s="1"/>
  <c r="A2827" i="1" s="1"/>
  <c r="A2828" i="1" s="1"/>
  <c r="H2813" i="1"/>
  <c r="A2829" i="1" l="1"/>
  <c r="A2830" i="1" s="1"/>
  <c r="A2831" i="1" s="1"/>
  <c r="A2832" i="1" s="1"/>
  <c r="A2833" i="1" s="1"/>
  <c r="H2828" i="1"/>
  <c r="A2834" i="1" l="1"/>
  <c r="A2835" i="1" s="1"/>
  <c r="A2836" i="1" s="1"/>
  <c r="A2837" i="1" s="1"/>
  <c r="A2838" i="1" s="1"/>
  <c r="A2839" i="1" s="1"/>
  <c r="A2840" i="1" s="1"/>
  <c r="A2841" i="1" s="1"/>
  <c r="A2842" i="1" s="1"/>
  <c r="A2843" i="1" s="1"/>
  <c r="A2844" i="1" s="1"/>
  <c r="A2845" i="1" s="1"/>
  <c r="A2846" i="1" s="1"/>
  <c r="A2847" i="1" s="1"/>
  <c r="A2848" i="1" s="1"/>
  <c r="A2849" i="1" s="1"/>
  <c r="A2850" i="1" s="1"/>
  <c r="A2851" i="1" s="1"/>
  <c r="A2852" i="1" s="1"/>
  <c r="A2853" i="1" s="1"/>
  <c r="A2854" i="1" s="1"/>
  <c r="A2855" i="1" s="1"/>
  <c r="H2833" i="1"/>
  <c r="A2856" i="1" l="1"/>
  <c r="A2857" i="1" s="1"/>
  <c r="A2858" i="1" s="1"/>
  <c r="A2859" i="1" s="1"/>
  <c r="A2860" i="1" s="1"/>
  <c r="A2861" i="1" s="1"/>
  <c r="H2855" i="1"/>
  <c r="A2862" i="1" l="1"/>
  <c r="H2861" i="1"/>
  <c r="A2863" i="1" l="1"/>
  <c r="H2862" i="1"/>
  <c r="A2864" i="1" l="1"/>
  <c r="H2863" i="1"/>
  <c r="A2865" i="1" l="1"/>
  <c r="H2864" i="1"/>
  <c r="A2866" i="1" l="1"/>
  <c r="A2867" i="1" s="1"/>
  <c r="H2865" i="1"/>
  <c r="A2868" i="1" l="1"/>
  <c r="A2869" i="1" s="1"/>
  <c r="H2867" i="1"/>
  <c r="A2870" i="1" l="1"/>
  <c r="A2871" i="1" s="1"/>
  <c r="A2872" i="1" s="1"/>
  <c r="H2869" i="1"/>
  <c r="A2873" i="1" l="1"/>
  <c r="H2872" i="1"/>
  <c r="A2874" i="1" l="1"/>
  <c r="H2873" i="1"/>
  <c r="A2875" i="1" l="1"/>
  <c r="H2874" i="1"/>
  <c r="A2876" i="1" l="1"/>
  <c r="A2877" i="1" s="1"/>
  <c r="H2875" i="1"/>
  <c r="A2878" i="1" l="1"/>
  <c r="A2879" i="1" s="1"/>
  <c r="H2877" i="1"/>
</calcChain>
</file>

<file path=xl/sharedStrings.xml><?xml version="1.0" encoding="utf-8"?>
<sst xmlns="http://schemas.openxmlformats.org/spreadsheetml/2006/main" count="14484" uniqueCount="5258">
  <si>
    <t>Year</t>
  </si>
  <si>
    <t>Municipality</t>
  </si>
  <si>
    <t>Municipality Type</t>
  </si>
  <si>
    <t>Document Type</t>
  </si>
  <si>
    <t>Status</t>
  </si>
  <si>
    <t>ALCONA</t>
  </si>
  <si>
    <t>County</t>
  </si>
  <si>
    <t>Audit-Financial Report</t>
  </si>
  <si>
    <t>Received</t>
  </si>
  <si>
    <t>Township</t>
  </si>
  <si>
    <t>ALCONA COUNTY ROAD COMMISSION</t>
  </si>
  <si>
    <t>Road Commission</t>
  </si>
  <si>
    <t>CALEDONIA</t>
  </si>
  <si>
    <t>CURTIS</t>
  </si>
  <si>
    <t>HARRISVILLE</t>
  </si>
  <si>
    <t>City</t>
  </si>
  <si>
    <t>HARRISVILLE CITY WATER &amp; SEWER FUNDS</t>
  </si>
  <si>
    <t>Authority</t>
  </si>
  <si>
    <t>HAWES</t>
  </si>
  <si>
    <t>Complete</t>
  </si>
  <si>
    <t>LINCOLN</t>
  </si>
  <si>
    <t>Village</t>
  </si>
  <si>
    <t>LINCOLN VILLAGE DOWNTOWN DEVELOPMENT AUTHORITY</t>
  </si>
  <si>
    <t>MIKADO</t>
  </si>
  <si>
    <t>MILLEN</t>
  </si>
  <si>
    <t>MITCHELL</t>
  </si>
  <si>
    <t>NORTHEAST MICHIGAN COMMUNITY MENTAL HEALTH AUTH</t>
  </si>
  <si>
    <t>ALGER</t>
  </si>
  <si>
    <t>ALGER CO ROAD COMMISSION</t>
  </si>
  <si>
    <t>ALGER COUNTY TRANSIT AUTHORITY-ALTRAN</t>
  </si>
  <si>
    <t>AUTRAIN</t>
  </si>
  <si>
    <t>BURT</t>
  </si>
  <si>
    <t>CHATHAM</t>
  </si>
  <si>
    <t>MATHIAS</t>
  </si>
  <si>
    <t>MUNISING</t>
  </si>
  <si>
    <t>MUNISING CITY HOUSING COMMISSION</t>
  </si>
  <si>
    <t>ROCK RIVER</t>
  </si>
  <si>
    <t>ALLEGAN</t>
  </si>
  <si>
    <t>ALLEGAN CO ROAD COMMISSION</t>
  </si>
  <si>
    <t>ALLEGAN COUNTY COMMUNITY MENTAL HEALTH SERVICES BOARD</t>
  </si>
  <si>
    <t>ALLEGAN COUNTY MEDICAL CARE FACILITY</t>
  </si>
  <si>
    <t>ALLEGAN DISTRICT LIBRARY</t>
  </si>
  <si>
    <t>Library</t>
  </si>
  <si>
    <t>ALLEGAN FIRE DISTRICT</t>
  </si>
  <si>
    <t>CASCO</t>
  </si>
  <si>
    <t>CHARLES A RANSOM DISTRICT LIBRARY</t>
  </si>
  <si>
    <t>CHESHIRE</t>
  </si>
  <si>
    <t>CLYDE</t>
  </si>
  <si>
    <t>DORR</t>
  </si>
  <si>
    <t>DORR TOWNSHIP LIBRARY</t>
  </si>
  <si>
    <t>DORR TWP-LEIGHTON TWP WASTE WATER AUTHORITY</t>
  </si>
  <si>
    <t>DOUGLAS VILLAGE</t>
  </si>
  <si>
    <t>FENNVILLE</t>
  </si>
  <si>
    <t>FENNVILLE AREA FIRE BOARD</t>
  </si>
  <si>
    <t>FENNVILLE DISTRICT LIBRARY</t>
  </si>
  <si>
    <t>FILLMORE</t>
  </si>
  <si>
    <t>GANGES</t>
  </si>
  <si>
    <t>GRAAFSCHAP FIRE DEPARTMENT</t>
  </si>
  <si>
    <t>GUN PLAIN CHARTER</t>
  </si>
  <si>
    <t>HAMILTON FIRE DEPARTMENT</t>
  </si>
  <si>
    <t>HEATH</t>
  </si>
  <si>
    <t>HENIKA DISTRICT LIBRARY</t>
  </si>
  <si>
    <t>HOPKINS</t>
  </si>
  <si>
    <t>HOPKINS PUBLIC LIBRARY</t>
  </si>
  <si>
    <t>INTERURBAN TRANSIT AUTHORITY</t>
  </si>
  <si>
    <t>KALAMAZOO LAKE SEWER AND WATER AUTHORITY</t>
  </si>
  <si>
    <t>LAKETOWN</t>
  </si>
  <si>
    <t>LEE</t>
  </si>
  <si>
    <t>LEIGHTON</t>
  </si>
  <si>
    <t>MANLIUS</t>
  </si>
  <si>
    <t>MARTIN</t>
  </si>
  <si>
    <t>Match-E-Be-Nash-She-Wish Local Revenue Sharing Bd</t>
  </si>
  <si>
    <t>Drain District</t>
  </si>
  <si>
    <t>MONTEREY</t>
  </si>
  <si>
    <t>OTSEGO</t>
  </si>
  <si>
    <t>OTSEGO DISTRICT PUBLIC LIBRARY</t>
  </si>
  <si>
    <t>OVERISEL</t>
  </si>
  <si>
    <t>PLAINWELL</t>
  </si>
  <si>
    <t>SALEM</t>
  </si>
  <si>
    <t>SAUGATUCK</t>
  </si>
  <si>
    <t>SAUGATUCK TOWNSHIP FIRE DISTRICT</t>
  </si>
  <si>
    <t>Saugatuck-Douglas District Library</t>
  </si>
  <si>
    <t>South Haven and Casco Township Water and Sewage Treatment Authority</t>
  </si>
  <si>
    <t>VALLEY</t>
  </si>
  <si>
    <t>WAYLAND</t>
  </si>
  <si>
    <t>WAYLAND AREA EMERGENCY MEDICAL SERVICES</t>
  </si>
  <si>
    <t>ALPENA</t>
  </si>
  <si>
    <t>ALPENA COMMUNITY COLLEGE</t>
  </si>
  <si>
    <t>Community College</t>
  </si>
  <si>
    <t>ALPENA COUNTY ROAD COMMISSION</t>
  </si>
  <si>
    <t>GREEN</t>
  </si>
  <si>
    <t>MAPLE RIDGE</t>
  </si>
  <si>
    <t>NORTHLAND LIBRARY COOPERATIVE</t>
  </si>
  <si>
    <t>SANBORN</t>
  </si>
  <si>
    <t>THUNDER BAY TRANSPORTATION AUTHORITY</t>
  </si>
  <si>
    <t>WELLINGTON</t>
  </si>
  <si>
    <t>Alden District Library</t>
  </si>
  <si>
    <t>ANTRIM</t>
  </si>
  <si>
    <t>ANTRIM COUNTY ROAD COMMISSION</t>
  </si>
  <si>
    <t>ANTRIM COUNTY TRANSPORTATION</t>
  </si>
  <si>
    <t>BANKS</t>
  </si>
  <si>
    <t>BELLAIRE</t>
  </si>
  <si>
    <t>BELLAIRE DISTRICT FIRE AUTHORITY</t>
  </si>
  <si>
    <t>BELLAIRE PUBLIC LIBRARY</t>
  </si>
  <si>
    <t>CENTRAL LAKE</t>
  </si>
  <si>
    <t>CENTRAL LAKE DISTRICT LIBRARY</t>
  </si>
  <si>
    <t>CUSTER</t>
  </si>
  <si>
    <t>ELK RAPIDS</t>
  </si>
  <si>
    <t>ELK RAPIDS DISTRICT LIBRARY</t>
  </si>
  <si>
    <t>ELK RAPIDS VILLAGE HOUSING COMMISSION</t>
  </si>
  <si>
    <t>ELLSWORTH</t>
  </si>
  <si>
    <t>FOREST HOME</t>
  </si>
  <si>
    <t>HELENA</t>
  </si>
  <si>
    <t>JORDAN</t>
  </si>
  <si>
    <t>KEARNEY</t>
  </si>
  <si>
    <t>MANCELONA</t>
  </si>
  <si>
    <t>MANCELONA AREA WATER/SEWER AUTHORITY</t>
  </si>
  <si>
    <t>Mancelona Village Downtown Development Authority</t>
  </si>
  <si>
    <t>MEADOW BROOK MEDICAL CARE FACILITY</t>
  </si>
  <si>
    <t>MILTON</t>
  </si>
  <si>
    <t>TORCH LAKE</t>
  </si>
  <si>
    <t>TOWNSHIP AMBULANCE AUTHORITY</t>
  </si>
  <si>
    <t>WARNER</t>
  </si>
  <si>
    <t>ADAMS</t>
  </si>
  <si>
    <t>ARENAC</t>
  </si>
  <si>
    <t>ARENAC COUNTY ROAD COMMISSION</t>
  </si>
  <si>
    <t>ARENAC HERITAGE ROUTE AUTHORITY</t>
  </si>
  <si>
    <t>AU GRES</t>
  </si>
  <si>
    <t>AUGRES SIMS WHITNEY FIRE AND RESCUE AUTHORITY</t>
  </si>
  <si>
    <t>DEEP RIVER</t>
  </si>
  <si>
    <t>MASON</t>
  </si>
  <si>
    <t>MOFFATT</t>
  </si>
  <si>
    <t>OMER</t>
  </si>
  <si>
    <t>SIMS</t>
  </si>
  <si>
    <t>SIMS-WHITNEY UTILITIES AUTH</t>
  </si>
  <si>
    <t>STANDISH</t>
  </si>
  <si>
    <t>STANDISH AREA FIRE AUTHORITY</t>
  </si>
  <si>
    <t>STERLING</t>
  </si>
  <si>
    <t>TURNER</t>
  </si>
  <si>
    <t>TWINING</t>
  </si>
  <si>
    <t>TWINING-MASON-TURNER FIRE DEPARTMENT</t>
  </si>
  <si>
    <t>WHITNEY</t>
  </si>
  <si>
    <t>ARVON</t>
  </si>
  <si>
    <t>BARAGA</t>
  </si>
  <si>
    <t>BARAGA CO ROAD COMMISSION</t>
  </si>
  <si>
    <t>BARAGA VIL/KEWEENAW BAY RESERVATION WASTEWATER AUT</t>
  </si>
  <si>
    <t>BARAGA VILLAGE HOUSING COMMISSION</t>
  </si>
  <si>
    <t>COPPER COUNTRY COMMUNITY MENTAL HEALTH SERVS BD</t>
  </si>
  <si>
    <t>COVINGTON</t>
  </si>
  <si>
    <t>L ANSE VILLAGE HOUSING COMMISSION</t>
  </si>
  <si>
    <t>L'ANSE</t>
  </si>
  <si>
    <t>SPURR</t>
  </si>
  <si>
    <t>ASSYRIA</t>
  </si>
  <si>
    <t>BALTIMORE</t>
  </si>
  <si>
    <t>BARRY</t>
  </si>
  <si>
    <t>BARRY CO COMMUNITY MENTAL HEALTH AUTHORITY</t>
  </si>
  <si>
    <t>BARRY COUNTY ROAD COMMISSION</t>
  </si>
  <si>
    <t>BARRY COUNTY TRANSIT</t>
  </si>
  <si>
    <t>BIRCH RURAL FIRE DEPARTMENT</t>
  </si>
  <si>
    <t>CARLTON</t>
  </si>
  <si>
    <t>CASTLETON</t>
  </si>
  <si>
    <t>CASTLETON MAPLE GROVE AND NASHVILLE EMS DEPT</t>
  </si>
  <si>
    <t>CASTLETON MAPLE GROVE AND NASHVILLE FIRE DEPT</t>
  </si>
  <si>
    <t>DELTON DISTRICT LIBRARY</t>
  </si>
  <si>
    <t>DELTON FIRE DEPARTMENT</t>
  </si>
  <si>
    <t>FREEPORT</t>
  </si>
  <si>
    <t>FREEPORT DISTRICT LIBRARY</t>
  </si>
  <si>
    <t>GUN LAKE AREA SEWER &amp; WATER AUTHORITY</t>
  </si>
  <si>
    <t>HASTINGS</t>
  </si>
  <si>
    <t>HASTINGS CHARTER</t>
  </si>
  <si>
    <t>HOPE</t>
  </si>
  <si>
    <t>IRVING</t>
  </si>
  <si>
    <t>JOHNSTOWN</t>
  </si>
  <si>
    <t>MAPLE GROVE</t>
  </si>
  <si>
    <t>MIDDLEVILLE</t>
  </si>
  <si>
    <t>MIDDLEVILLE VILLAGE HOUSING COMMISSION</t>
  </si>
  <si>
    <t>NASHVILLE</t>
  </si>
  <si>
    <t>ORANGEVILLE</t>
  </si>
  <si>
    <t>PRAIRIEVILLE</t>
  </si>
  <si>
    <t>PUTNAM DISTRICT LIBRARY</t>
  </si>
  <si>
    <t>RUTLAND CHARTER</t>
  </si>
  <si>
    <t>SOUTHWEST BARRY CO SEWER &amp; WATER AUTHORITY</t>
  </si>
  <si>
    <t>THORNAPPLE</t>
  </si>
  <si>
    <t>THORNAPPLE MANOR</t>
  </si>
  <si>
    <t>TRANSFER/RECYCLING BD-CASTLETON/MAPLEGROVE/NASHVIL</t>
  </si>
  <si>
    <t>WOODLAND</t>
  </si>
  <si>
    <t>YANKEE SPRINGS</t>
  </si>
  <si>
    <t>AUBURN</t>
  </si>
  <si>
    <t>AUBURN-WILLIAMS FIRE PROTECTION DISTRICT</t>
  </si>
  <si>
    <t>BANGOR CHARTER</t>
  </si>
  <si>
    <t>BANGOR-MONITOR METROPOLITAN DISTRICT</t>
  </si>
  <si>
    <t>BAY</t>
  </si>
  <si>
    <t>BAY AREA NARCOTICS ENFORCEMENT TEAM-BAYANET</t>
  </si>
  <si>
    <t>BAY AREA STORM WATER AUTHORITY</t>
  </si>
  <si>
    <t>BAY CITY</t>
  </si>
  <si>
    <t>BAY CITY HOUSING COMMISSION</t>
  </si>
  <si>
    <t>BAY COUNTY DEPARTMENT OF WATER &amp; SEWER</t>
  </si>
  <si>
    <t>Bay County Employees' Retirement System</t>
  </si>
  <si>
    <t>BAY COUNTY HOUSING COMMISSION</t>
  </si>
  <si>
    <t>BAY COUNTY MEDICAL CARE FACILITY</t>
  </si>
  <si>
    <t>BAY COUNTY ROAD COMMISSION</t>
  </si>
  <si>
    <t>BAY METROPOLITAN TRANSPORTATION AUTHORITY</t>
  </si>
  <si>
    <t>BAY-ARENAC BEHAVIORAL HEALTH</t>
  </si>
  <si>
    <t>BEAVER</t>
  </si>
  <si>
    <t>DOWNTOWN BAY CITY MANAGEMENT BOARD</t>
  </si>
  <si>
    <t>ESSEXVILLE</t>
  </si>
  <si>
    <t>FRANKENLUST</t>
  </si>
  <si>
    <t>FRASER</t>
  </si>
  <si>
    <t>HAMPTON CHARTER</t>
  </si>
  <si>
    <t>KAWKAWLIN</t>
  </si>
  <si>
    <t>KAWKAWLIN METROPOLITAN DISTRICT</t>
  </si>
  <si>
    <t>LINWOOD METROPOLITAN DISTRICT</t>
  </si>
  <si>
    <t>MERRITT</t>
  </si>
  <si>
    <t>MONITOR CHARTER</t>
  </si>
  <si>
    <t>MONITOR CHARTER TOWNSHIP DDA</t>
  </si>
  <si>
    <t>MT FOREST</t>
  </si>
  <si>
    <t>PINCONNING</t>
  </si>
  <si>
    <t>PINCONNING/FRASER FIRE DEPARTMENT</t>
  </si>
  <si>
    <t>PORTSMOUTH CHARTER</t>
  </si>
  <si>
    <t>TOWNSHIP CODE ENFORCEMENT DEPARTMENT</t>
  </si>
  <si>
    <t>WILLIAMS CHARTER</t>
  </si>
  <si>
    <t>ALMIRA</t>
  </si>
  <si>
    <t>BENZIE</t>
  </si>
  <si>
    <t>BENZIE COUNTY ROAD COMMISSION</t>
  </si>
  <si>
    <t>BENZIE LEELANAU DISTRICT HEALTH DEPARTMENT</t>
  </si>
  <si>
    <t>BENZIE SHORES DISTRICT LIBRARY</t>
  </si>
  <si>
    <t>BENZIE TRANSPORTATION AUTHORITY</t>
  </si>
  <si>
    <t>BENZONIA</t>
  </si>
  <si>
    <t>BENZONIA PUBLIC LIBRARY</t>
  </si>
  <si>
    <t>BETSIE LAKE UTILITIES AUTHORITY</t>
  </si>
  <si>
    <t>BEULAH</t>
  </si>
  <si>
    <t>BLAINE</t>
  </si>
  <si>
    <t>CRYSTAL LAKE</t>
  </si>
  <si>
    <t>ELBERTA</t>
  </si>
  <si>
    <t>FRANKFORT</t>
  </si>
  <si>
    <t>FRANKFORT CITY-COUNTY AIRPORT AUTHORITY</t>
  </si>
  <si>
    <t>HOMESTEAD</t>
  </si>
  <si>
    <t>HONOR</t>
  </si>
  <si>
    <t>INLAND</t>
  </si>
  <si>
    <t>JOYFIELD</t>
  </si>
  <si>
    <t>LAKE</t>
  </si>
  <si>
    <t>LAKE ANN</t>
  </si>
  <si>
    <t>MAPLES, BENZIE CO MEDICAL CARE FACILITY</t>
  </si>
  <si>
    <t>PLATTE</t>
  </si>
  <si>
    <t>WELDON</t>
  </si>
  <si>
    <t>BAINBRIDGE</t>
  </si>
  <si>
    <t>BARODA</t>
  </si>
  <si>
    <t>Baroda Lake Police Department</t>
  </si>
  <si>
    <t>BENTON CHARTER</t>
  </si>
  <si>
    <t>BENTON HARBOR</t>
  </si>
  <si>
    <t>Benton Harbor - St Joseph Joint Wastewater Treatment Plant</t>
  </si>
  <si>
    <t>BENTON HARBOR CITY HOUSING COMMISSION</t>
  </si>
  <si>
    <t>BENTON HARBOR PUBLIC LIBRARY</t>
  </si>
  <si>
    <t>BENTON TWP HOUSING COMMISSION</t>
  </si>
  <si>
    <t>BERRIEN</t>
  </si>
  <si>
    <t>BERRIEN COUNTY BROWNFIELD REDEVELOPMENT AUTHORITY</t>
  </si>
  <si>
    <t>Berrien County Employees' Retirement System</t>
  </si>
  <si>
    <t>BERRIEN COUNTY LAND BANK FAST TRACK AUTHORITY</t>
  </si>
  <si>
    <t>BERRIEN COUNTY PUBLIC TRANSPORTATION</t>
  </si>
  <si>
    <t>BERRIEN COUNTY ROAD COMMISSION</t>
  </si>
  <si>
    <t>BERRIEN MENTAL HEALTH AUTHORITY</t>
  </si>
  <si>
    <t>BERRIEN SPRINGS</t>
  </si>
  <si>
    <t>BERRIEN SPRINGS COMMUNITY LIBRARY</t>
  </si>
  <si>
    <t>BERTRAND</t>
  </si>
  <si>
    <t>BRIDGMAN</t>
  </si>
  <si>
    <t>BRIDGMAN PUBLIC LIBRARY</t>
  </si>
  <si>
    <t>BUCHANAN</t>
  </si>
  <si>
    <t>BUCHANAN CITY DIAL-A-RIDE</t>
  </si>
  <si>
    <t>BUCHANAN DISTRICT LIBRARY</t>
  </si>
  <si>
    <t>CHIKAMING</t>
  </si>
  <si>
    <t>COLOMA</t>
  </si>
  <si>
    <t>COLOMA CHARTER</t>
  </si>
  <si>
    <t>COLOMA CITY - COLOMA CHARTER TWP JOINT CEMETERY</t>
  </si>
  <si>
    <t>COLOMA PUBLIC LIBRARY</t>
  </si>
  <si>
    <t>EAU CLAIRE</t>
  </si>
  <si>
    <t>EAU CLAIRE DISTRICT LIBRARY</t>
  </si>
  <si>
    <t>GALIEN</t>
  </si>
  <si>
    <t>GRAND BEACH</t>
  </si>
  <si>
    <t>GRSD SEWER AUTHORITY</t>
  </si>
  <si>
    <t>HAGAR</t>
  </si>
  <si>
    <t>LAKE CHARTER</t>
  </si>
  <si>
    <t>LAKE MI SHORELINE WATER/SEWAGE TREATMENT AUTH</t>
  </si>
  <si>
    <t>LAKE MICHIGAN COLLEGE</t>
  </si>
  <si>
    <t>LINCOLN CHARTER</t>
  </si>
  <si>
    <t>LINCOLN TOWNSHIP PUBLIC LIBRARY</t>
  </si>
  <si>
    <t>MICHIANA</t>
  </si>
  <si>
    <t>NEW BUFFALO</t>
  </si>
  <si>
    <t>New Buffalo Library Joint Building Authority</t>
  </si>
  <si>
    <t>NEW BUFFALO TOWNSHIP LIBRARY</t>
  </si>
  <si>
    <t>NILES</t>
  </si>
  <si>
    <t>NILES CHARTER</t>
  </si>
  <si>
    <t>NILES DISTRICT LIBRARY</t>
  </si>
  <si>
    <t>North Berrien Fire-Rescue Board</t>
  </si>
  <si>
    <t>ORONOKO CHARTER</t>
  </si>
  <si>
    <t>PIPESTONE</t>
  </si>
  <si>
    <t>ROYALTON</t>
  </si>
  <si>
    <t>SE BERRIEN CO LANDFILL AUTH</t>
  </si>
  <si>
    <t>SHOREHAM</t>
  </si>
  <si>
    <t>SODUS</t>
  </si>
  <si>
    <t>SOUTHWEST MI REGIONAL SANITARY SEWER &amp; WATER AUTH</t>
  </si>
  <si>
    <t>SOUTHWEST MICHIGAN REGIONAL AIRPORT AUTHORITY</t>
  </si>
  <si>
    <t>SOUTHWESTERN MICHIGAN COMMUNITY AMBULANCE SERVICE</t>
  </si>
  <si>
    <t>ST JOSEPH</t>
  </si>
  <si>
    <t>ST JOSEPH CHARTER</t>
  </si>
  <si>
    <t>ST JOSEPH CITY HOUSING COMMISSION</t>
  </si>
  <si>
    <t>STEVENSVILLE</t>
  </si>
  <si>
    <t>THREE OAKS</t>
  </si>
  <si>
    <t>TWIN CITIES AREA TRANSPORTATION AUTHORITY</t>
  </si>
  <si>
    <t>WATERVLIET</t>
  </si>
  <si>
    <t>WATERVLIET CHARTER</t>
  </si>
  <si>
    <t>WATERVLIET DISTRICT LIBRARY</t>
  </si>
  <si>
    <t>WATERVLIET JOINT FIRE BOARD</t>
  </si>
  <si>
    <t>WEESAW</t>
  </si>
  <si>
    <t>ALGANSEE</t>
  </si>
  <si>
    <t>BATAVIA</t>
  </si>
  <si>
    <t>BRANCH</t>
  </si>
  <si>
    <t>BRANCH AREA TRANSIT AUTHORITY</t>
  </si>
  <si>
    <t>BRANCH COUNTY COMMUNITY MENTAL HEALTH AUTHORITY</t>
  </si>
  <si>
    <t>Branch County Conservation District</t>
  </si>
  <si>
    <t>BRANCH COUNTY ROAD COMMISSION</t>
  </si>
  <si>
    <t>BRANCH DISTRICT LIBRARY</t>
  </si>
  <si>
    <t>BRANCH-HILLSDALE-ST JOSEPH COMMUNITY HEALTH AGENCY</t>
  </si>
  <si>
    <t>BRONSON</t>
  </si>
  <si>
    <t>BRONSON CITY HOUSING COMMISSION</t>
  </si>
  <si>
    <t>BUTLER</t>
  </si>
  <si>
    <t>COLDWATER</t>
  </si>
  <si>
    <t>COLDWATER CITY HOUSING COMMISSION</t>
  </si>
  <si>
    <t>GILEAD</t>
  </si>
  <si>
    <t>GIRARD</t>
  </si>
  <si>
    <t>KINDERHOOK</t>
  </si>
  <si>
    <t>MATTESON</t>
  </si>
  <si>
    <t>NOBLE</t>
  </si>
  <si>
    <t>OVID</t>
  </si>
  <si>
    <t>QUINCY</t>
  </si>
  <si>
    <t>QUINCY FIRE ASSOCIATION</t>
  </si>
  <si>
    <t>SHERWOOD</t>
  </si>
  <si>
    <t>UNION</t>
  </si>
  <si>
    <t>UNION CITY</t>
  </si>
  <si>
    <t>ALBION</t>
  </si>
  <si>
    <t>ALBION CITY HOUSING COMMISSION</t>
  </si>
  <si>
    <t>ALBION DISTRICT LIBRARY</t>
  </si>
  <si>
    <t>ATHENS</t>
  </si>
  <si>
    <t>BATTLE CREEK</t>
  </si>
  <si>
    <t>BATTLE CREEK AREA TRANSPORTATION STUDY</t>
  </si>
  <si>
    <t>BATTLE CREEK CITY BROWNFIELD REDEVELOPMENT AUTHORI</t>
  </si>
  <si>
    <t>BATTLE CREEK CITY DIRECT INVESTMENT FUNDS</t>
  </si>
  <si>
    <t>BATTLE CREEK CITY DOWNTOWN DEVELOPMENT AUTHORITY</t>
  </si>
  <si>
    <t>BATTLE CREEK CITY HOUSING COMMISSION</t>
  </si>
  <si>
    <t>BATTLE CREEK CITY LOCAL DEVELOPMENT FINANCE AUTHOR</t>
  </si>
  <si>
    <t>BATTLE CREEK CITY POLICE &amp; FIRE RETIREMENT SYSTEM</t>
  </si>
  <si>
    <t>BATTLE CREEK CITY TAX INCREMENT FINANCE AUTHORITY</t>
  </si>
  <si>
    <t>BATTLE CREEK TRANSIT SYTEM</t>
  </si>
  <si>
    <t>BEDFORD CHARTER</t>
  </si>
  <si>
    <t>BURLINGTON</t>
  </si>
  <si>
    <t>CALHOUN</t>
  </si>
  <si>
    <t>CALHOUN CO 100% DELINQUENT TAX REVOLVING FUND</t>
  </si>
  <si>
    <t>CALHOUN CO MEDICAL CARE FACILITY</t>
  </si>
  <si>
    <t>CALHOUN COUNTY CONSOLIDATED DISPATCH AUTHORITY</t>
  </si>
  <si>
    <t>CALHOUN COUNTY LAND BANK AUTHORITY</t>
  </si>
  <si>
    <t>CLARENCE</t>
  </si>
  <si>
    <t>CONVIS</t>
  </si>
  <si>
    <t>ECKFORD</t>
  </si>
  <si>
    <t>EMMETT CHARTER</t>
  </si>
  <si>
    <t>Firekeepers Local Revenue Sharing Board</t>
  </si>
  <si>
    <t>KELLOGG ARENA FUND CITY OF BATTLE CREEK</t>
  </si>
  <si>
    <t>KELLOGG COMMUNITY COLLEGE</t>
  </si>
  <si>
    <t>LAKEVIEW DOWNTOWN DEVELOPMENT AUTHORITY</t>
  </si>
  <si>
    <t>LEROY</t>
  </si>
  <si>
    <t>MARENGO</t>
  </si>
  <si>
    <t>MARSHALL</t>
  </si>
  <si>
    <t>MARSHALL AREA FIRE FIGHTERS AMBULANCE AUTHORITY</t>
  </si>
  <si>
    <t>MARSHALL DISTRICT LIBRARY</t>
  </si>
  <si>
    <t>NEWTON</t>
  </si>
  <si>
    <t>PENNFIELD CHARTER</t>
  </si>
  <si>
    <t>SHERIDAN</t>
  </si>
  <si>
    <t>SOUTH CENTRAL MI CONSTRUCTION CODE INSPECTION INC</t>
  </si>
  <si>
    <t>SPRINGFIELD</t>
  </si>
  <si>
    <t>SUMMIT POINTE COMMUNITY MENTAL HEALTH AUTHORITY</t>
  </si>
  <si>
    <t>TEKONSHA</t>
  </si>
  <si>
    <t>WILLARD PUBLIC LIBRARY</t>
  </si>
  <si>
    <t>WOODLANDS LIBRARY COOPERATIVE</t>
  </si>
  <si>
    <t>CALVIN</t>
  </si>
  <si>
    <t>CASS</t>
  </si>
  <si>
    <t>CASS COUNTY MEDICAL CARE FACILITY</t>
  </si>
  <si>
    <t>CASS COUNTY ROAD COMMISSION</t>
  </si>
  <si>
    <t>CASS COUNTY TRANSPORTATION AUTHORITY</t>
  </si>
  <si>
    <t>CASS DISTRICT LIBRARY</t>
  </si>
  <si>
    <t>CASSOPOLIS</t>
  </si>
  <si>
    <t>CASSOPOLIS AREA UTILITIES AUTH</t>
  </si>
  <si>
    <t>Central Cass Interlocal Fire Department</t>
  </si>
  <si>
    <t>DOWAGIAC</t>
  </si>
  <si>
    <t>DOWAGIAC CITY HOUSING COMMISSION</t>
  </si>
  <si>
    <t>DOWAGIAC DISTRICT LIBRARY</t>
  </si>
  <si>
    <t>EDWARDSBURG</t>
  </si>
  <si>
    <t>EDWARDSBURG AMBULANCE SERVICE</t>
  </si>
  <si>
    <t>EDWARDSBURG JOINT FIRE BOARD</t>
  </si>
  <si>
    <t>HOWARD</t>
  </si>
  <si>
    <t>LAGRANGE</t>
  </si>
  <si>
    <t>MARCELLUS</t>
  </si>
  <si>
    <t>MARCELLUS AREA EMERGENCY SERVICES</t>
  </si>
  <si>
    <t>NEWBERG</t>
  </si>
  <si>
    <t>ONTWA</t>
  </si>
  <si>
    <t>ONTWA TWP-EDWARDSBURG POLICE DEPARTMENT</t>
  </si>
  <si>
    <t>POKAGON</t>
  </si>
  <si>
    <t>PORTER</t>
  </si>
  <si>
    <t>SILVER CREEK</t>
  </si>
  <si>
    <t>SISTER LAKES AREA UTILITIES AUTHORITY</t>
  </si>
  <si>
    <t>SOUTHEAST PUBLIC SAFETY AUTHORITY</t>
  </si>
  <si>
    <t>SOUTHWESTERN MICHIGAN COLLEGE</t>
  </si>
  <si>
    <t>VANDALIA</t>
  </si>
  <si>
    <t>VOLINIA</t>
  </si>
  <si>
    <t>WOODLANDS BEHAVIORAL HEALTHCARE NETWORK</t>
  </si>
  <si>
    <t>BEAVER ISLAND DISTRICT LIBRARY</t>
  </si>
  <si>
    <t>BEAVER ISLAND TRANSPORTATION AUTHORITY</t>
  </si>
  <si>
    <t>BOYNE CITY</t>
  </si>
  <si>
    <t>BOYNE CITY HOUSING COMMISSION</t>
  </si>
  <si>
    <t>BOYNE DISTRICT LIBRARY</t>
  </si>
  <si>
    <t>BOYNE VALLEY</t>
  </si>
  <si>
    <t>CHANDLER</t>
  </si>
  <si>
    <t>CHARLEVOIX</t>
  </si>
  <si>
    <t>CHARLEVOIX CITY HOUSING COMMISSION</t>
  </si>
  <si>
    <t>CHARLEVOIX CO ROAD COMMISSION</t>
  </si>
  <si>
    <t>CHARLEVOIX COUNTY PUBLIC TRANSIT</t>
  </si>
  <si>
    <t>CHARLEVOIX PUBLIC LIBRARY</t>
  </si>
  <si>
    <t>Charlevoix Township Hospital Finance Authority</t>
  </si>
  <si>
    <t>Hospital Finance Authority</t>
  </si>
  <si>
    <t>EAST JORDAN</t>
  </si>
  <si>
    <t>EAST JORDAN CITY DOWNTOWN DEVELOPMENT AUTHORITY</t>
  </si>
  <si>
    <t>EAST JORDAN CITY HOUSING COMMISSION</t>
  </si>
  <si>
    <t>EVELINE</t>
  </si>
  <si>
    <t>GRANDVUE MEDICAL CARE FACILITY</t>
  </si>
  <si>
    <t>HAYES</t>
  </si>
  <si>
    <t>HUDSON</t>
  </si>
  <si>
    <t>JORDAN VALLEY DISTRICT LIBRARY</t>
  </si>
  <si>
    <t>Jordan Valley Emergency Medical Services Authority</t>
  </si>
  <si>
    <t>NORTHWEST MICHIGAN COMMUNITY HEALTH AGENCY</t>
  </si>
  <si>
    <t>NORWOOD</t>
  </si>
  <si>
    <t>PEAINE</t>
  </si>
  <si>
    <t>SOUTH ARM</t>
  </si>
  <si>
    <t>ST JAMES</t>
  </si>
  <si>
    <t>WILSON</t>
  </si>
  <si>
    <t>ALOHA</t>
  </si>
  <si>
    <t>BEAUGRAND</t>
  </si>
  <si>
    <t>CHEBOYGAN</t>
  </si>
  <si>
    <t>CHEBOYGAN AREA PUBLIC LIBRARY</t>
  </si>
  <si>
    <t>CHEBOYGAN CITY HOUSING COMMISSION</t>
  </si>
  <si>
    <t>CHEBOYGAN COUNTY ROAD COMMISSION</t>
  </si>
  <si>
    <t>ELLIS</t>
  </si>
  <si>
    <t>FOREST-WAVERLY TOWNSHIP FIRE DEPARTMENT</t>
  </si>
  <si>
    <t>GRANT</t>
  </si>
  <si>
    <t>HEBRON</t>
  </si>
  <si>
    <t>INVERNESS</t>
  </si>
  <si>
    <t>MACKINAW CITY</t>
  </si>
  <si>
    <t>MENTOR</t>
  </si>
  <si>
    <t>MULLETT</t>
  </si>
  <si>
    <t>MUNRO</t>
  </si>
  <si>
    <t>NUNDA</t>
  </si>
  <si>
    <t>STRAITS REGIONAL RIDE</t>
  </si>
  <si>
    <t>TUSCARORA</t>
  </si>
  <si>
    <t>WALKER</t>
  </si>
  <si>
    <t>WAVERLY</t>
  </si>
  <si>
    <t>WILMOT</t>
  </si>
  <si>
    <t>WOLVERINE</t>
  </si>
  <si>
    <t>WOLVERINE JOINT FIRE BOARD</t>
  </si>
  <si>
    <t>CHIPPEWA</t>
  </si>
  <si>
    <t>CHIPPEWA CO ROAD COMMISSION</t>
  </si>
  <si>
    <t>CHIPPEWA COUNTY EDC</t>
  </si>
  <si>
    <t>CHIPPEWA COUNTY HEALTH DEPARTMENT</t>
  </si>
  <si>
    <t>DAFTER</t>
  </si>
  <si>
    <t>DETOUR</t>
  </si>
  <si>
    <t>DETOUR VILLAGE</t>
  </si>
  <si>
    <t>EASTERN UP EMPLOYMENT &amp; TRAINING CONSORTIUM</t>
  </si>
  <si>
    <t>EASTERN UP REGIONAL PLANNING/DEVELOPMENT COMM</t>
  </si>
  <si>
    <t>EASTERN UPPER PENINSULA TRANSPORTATION AUTHORITY</t>
  </si>
  <si>
    <t>KINROSS CHARTER</t>
  </si>
  <si>
    <t>PICKFORD</t>
  </si>
  <si>
    <t>RABER</t>
  </si>
  <si>
    <t>SAULT STE MARIE</t>
  </si>
  <si>
    <t>SAULT STE MARIE CITY EDC</t>
  </si>
  <si>
    <t>SAULT STE MARIE CITY HOUSING COMMISSION</t>
  </si>
  <si>
    <t>SOO</t>
  </si>
  <si>
    <t>Superior District Library</t>
  </si>
  <si>
    <t>WHITEFISH</t>
  </si>
  <si>
    <t>ARTHUR</t>
  </si>
  <si>
    <t>CLARE</t>
  </si>
  <si>
    <t>CLARE COUNTY ROAD COMMISSION</t>
  </si>
  <si>
    <t>CLARE COUNTY TRANSIT CORPORATION</t>
  </si>
  <si>
    <t>FARWELL</t>
  </si>
  <si>
    <t>Farwell Village LDFA</t>
  </si>
  <si>
    <t>FRANKLIN</t>
  </si>
  <si>
    <t>FREEMAN</t>
  </si>
  <si>
    <t>FROST</t>
  </si>
  <si>
    <t>GARFIELD</t>
  </si>
  <si>
    <t>GREENWOOD</t>
  </si>
  <si>
    <t>HARRISON</t>
  </si>
  <si>
    <t>HARRISON CITY DOWNTOWN DEVELOPMENT AUTHORITY</t>
  </si>
  <si>
    <t>Harrison District Library</t>
  </si>
  <si>
    <t>HATTON</t>
  </si>
  <si>
    <t>MI WORKS!--REGION 7B CONSORTIUM</t>
  </si>
  <si>
    <t>PERE MARQUETTE DISTRICT LIBRARY</t>
  </si>
  <si>
    <t>REDDING</t>
  </si>
  <si>
    <t>SUMMERFIELD</t>
  </si>
  <si>
    <t>SURREY</t>
  </si>
  <si>
    <t>WINTERFIELD</t>
  </si>
  <si>
    <t>BATH CHARTER</t>
  </si>
  <si>
    <t>BATH CHARTER TOWNSHIP HOUSING COMMISSION</t>
  </si>
  <si>
    <t>BENGAL</t>
  </si>
  <si>
    <t>BINGHAM</t>
  </si>
  <si>
    <t>Briggs District Library</t>
  </si>
  <si>
    <t>CLINTON</t>
  </si>
  <si>
    <t>CLINTON AREA AMBULANCE SERVICE AUTHORITY</t>
  </si>
  <si>
    <t>CLINTON AREA FIRE AND RESCUE</t>
  </si>
  <si>
    <t>CLINTON AREA TRANSIT SYSTEM</t>
  </si>
  <si>
    <t>CLINTON CONSERVATION DISTRICT</t>
  </si>
  <si>
    <t>CLINTON COUNTY ROAD COMMISSION</t>
  </si>
  <si>
    <t>DALLAS</t>
  </si>
  <si>
    <t>DEWITT</t>
  </si>
  <si>
    <t>DEWITT AREA EMERGENCY SERVICES AUTHORITY</t>
  </si>
  <si>
    <t>DEWITT AREA RECREATION AUTHORITY</t>
  </si>
  <si>
    <t>DEWITT CHARTER</t>
  </si>
  <si>
    <t>DEWITT CITY DOWNTOWN DEVELOPMENT AUTHORITY</t>
  </si>
  <si>
    <t>DEWITT PUBLIC LIBRARY</t>
  </si>
  <si>
    <t>DUPLAIN</t>
  </si>
  <si>
    <t>EAGLE</t>
  </si>
  <si>
    <t>ELSIE</t>
  </si>
  <si>
    <t>ELSIE AREA FIRE ASSOCIATION</t>
  </si>
  <si>
    <t>ELSIE PUBLIC LIBRARY</t>
  </si>
  <si>
    <t>ESSEX</t>
  </si>
  <si>
    <t>GREENBUSH</t>
  </si>
  <si>
    <t>LEBANON</t>
  </si>
  <si>
    <t>LOOKING GLASS REGIONAL FIRE AUTHORITY</t>
  </si>
  <si>
    <t>MAPLE RAPIDS</t>
  </si>
  <si>
    <t>OVID PUBLIC LIBRARY</t>
  </si>
  <si>
    <t>OVID-MIDDLEBURY EMERGENCY SERVICES AUTHORITY</t>
  </si>
  <si>
    <t>SOUTHERN CLINTON CO MUNICIPAL UTILITIES AUTHORITY</t>
  </si>
  <si>
    <t>ST JOHNS</t>
  </si>
  <si>
    <t>VICTOR</t>
  </si>
  <si>
    <t>WATERTOWN CHARTER</t>
  </si>
  <si>
    <t>WESTPHALIA</t>
  </si>
  <si>
    <t>BEAVER CREEK</t>
  </si>
  <si>
    <t>CRAWFORD</t>
  </si>
  <si>
    <t>CRAWFORD CO ROAD COMMISSION</t>
  </si>
  <si>
    <t>CRAWFORD COUNTY TRANSPORTATION AUTHORITY</t>
  </si>
  <si>
    <t>FREDERIC</t>
  </si>
  <si>
    <t>GRAYLING</t>
  </si>
  <si>
    <t>GRAYLING CITY HOUSING COMMISSION</t>
  </si>
  <si>
    <t>GRAYLING RECREATION AUTHORITY</t>
  </si>
  <si>
    <t>LOVELLS</t>
  </si>
  <si>
    <t>MAPLE FOREST</t>
  </si>
  <si>
    <t>SOUTH BRANCH</t>
  </si>
  <si>
    <t>BALDWIN</t>
  </si>
  <si>
    <t>BAY DE NOC</t>
  </si>
  <si>
    <t>Incomplete</t>
  </si>
  <si>
    <t>BAY DE NOC COMMUNITY COLLEGE</t>
  </si>
  <si>
    <t>BRAMPTON</t>
  </si>
  <si>
    <t>CORNELL</t>
  </si>
  <si>
    <t>DELTA</t>
  </si>
  <si>
    <t>DELTA AREA TRANSIT AUTHORITY</t>
  </si>
  <si>
    <t>DELTA COUNTY CENTRAL DISPATCH AUTHORITY</t>
  </si>
  <si>
    <t>DELTA COUNTY ROAD COMMISSION</t>
  </si>
  <si>
    <t>DELTA SOLID WASTE MANAGEMENT AUTHORITY</t>
  </si>
  <si>
    <t>ESCANABA</t>
  </si>
  <si>
    <t>ESCANABA CITY HOUSING COMMISSION</t>
  </si>
  <si>
    <t>FAIRBANKS</t>
  </si>
  <si>
    <t>FORD RIVER</t>
  </si>
  <si>
    <t>FORD RIVER TWP WATER SUPPLY SYSTEM</t>
  </si>
  <si>
    <t>GARDEN</t>
  </si>
  <si>
    <t>GLADSTONE</t>
  </si>
  <si>
    <t>GLADSTONE CITY HOUSING COMMISSION</t>
  </si>
  <si>
    <t>MASONVILLE</t>
  </si>
  <si>
    <t>NAHMA</t>
  </si>
  <si>
    <t>NAHMA TWP WATER SUPPLY SYSTEM</t>
  </si>
  <si>
    <t>Public Health, Delta and Menominee County</t>
  </si>
  <si>
    <t>RAPID RIVER HOUSING COMMISSION</t>
  </si>
  <si>
    <t>UP State Fair Authority</t>
  </si>
  <si>
    <t>Upper Peninsula 911 Authority</t>
  </si>
  <si>
    <t>UPWARD Talent Council</t>
  </si>
  <si>
    <t>WELLS</t>
  </si>
  <si>
    <t>BREEN</t>
  </si>
  <si>
    <t>BREITUNG CHARTER</t>
  </si>
  <si>
    <t>CENTRAL LANDFILL AUTHORITY</t>
  </si>
  <si>
    <t>DICKINSON</t>
  </si>
  <si>
    <t>DICKINSON CO SOLID WASTE MGMT AUTHORITY</t>
  </si>
  <si>
    <t>DICKINSON COUNTY HEALTHCARE SYSTEM</t>
  </si>
  <si>
    <t>DICKINSON COUNTY HEALTHCARE SYSTEM RETIREMENT PLAN</t>
  </si>
  <si>
    <t>DICKINSON COUNTY ROAD COMMISSION</t>
  </si>
  <si>
    <t>FELCH</t>
  </si>
  <si>
    <t>IRON MOUNTAIN</t>
  </si>
  <si>
    <t>IRON MOUNTAIN CITY HOUSING COMMISSION</t>
  </si>
  <si>
    <t>Iron Mountain-Kingsford Joint Sewage Authority</t>
  </si>
  <si>
    <t>KINGSFORD</t>
  </si>
  <si>
    <t>KINGSFORD CITY HOUSING COMMISSION</t>
  </si>
  <si>
    <t>NORTHPOINTE BEHAVIORAL HEALTHCARE SYSTEMS</t>
  </si>
  <si>
    <t>NORWAY</t>
  </si>
  <si>
    <t>SAGOLA</t>
  </si>
  <si>
    <t>BELLEVUE COMMUNITY FIRE CONTROL BOARD</t>
  </si>
  <si>
    <t>BENTON</t>
  </si>
  <si>
    <t>BROOKFIELD</t>
  </si>
  <si>
    <t>CARMEL</t>
  </si>
  <si>
    <t>CHARLOTTE</t>
  </si>
  <si>
    <t>CHARLOTTE COMMUNITY LIBRARY</t>
  </si>
  <si>
    <t>CHESTER</t>
  </si>
  <si>
    <t>Delta Charter Township</t>
  </si>
  <si>
    <t>DELTA TWP DISTRICT LIBRARY</t>
  </si>
  <si>
    <t>DIMONDALE</t>
  </si>
  <si>
    <t>DOROTHY HULL LIBRARY OF WINDSOR TWP</t>
  </si>
  <si>
    <t>EATON</t>
  </si>
  <si>
    <t>Eaton County Health &amp; Rehabiliation Services</t>
  </si>
  <si>
    <t>EATON COUNTY ROAD COMMISSION</t>
  </si>
  <si>
    <t>EATON COUNTY TRANSPORTATION AUTHORITY</t>
  </si>
  <si>
    <t>EATON RAPIDS</t>
  </si>
  <si>
    <t>GRAND LEDGE</t>
  </si>
  <si>
    <t>GRAND LEDGE AREA DISTRICT LIBRARY</t>
  </si>
  <si>
    <t>GRAND LEDGE AREA EMERGENCY SERVICES AUTHORITY</t>
  </si>
  <si>
    <t>HAMLIN</t>
  </si>
  <si>
    <t>KALAMO</t>
  </si>
  <si>
    <t>MULLIKEN</t>
  </si>
  <si>
    <t>MULLIKEN DISTRICT LIBRARY</t>
  </si>
  <si>
    <t>MUNICIPAL EMPLOYEES RETIREMENT SYSTEM</t>
  </si>
  <si>
    <t>ONEIDA CHARTER</t>
  </si>
  <si>
    <t>POTTERVILLE</t>
  </si>
  <si>
    <t>Potterville Benton Township District Library</t>
  </si>
  <si>
    <t>POTTERVILLE CITY TAX INCREMENT FINANCE AUTHORITY</t>
  </si>
  <si>
    <t>ROXAND</t>
  </si>
  <si>
    <t>SUNFIELD</t>
  </si>
  <si>
    <t>SUNFIELD SEBEWA &amp; DANBY FIRE ASSOCIATION DISTRICT</t>
  </si>
  <si>
    <t>VERMONTVILLE</t>
  </si>
  <si>
    <t>WALTON</t>
  </si>
  <si>
    <t>WINDSOR CHARTER</t>
  </si>
  <si>
    <t>ALANSON</t>
  </si>
  <si>
    <t>ALANSON AREA PUBLIC LIBRARY</t>
  </si>
  <si>
    <t>BAY BLUFFS-EMMET CO MEDICAL CARE FACILITY</t>
  </si>
  <si>
    <t>BEAR CREEK</t>
  </si>
  <si>
    <t>BLISS</t>
  </si>
  <si>
    <t>CARP LAKE</t>
  </si>
  <si>
    <t>CENTER</t>
  </si>
  <si>
    <t>CROSS VILLAGE</t>
  </si>
  <si>
    <t>EMMET</t>
  </si>
  <si>
    <t>EMMET COUNTY ROAD COMMISSION</t>
  </si>
  <si>
    <t>FRIENDSHIP</t>
  </si>
  <si>
    <t>GREENWOOD CEMETERY</t>
  </si>
  <si>
    <t>HARBOR SPRINGS</t>
  </si>
  <si>
    <t>HARBOR SPRINGS AREA FIRE AUTHORITY</t>
  </si>
  <si>
    <t>HARBOR SPRINGS AREA SEWAGE DISPOSAL AUTHORITY</t>
  </si>
  <si>
    <t>HARBOR-PETOSKEY AREA AIRPORT AUTH</t>
  </si>
  <si>
    <t>LAKEVIEW CEMETERY BOARD</t>
  </si>
  <si>
    <t>LITTLE TRAVERSE</t>
  </si>
  <si>
    <t>LITTLEFIELD</t>
  </si>
  <si>
    <t>MACKINAW AREA PUBLIC LIBRARY</t>
  </si>
  <si>
    <t>MCKINLEY</t>
  </si>
  <si>
    <t>NORTH CENTRAL MICHIGAN COLLEGE DISTRICT</t>
  </si>
  <si>
    <t>NORTH COUNTRY COMMUNITY MENTAL HEALTH</t>
  </si>
  <si>
    <t>Northern Michigan Regional Entity</t>
  </si>
  <si>
    <t>Paradise Lake Improvement Board</t>
  </si>
  <si>
    <t>PELLSTON</t>
  </si>
  <si>
    <t>PETOSKEY</t>
  </si>
  <si>
    <t>PLEASANTVIEW</t>
  </si>
  <si>
    <t>READMOND</t>
  </si>
  <si>
    <t>RESORT</t>
  </si>
  <si>
    <t>SPRINGVALE</t>
  </si>
  <si>
    <t>SPRINGVALE-BEAR CREEK SEWAGE DISPOSAL AUTHORITY</t>
  </si>
  <si>
    <t>ARGENTINE</t>
  </si>
  <si>
    <t>ATLAS</t>
  </si>
  <si>
    <t>BEECHER METROPOLITAN DISTRICT</t>
  </si>
  <si>
    <t>BISHOP INTERNATIONAL AIRPORT AUTHORITY</t>
  </si>
  <si>
    <t>BURTON</t>
  </si>
  <si>
    <t>CLAYTON CHARTER</t>
  </si>
  <si>
    <t>CLIO</t>
  </si>
  <si>
    <t>CLIO AREA FIRE AUTHORITY</t>
  </si>
  <si>
    <t>CLIO AREA LIBRARY</t>
  </si>
  <si>
    <t>DAVISON</t>
  </si>
  <si>
    <t>DAVISON RICHFIELD AREA FIRE AUTHORITY</t>
  </si>
  <si>
    <t>DAVISON RICHFIELD SENIOR CITIZENS AUTHORITY</t>
  </si>
  <si>
    <t>FENTON</t>
  </si>
  <si>
    <t>FENTON CHARTER</t>
  </si>
  <si>
    <t>FLINT</t>
  </si>
  <si>
    <t>Flint Area Enterprise Community</t>
  </si>
  <si>
    <t>FLINT CHARTER</t>
  </si>
  <si>
    <t>FLINT CITY DOWNTOWN DEVELOPMENT AUTHORITY</t>
  </si>
  <si>
    <t>FLINT CITY EDC</t>
  </si>
  <si>
    <t>FLINT PUBLIC LIBRARY</t>
  </si>
  <si>
    <t>FLUSHING</t>
  </si>
  <si>
    <t>FLUSHING CHARTER</t>
  </si>
  <si>
    <t>FOREST</t>
  </si>
  <si>
    <t>GAINES</t>
  </si>
  <si>
    <t>GENESEE</t>
  </si>
  <si>
    <t>GENESEE CHARTER</t>
  </si>
  <si>
    <t>GENESEE COUNTY 9-1-1 CONSORTIUM COMMISSION</t>
  </si>
  <si>
    <t>Genesee County Community Action Resource Department</t>
  </si>
  <si>
    <t>Genesee County Employees Retirement System</t>
  </si>
  <si>
    <t>GENESEE COUNTY LAND BANK AUTHORITY</t>
  </si>
  <si>
    <t>GENESEE COUNTY METROPOLITAN PLANNING COMMISSION</t>
  </si>
  <si>
    <t>GENESEE COUNTY ROAD COMMISSION</t>
  </si>
  <si>
    <t>GENESEE COUNTY STORM WATER MANAGEMENT SYSTEM</t>
  </si>
  <si>
    <t>GENESEE DISTRICT LIBRARY</t>
  </si>
  <si>
    <t>GENESEE HEALTH SYSTEM</t>
  </si>
  <si>
    <t>GENESEE/WATER &amp; WASTE SERVICES</t>
  </si>
  <si>
    <t>GOODRICH</t>
  </si>
  <si>
    <t>GRAND BLANC</t>
  </si>
  <si>
    <t>GRAND BLANC CHARTER</t>
  </si>
  <si>
    <t>GRAND BLANC DISTRICT LIBRARY COMMISSION</t>
  </si>
  <si>
    <t>GRAND BLANC FIRE COMMISSION</t>
  </si>
  <si>
    <t>Karegnondi Water Authority</t>
  </si>
  <si>
    <t>LINDEN</t>
  </si>
  <si>
    <t>MASS TRANSPORTATION AUTHORITY</t>
  </si>
  <si>
    <t>MIDEASTERN MICHIGAN LIBRARY COOPERATIVE</t>
  </si>
  <si>
    <t>MONTROSE</t>
  </si>
  <si>
    <t>MONTROSE CHARTER</t>
  </si>
  <si>
    <t>MOTT COMMUNITY COLLEGE</t>
  </si>
  <si>
    <t>Mount Morris Charter Township</t>
  </si>
  <si>
    <t>MT MORRIS</t>
  </si>
  <si>
    <t>MUNDY CHARTER</t>
  </si>
  <si>
    <t>OTISVILLE</t>
  </si>
  <si>
    <t>RICHFIELD</t>
  </si>
  <si>
    <t>SOUTHERN LAKES REGIONAL METRO PARK &amp; REC COMMISSIO</t>
  </si>
  <si>
    <t>SWARTZ CREEK</t>
  </si>
  <si>
    <t>SWARTZ CREEK AREA FIRE BOARD</t>
  </si>
  <si>
    <t>THETFORD</t>
  </si>
  <si>
    <t>VIENNA CHARTER TOWNSHIP</t>
  </si>
  <si>
    <t>BEAVERTON</t>
  </si>
  <si>
    <t>BEAVERTON AREA FIRE PROTECTION DISTRICT</t>
  </si>
  <si>
    <t>BENTLEY</t>
  </si>
  <si>
    <t>BILLINGS</t>
  </si>
  <si>
    <t>BUCKEYE</t>
  </si>
  <si>
    <t>BUTMAN</t>
  </si>
  <si>
    <t>COUNCIL ON AGING FROM CLARE AND GLADWIN COUNTIES</t>
  </si>
  <si>
    <t>GLADWIN</t>
  </si>
  <si>
    <t>GLADWIN CITY HOUSING COMMISSION</t>
  </si>
  <si>
    <t>GLADWIN CITY-COUNTY TRANSIT</t>
  </si>
  <si>
    <t>GLADWIN CO ROAD COMMISSION</t>
  </si>
  <si>
    <t>GLADWIN COUNTY DISTRICT LIBRARY</t>
  </si>
  <si>
    <t>GLADWIN HOUSING DEV CORP SECTION 8 HOUSING PROGRAM</t>
  </si>
  <si>
    <t>GLADWIN RURAL URBAN FIRE PROTECTION DISTRICT</t>
  </si>
  <si>
    <t>GRIM</t>
  </si>
  <si>
    <t>GROUT</t>
  </si>
  <si>
    <t>HAY</t>
  </si>
  <si>
    <t>SAGE</t>
  </si>
  <si>
    <t>SECORD</t>
  </si>
  <si>
    <t>SHERMAN</t>
  </si>
  <si>
    <t>TOBACCO</t>
  </si>
  <si>
    <t>BESSEMER</t>
  </si>
  <si>
    <t>BESSEMER AREA SEWER AUTH</t>
  </si>
  <si>
    <t>BESSEMER CITY HOUSING COMMISSION</t>
  </si>
  <si>
    <t>COMMUNITY MENTAL HEALTH AUTHORITY (GOGEBIC CO)</t>
  </si>
  <si>
    <t>GOGEBIC</t>
  </si>
  <si>
    <t>GOGEBIC COMMUNITY COLLEGE</t>
  </si>
  <si>
    <t>GOGEBIC COUNTY TRANSIT</t>
  </si>
  <si>
    <t>Gogebic Medical Care Facility</t>
  </si>
  <si>
    <t>GOGEBIC RANGE SOLID WASTE MGMT AUTH</t>
  </si>
  <si>
    <t>GOGEBIC RANGE WATER AUTHORITY</t>
  </si>
  <si>
    <t>GOGEBIC-IRON WASTEWATER AUTHORITY</t>
  </si>
  <si>
    <t>IRONWOOD</t>
  </si>
  <si>
    <t>IRONWOOD CITY HOUSING COMMISSION</t>
  </si>
  <si>
    <t>MARENISCO</t>
  </si>
  <si>
    <t>POWDERHORN AREA UTILITY DISTRICT</t>
  </si>
  <si>
    <t>SECTION 32 SEWER AUTHORITY</t>
  </si>
  <si>
    <t>WAKEFIELD</t>
  </si>
  <si>
    <t>WAKEFIELD CITY HOUSING COMMISSION</t>
  </si>
  <si>
    <t>WATERSMEET</t>
  </si>
  <si>
    <t>Western UP Alliance</t>
  </si>
  <si>
    <t>ACME</t>
  </si>
  <si>
    <t>BAY AREA TRANSPORTATION AUTHORITY</t>
  </si>
  <si>
    <t>BLAIR</t>
  </si>
  <si>
    <t>City of Traverse City &amp; Twp of Garfield Recreation Auth</t>
  </si>
  <si>
    <t>Civic Center South Recreation Authority</t>
  </si>
  <si>
    <t>EAST BAY</t>
  </si>
  <si>
    <t>FIFE LAKE</t>
  </si>
  <si>
    <t>FIFE LAKE AREA EMERGENCY RESCUE AUTHORITY</t>
  </si>
  <si>
    <t>FIFE LAKE AREA UTILITY AUTHORITY</t>
  </si>
  <si>
    <t>GARFIELD CHARTER</t>
  </si>
  <si>
    <t>GRAND TRAVERSE</t>
  </si>
  <si>
    <t>GRAND TRAVERSE COUNTY ROAD COMMISSION</t>
  </si>
  <si>
    <t>GRAND TRAVERSE FIRE DEPARTMEN - RURAL DIVISION</t>
  </si>
  <si>
    <t>GRAND TRAVERSE METRO EMERGENCY SERVICES AUTHORITY</t>
  </si>
  <si>
    <t>GREEN LAKE</t>
  </si>
  <si>
    <t>INTERLOCHEN PUBLIC LIBRARY</t>
  </si>
  <si>
    <t>KINGSLEY</t>
  </si>
  <si>
    <t>LONG LAKE</t>
  </si>
  <si>
    <t>MAYFIELD</t>
  </si>
  <si>
    <t>NETWORKS NORTHWEST</t>
  </si>
  <si>
    <t>NORTHERN LAKES COMMUNITY MENTAL HEALTH AUTHORITY</t>
  </si>
  <si>
    <t>NORTHWEST REGIONAL FIRE TRAINING CENTER AUTHORITY</t>
  </si>
  <si>
    <t>NORTHWESTERN MICHIGAN COLLEGE</t>
  </si>
  <si>
    <t>NORTHWESTERN REGIONAL AIRPORT COMMISSION</t>
  </si>
  <si>
    <t>PARADISE</t>
  </si>
  <si>
    <t>PENINSULA</t>
  </si>
  <si>
    <t>PENINSULA COMMUNITY LIBRARY</t>
  </si>
  <si>
    <t>TRAVERSE AREA DISTRICT LIBRARY</t>
  </si>
  <si>
    <t>TRAVERSE CITY</t>
  </si>
  <si>
    <t>TRAVERSE CITY DOWNTOWN DEVELOPMENT AUTHORITY</t>
  </si>
  <si>
    <t>TRAVERSE CITY HOUSING COMMISSION</t>
  </si>
  <si>
    <t>TRAVERSE CITY LIGHT &amp; POWER</t>
  </si>
  <si>
    <t>WHITEWATER</t>
  </si>
  <si>
    <t>ALMA</t>
  </si>
  <si>
    <t>ALMA CITY HOUSING COMMISSION</t>
  </si>
  <si>
    <t>ARCADA</t>
  </si>
  <si>
    <t>ASHLEY</t>
  </si>
  <si>
    <t>EMERSON</t>
  </si>
  <si>
    <t>FULTON</t>
  </si>
  <si>
    <t>GRATIOT</t>
  </si>
  <si>
    <t>GRATIOT CO COMMUNITY MENTAL HEALTH SERVICES</t>
  </si>
  <si>
    <t>GRATIOT CO ROAD COMMISSION</t>
  </si>
  <si>
    <t>HAMILTON</t>
  </si>
  <si>
    <t>ITHACA</t>
  </si>
  <si>
    <t>LAFAYETTE</t>
  </si>
  <si>
    <t>Mid-Michigan Area Cable Communications Consortium</t>
  </si>
  <si>
    <t>MID-MICHIGAN COMMUNITY FIRE BOARD</t>
  </si>
  <si>
    <t>NEW HAVEN</t>
  </si>
  <si>
    <t>NEWARK</t>
  </si>
  <si>
    <t>NORTH SHADE</t>
  </si>
  <si>
    <t>NORTH STAR</t>
  </si>
  <si>
    <t>PERRINTON</t>
  </si>
  <si>
    <t>SEVILLE</t>
  </si>
  <si>
    <t>ST LOUIS</t>
  </si>
  <si>
    <t>ST LOUIS CITY HOUSING COMMISSION</t>
  </si>
  <si>
    <t>SUMNER</t>
  </si>
  <si>
    <t>Transit Service Fund of the City of Alma</t>
  </si>
  <si>
    <t>WASHINGTON</t>
  </si>
  <si>
    <t>WHEELER</t>
  </si>
  <si>
    <t>ALLEN</t>
  </si>
  <si>
    <t>AMBOY</t>
  </si>
  <si>
    <t>CAMBRIA</t>
  </si>
  <si>
    <t>CAMDEN</t>
  </si>
  <si>
    <t>HILLSDALE</t>
  </si>
  <si>
    <t>HILLSDALE CITY BOARD OF PUBLIC UTILITIES</t>
  </si>
  <si>
    <t>HILLSDALE CITY HOUSING COMMISSION</t>
  </si>
  <si>
    <t>HILLSDALE CO ROAD COMMISSION</t>
  </si>
  <si>
    <t>HILLSDALE COUNTY MEDICAL CARE FACILITY</t>
  </si>
  <si>
    <t>HILLSDALE COUNTY PARK COMMISSION</t>
  </si>
  <si>
    <t>JEFFERSON</t>
  </si>
  <si>
    <t>Jonesville</t>
  </si>
  <si>
    <t>LITCHFIELD</t>
  </si>
  <si>
    <t>LITCHFIELD CITY TIFA</t>
  </si>
  <si>
    <t>LITCHFIELD DISTRICT LIBRARY</t>
  </si>
  <si>
    <t>LITCHFIELD FIRE DEPARTMENT</t>
  </si>
  <si>
    <t>MICHIGAN SOUTH CENTRAL POWER AGENCY</t>
  </si>
  <si>
    <t>MONTGOMERY</t>
  </si>
  <si>
    <t>MOSCOW</t>
  </si>
  <si>
    <t>NORTH ADAMS</t>
  </si>
  <si>
    <t>PITTSFORD</t>
  </si>
  <si>
    <t>RANSOM</t>
  </si>
  <si>
    <t>READING</t>
  </si>
  <si>
    <t>READING COMMUNITY LIBRARY</t>
  </si>
  <si>
    <t>SOMERSET</t>
  </si>
  <si>
    <t>TOWNSHIPS OF PITTSFORD &amp; JEFFERSON FIRE DEPARTMENT</t>
  </si>
  <si>
    <t>WALDRON</t>
  </si>
  <si>
    <t>WALDRON DISTRICT LIBRARY</t>
  </si>
  <si>
    <t>WHEATLAND</t>
  </si>
  <si>
    <t>WRIGHT</t>
  </si>
  <si>
    <t>CALUMET</t>
  </si>
  <si>
    <t>CALUMET CHARTER</t>
  </si>
  <si>
    <t>CALUMET VILLAGE HOUSING COMMISSION</t>
  </si>
  <si>
    <t>CHASSELL</t>
  </si>
  <si>
    <t>ELM RIVER</t>
  </si>
  <si>
    <t>FRANKLIN-QUINCY TWP WATER AUTH</t>
  </si>
  <si>
    <t>HANCOCK</t>
  </si>
  <si>
    <t>HANCOCK CITY HOUSING COMMISSION</t>
  </si>
  <si>
    <t>HOUGHTON</t>
  </si>
  <si>
    <t>HOUGHTON CITY HOUSING COMMISSION</t>
  </si>
  <si>
    <t>HOUGHTON CITY LOCAL DEVELOPMENT FINANCE AUTHORITY</t>
  </si>
  <si>
    <t>HOUGHTON COUNTY MEDICAL CARE FACILITY</t>
  </si>
  <si>
    <t>HOUGHTON COUNTY ROAD COMMISSION</t>
  </si>
  <si>
    <t>LAKE LINDEN</t>
  </si>
  <si>
    <t>LAURIUM</t>
  </si>
  <si>
    <t>LAURIUM VILLAGE HOUSING COMMISSION</t>
  </si>
  <si>
    <t>NORTH HOUGHTON COUNTY WATER &amp; SEWAGE AUTHORITY</t>
  </si>
  <si>
    <t>OSCEOLA</t>
  </si>
  <si>
    <t>PORTAGE CHARTER</t>
  </si>
  <si>
    <t>PORTAGE LAKE DISTRICT LIBRARY</t>
  </si>
  <si>
    <t>PORTAGE LAKE WATER AND SEWAGE AUTHORITY</t>
  </si>
  <si>
    <t>SCHOOLCRAFT</t>
  </si>
  <si>
    <t>SOUTH RANGE</t>
  </si>
  <si>
    <t>STANTON</t>
  </si>
  <si>
    <t>TORCH LAKE AREA SEWAGE AUTHORITY</t>
  </si>
  <si>
    <t>WESTERN UP DISTRICT HEALTH DEPARTMENT</t>
  </si>
  <si>
    <t>Western UP Planning &amp; Development Region Commission</t>
  </si>
  <si>
    <t>BAD AXE</t>
  </si>
  <si>
    <t>BAD AXE AREA DISTRICT LIBRARY</t>
  </si>
  <si>
    <t>BAD AXE AREA FIRE PROTECTION ASSOCIATION</t>
  </si>
  <si>
    <t>CASEVILLE</t>
  </si>
  <si>
    <t>CASEVILLE AREA FIRE PROTECTION ASSOCIATION</t>
  </si>
  <si>
    <t>Caseville Harbor Commission</t>
  </si>
  <si>
    <t>CASEVILLE VILLAGE HOUSING COMMISSION</t>
  </si>
  <si>
    <t>CENTRAL HURON AMBULANCE SERVICE ASSOC</t>
  </si>
  <si>
    <t>COLFAX</t>
  </si>
  <si>
    <t>EASTERN HURON AMBULANCE SERVICE ASSOCIATION</t>
  </si>
  <si>
    <t>ELKTON</t>
  </si>
  <si>
    <t>FAIRHAVEN TOWNSHIP</t>
  </si>
  <si>
    <t>GORE</t>
  </si>
  <si>
    <t>HARBOR BEACH</t>
  </si>
  <si>
    <t>HARBOR BEACH AREA DISTRICT LIBRARY</t>
  </si>
  <si>
    <t>HARBOR BEACH COMMUNITY FIRE PROTECTION ASSOC</t>
  </si>
  <si>
    <t>HURON</t>
  </si>
  <si>
    <t>HURON BEHAVIORAL HEALTH</t>
  </si>
  <si>
    <t>Huron Conservation District</t>
  </si>
  <si>
    <t>HURON COUNTY AIRPORT</t>
  </si>
  <si>
    <t>HURON COUNTY DRAIN FUNDS</t>
  </si>
  <si>
    <t>HURON COUNTY PARKS</t>
  </si>
  <si>
    <t>HURON COUNTY ROAD COMMISSION</t>
  </si>
  <si>
    <t>HURON COUNTY TRANSIT FUNDS</t>
  </si>
  <si>
    <t>HURON REGIONAL WATER AUTHORITY</t>
  </si>
  <si>
    <t>KINDE</t>
  </si>
  <si>
    <t>KINDE AREA FIRE BOARD</t>
  </si>
  <si>
    <t>PARIS</t>
  </si>
  <si>
    <t>PIGEON</t>
  </si>
  <si>
    <t>PIGEON DISTRICT LIBRARY</t>
  </si>
  <si>
    <t>PORT AUSTIN</t>
  </si>
  <si>
    <t>PORT AUSTIN AREA SEWER AND WATER AUTHORITY</t>
  </si>
  <si>
    <t>PORT HOPE</t>
  </si>
  <si>
    <t>PORT HOPE-GORE-RUBICON UTILITY AUTHORITY</t>
  </si>
  <si>
    <t>RUBICON</t>
  </si>
  <si>
    <t>SAND BEACH</t>
  </si>
  <si>
    <t>SEBEWAING</t>
  </si>
  <si>
    <t>SEBEWAING HARBOR COMMISSION</t>
  </si>
  <si>
    <t>SEBEWAING LIGHT AND WATER DEPARTMENT</t>
  </si>
  <si>
    <t>SIGEL</t>
  </si>
  <si>
    <t>UBLY</t>
  </si>
  <si>
    <t>VERONA</t>
  </si>
  <si>
    <t>WINSOR</t>
  </si>
  <si>
    <t>AURELIUS</t>
  </si>
  <si>
    <t>BUNKER HILL</t>
  </si>
  <si>
    <t>CAPITAL AREA DISTRICT LIBRARY</t>
  </si>
  <si>
    <t>CAPITAL AREA MICHIGAN WORKS!</t>
  </si>
  <si>
    <t>CAPITAL AREA TRANSPORTATION AUTHORITY-CATA</t>
  </si>
  <si>
    <t>CAPITAL REGION AIRPORT AUTHORITY</t>
  </si>
  <si>
    <t>CITY OF LANSING BUILDING AUTHORITY</t>
  </si>
  <si>
    <t>DELHI CHARTER</t>
  </si>
  <si>
    <t>EAST LANSING</t>
  </si>
  <si>
    <t>EAST LANSING-MERIDIAN WATER &amp; SEWER AUTHORITY</t>
  </si>
  <si>
    <t>INGHAM</t>
  </si>
  <si>
    <t>INGHAM COUNTY HOUSING COMMISSION</t>
  </si>
  <si>
    <t>INGHAM COUNTY LAND BANK FAST TRACK AUTHORITY</t>
  </si>
  <si>
    <t>INGHAM COUNTY MEDICAL CARE FACILITY</t>
  </si>
  <si>
    <t>LANSING</t>
  </si>
  <si>
    <t>LANSING BROWNFIELD REDEVLOPMENT AUTHORITY</t>
  </si>
  <si>
    <t>LANSING BWL EMP DEFINED CONTRIBUTION PENSION PLAN</t>
  </si>
  <si>
    <t>LANSING BWL EMPLOYEES PENSION DEFINED BENEFIT PLAN</t>
  </si>
  <si>
    <t>LANSING BWL ENTERPRISE FUND</t>
  </si>
  <si>
    <t>LANSING BWL RETIREE BENEFIT PLAN AND TRUST</t>
  </si>
  <si>
    <t>LANSING CHARTER</t>
  </si>
  <si>
    <t>LANSING CITY BOARD OF WATER &amp; LIGHT</t>
  </si>
  <si>
    <t>LANSING CITY ENTERTAINMENT &amp; PUBLIC FACILITIES AUT</t>
  </si>
  <si>
    <t>LANSING CITY/INGHAM CO JOINT BUILDING AUTHORITY</t>
  </si>
  <si>
    <t>LANSING COMMUNITY COLLEGE</t>
  </si>
  <si>
    <t>LANSING HOUSING COMMISSION</t>
  </si>
  <si>
    <t>LANSING REGIONAL SMART ZONE</t>
  </si>
  <si>
    <t>LANSING TAX INCREMENT FINANCE AUTHORITY</t>
  </si>
  <si>
    <t>LESLIE</t>
  </si>
  <si>
    <t>LOCKE</t>
  </si>
  <si>
    <t>MERIDIAN CHARTER</t>
  </si>
  <si>
    <t>MICHIGAN CO ROAD COMMISSION SELF-INSURANCE POOL</t>
  </si>
  <si>
    <t>MICHIGAN PUBLIC POWER AGENCY</t>
  </si>
  <si>
    <t>Mid-Michigan Water Authority</t>
  </si>
  <si>
    <t>Mid-State Health Network</t>
  </si>
  <si>
    <t>NORTHEAST INGHAM EMERGENCY SERVICE AUTHORITY</t>
  </si>
  <si>
    <t>ONONDAGA</t>
  </si>
  <si>
    <t>STOCKBRIDGE</t>
  </si>
  <si>
    <t>STOCKBRIDGE AREA EMERGENCY SERVICES AUTHORITY</t>
  </si>
  <si>
    <t>TRI-COUNTY AGING CONSORTIUM (INGHAM/CLINTON/EATON)</t>
  </si>
  <si>
    <t>TRI-COUNTY REGIONAL PLANNING COMMISSION</t>
  </si>
  <si>
    <t>VEVAY</t>
  </si>
  <si>
    <t>WHEATFIELD</t>
  </si>
  <si>
    <t>WHITE OAK</t>
  </si>
  <si>
    <t>WILLIAMSTON</t>
  </si>
  <si>
    <t>WILLIAMSTOWN</t>
  </si>
  <si>
    <t>BELDING</t>
  </si>
  <si>
    <t>BELDING CITY HOUSING COMMISSION</t>
  </si>
  <si>
    <t>BERLIN</t>
  </si>
  <si>
    <t>BERLIN-ORANGE FIRE DEPARTMENT</t>
  </si>
  <si>
    <t>BOSTON</t>
  </si>
  <si>
    <t>CAMPBELL</t>
  </si>
  <si>
    <t>CLARKSVILLE</t>
  </si>
  <si>
    <t>CLARKSVILLE-MORRISON LAKE SEWER AUTHORITY</t>
  </si>
  <si>
    <t>DANBY</t>
  </si>
  <si>
    <t>EASTON</t>
  </si>
  <si>
    <t>IONIA</t>
  </si>
  <si>
    <t>IONIA CITY HOUSING COMMISSION</t>
  </si>
  <si>
    <t>IONIA COMMUNITY LIBRARY</t>
  </si>
  <si>
    <t>IONIA COUNTY COMMUNITY MENTAL HEALTH</t>
  </si>
  <si>
    <t>IONIA COUNTY ROAD COMMISSION</t>
  </si>
  <si>
    <t>Ionia Regional Utilities Authority</t>
  </si>
  <si>
    <t>KEENE</t>
  </si>
  <si>
    <t>LAKE ODESSA</t>
  </si>
  <si>
    <t>LAKE ODESSA COMMUNITY LIBRARY</t>
  </si>
  <si>
    <t>LAKE ODESSA FIRE DEPARTMENT</t>
  </si>
  <si>
    <t>LAKEWOOD WASTEWATER AUTHORITY</t>
  </si>
  <si>
    <t>LYONS</t>
  </si>
  <si>
    <t>LYONS TOWNSHIP DISTRICT LIBRARY</t>
  </si>
  <si>
    <t>MUIR</t>
  </si>
  <si>
    <t>ODESSA</t>
  </si>
  <si>
    <t>ORANGE</t>
  </si>
  <si>
    <t>ORLEANS</t>
  </si>
  <si>
    <t>OTISCO</t>
  </si>
  <si>
    <t>PEWAMO</t>
  </si>
  <si>
    <t>PORTLAND</t>
  </si>
  <si>
    <t>Portland Area Fire Authority</t>
  </si>
  <si>
    <t>PORTLAND AREA MUNICIPAL AUTHORITY</t>
  </si>
  <si>
    <t>PORTLAND DISTRICT LIBRARY</t>
  </si>
  <si>
    <t>RONALD</t>
  </si>
  <si>
    <t>SARANAC</t>
  </si>
  <si>
    <t>SARANAC PUBLIC LIBRARY</t>
  </si>
  <si>
    <t>SARANAC VILLAGE HOUSING COMMISSION</t>
  </si>
  <si>
    <t>SEBEWA</t>
  </si>
  <si>
    <t>ALABASTER</t>
  </si>
  <si>
    <t>AuSable Charter Township</t>
  </si>
  <si>
    <t>AUSABLE VALLEY COMMUNITY MENTAL HEALTH SERVICES</t>
  </si>
  <si>
    <t>BURLEIGH</t>
  </si>
  <si>
    <t>EAST TAWAS</t>
  </si>
  <si>
    <t>EAST TAWAS CITY PARK</t>
  </si>
  <si>
    <t>EAST TAWAS HOUSING COMMISSION</t>
  </si>
  <si>
    <t>HURON SHORE REGIONAL UTILITY AUTHORITY</t>
  </si>
  <si>
    <t>IOSCO</t>
  </si>
  <si>
    <t>IOSCO COUNTY MEDICAL CARE FACILITY</t>
  </si>
  <si>
    <t>IOSCO COUNTY ROAD COMMISSION</t>
  </si>
  <si>
    <t>IOSCO TRANSIT CORPORATION</t>
  </si>
  <si>
    <t>IOSCO-ARENAC DISTRICT LIBRARY</t>
  </si>
  <si>
    <t>OSCODA CHARTER</t>
  </si>
  <si>
    <t>OSCODA-AUSABLE TWP SENIOR CENTER BUILDING AUTH</t>
  </si>
  <si>
    <t>OSCODA-WURTSMITH AIRPORT AUTHORITY</t>
  </si>
  <si>
    <t>PLAINFIELD</t>
  </si>
  <si>
    <t>RENO</t>
  </si>
  <si>
    <t>TAWAS</t>
  </si>
  <si>
    <t>TAWAS CITY</t>
  </si>
  <si>
    <t>TAWAS POLICE AUTHORITY</t>
  </si>
  <si>
    <t>TAWAS UTILITY AUTHORITY</t>
  </si>
  <si>
    <t>WHITTEMORE</t>
  </si>
  <si>
    <t>WILBER</t>
  </si>
  <si>
    <t>ALPHA</t>
  </si>
  <si>
    <t>BATES</t>
  </si>
  <si>
    <t>CASPIAN</t>
  </si>
  <si>
    <t>CASPIAN-GAASTRA FIRE AUTHORITY</t>
  </si>
  <si>
    <t>CRYSTAL FALLS</t>
  </si>
  <si>
    <t>CRYSTAL FALLS DISTRICT COMMUNITY LIBRARY</t>
  </si>
  <si>
    <t>GAASTRA</t>
  </si>
  <si>
    <t>HEMATITE</t>
  </si>
  <si>
    <t>IRON</t>
  </si>
  <si>
    <t>IRON COUNTY HOUSING COMMISSION</t>
  </si>
  <si>
    <t>IRON COUNTY MEDICAL CARE FACILITY</t>
  </si>
  <si>
    <t>IRON COUNTY ROAD COMMISSION</t>
  </si>
  <si>
    <t>IRON RIVER</t>
  </si>
  <si>
    <t>IRON RIVER CITY HOUSING COMMISSION</t>
  </si>
  <si>
    <t>Joint Public Building Restoration Admin Board</t>
  </si>
  <si>
    <t>MANSFIELD</t>
  </si>
  <si>
    <t>MASTODON</t>
  </si>
  <si>
    <t>STAMBAUGH CEMETERY ASSOCIATION</t>
  </si>
  <si>
    <t>WEST IRON COUNTY FIRE BOARD</t>
  </si>
  <si>
    <t>WEST IRON COUNTY SEWER AUTHORITY</t>
  </si>
  <si>
    <t>WEST IRON DISTRICT LIBRARY</t>
  </si>
  <si>
    <t>Windsor Recreation Authority</t>
  </si>
  <si>
    <t>BROOMFIELD</t>
  </si>
  <si>
    <t>CENTRAL MICHIGAN DISTRICT HEALTH DEPARTMENT</t>
  </si>
  <si>
    <t>CHIPPEWA RIVER DISTRICT LIBRARY</t>
  </si>
  <si>
    <t>COE</t>
  </si>
  <si>
    <t>COMMUNITY MENTAL HEALTH FOR CENTRAL MICHIGAN</t>
  </si>
  <si>
    <t>DEERFIELD</t>
  </si>
  <si>
    <t>DENVER</t>
  </si>
  <si>
    <t>GILMORE</t>
  </si>
  <si>
    <t>ISABELLA</t>
  </si>
  <si>
    <t>ISABELLA COUNTY MEDICAL CARE FACILITY</t>
  </si>
  <si>
    <t>ISABELLA COUNTY ROAD COMMISSION</t>
  </si>
  <si>
    <t>ISABELLA COUNTY TRANSPORTATION COMMISSION</t>
  </si>
  <si>
    <t>ISABELLA NORTHEAST FIRE DISTRICT</t>
  </si>
  <si>
    <t>JOINT CONSTRUCTION CODE AUTHORITY</t>
  </si>
  <si>
    <t>LAKE ISABELLA</t>
  </si>
  <si>
    <t>MT PLEASANT</t>
  </si>
  <si>
    <t>MT PLEASANT CITY HOUSING COMMISSION</t>
  </si>
  <si>
    <t>NOTTAWA</t>
  </si>
  <si>
    <t>NOTTAWA-SHERMAN TOWNSHIP FIRE DEPARTMENT</t>
  </si>
  <si>
    <t>ROLLAND</t>
  </si>
  <si>
    <t>ROSEBUSH</t>
  </si>
  <si>
    <t>SHEPHERD</t>
  </si>
  <si>
    <t>SHEPHERD TRI-TOWNSHIP FIRE DEPARTMENT</t>
  </si>
  <si>
    <t>UNION CHARTER</t>
  </si>
  <si>
    <t>VERNON</t>
  </si>
  <si>
    <t>WISE</t>
  </si>
  <si>
    <t>BLACKMAN CHARTER</t>
  </si>
  <si>
    <t>BROOKLYN</t>
  </si>
  <si>
    <t>COLUMBIA</t>
  </si>
  <si>
    <t>CONCORD</t>
  </si>
  <si>
    <t>GRASS LAKE</t>
  </si>
  <si>
    <t>GRASS LAKE CHARTER</t>
  </si>
  <si>
    <t>HANOVER</t>
  </si>
  <si>
    <t>HENRIETTA</t>
  </si>
  <si>
    <t>JACKSON</t>
  </si>
  <si>
    <t>JACKSON CITY DOWNTOWN DEVELOPMENT AUTHORITY</t>
  </si>
  <si>
    <t>JACKSON CITY HOUSING COMMISSION</t>
  </si>
  <si>
    <t>JACKSON CITY TRANSPORTATION AUTHORITY</t>
  </si>
  <si>
    <t>JACKSON CO CONSERVATION DISTRICT</t>
  </si>
  <si>
    <t>JACKSON COUNTY COMMUNITY COLLEGE</t>
  </si>
  <si>
    <t>JACKSON COUNTY EDC</t>
  </si>
  <si>
    <t>Jackson County Employees Retirement System</t>
  </si>
  <si>
    <t>JACKSON COUNTY MEDICAL CARE FACILITY</t>
  </si>
  <si>
    <t>JACKSON DISTRICT LIBRARY</t>
  </si>
  <si>
    <t>JACKSON NARCOTICS ENFORCEMENT TEAM (JNET)</t>
  </si>
  <si>
    <t>LEONI</t>
  </si>
  <si>
    <t>LEONI REGIONAL UTILITY AUTHORITY</t>
  </si>
  <si>
    <t>LIBERTY</t>
  </si>
  <si>
    <t>LIFEWAYS-JACKSON &amp; HILLSDALE COUNTIES</t>
  </si>
  <si>
    <t>Local Development Finance Authority of the Village of Parma</t>
  </si>
  <si>
    <t>NAPOLEON</t>
  </si>
  <si>
    <t>NORVELL</t>
  </si>
  <si>
    <t>PARMA</t>
  </si>
  <si>
    <t>PULASKI</t>
  </si>
  <si>
    <t>REGION 2 PLANNING COMMISSION</t>
  </si>
  <si>
    <t>RIVES</t>
  </si>
  <si>
    <t>ROUND/FARWELL LAKES SEWER COMMON FUND</t>
  </si>
  <si>
    <t>SANDSTONE CHARTER TOWNSHIP</t>
  </si>
  <si>
    <t>SPRING ARBOR</t>
  </si>
  <si>
    <t>SPRINGPORT</t>
  </si>
  <si>
    <t>SPRINGPORT/CLARENCE REGIONAL FIRE BOARD</t>
  </si>
  <si>
    <t>SUMMIT</t>
  </si>
  <si>
    <t>TOMPKINS</t>
  </si>
  <si>
    <t>WATERLOO</t>
  </si>
  <si>
    <t>ALAMO</t>
  </si>
  <si>
    <t>AUGUSTA</t>
  </si>
  <si>
    <t>AUGUSTA-ROSS DISTRICT LIBRARY</t>
  </si>
  <si>
    <t>BRADY</t>
  </si>
  <si>
    <t>Central County Transportation Authority</t>
  </si>
  <si>
    <t>CHARLESTON</t>
  </si>
  <si>
    <t>City of Kalamazoo OPEB Trust Funds</t>
  </si>
  <si>
    <t>CLIMAX</t>
  </si>
  <si>
    <t>COMSTOCK CHARTER</t>
  </si>
  <si>
    <t>COOPER CHARTER</t>
  </si>
  <si>
    <t>GALESBURG</t>
  </si>
  <si>
    <t>Galesbury Charleston Memorial District Library</t>
  </si>
  <si>
    <t>GULL LAKE SEWER AND WATER AUTHORITY</t>
  </si>
  <si>
    <t>KALAMAZOO</t>
  </si>
  <si>
    <t>KALAMAZOO AREA BUILDING AUTHORITY</t>
  </si>
  <si>
    <t>KALAMAZOO AREA TRANSPORTATION STUDY</t>
  </si>
  <si>
    <t>KALAMAZOO CHARTER</t>
  </si>
  <si>
    <t>KALAMAZOO CITY CEMETERY PERPETUAL CARE FUND</t>
  </si>
  <si>
    <t>KALAMAZOO CITY DOWNTOWN DEVELOPMENT AUTHORITY</t>
  </si>
  <si>
    <t>KALAMAZOO CITY EDC</t>
  </si>
  <si>
    <t>KALAMAZOO CITY EMPLOYEES RETIREMENT SYSTEM</t>
  </si>
  <si>
    <t>KALAMAZOO CITY METRO TRANSIT SYSTEM</t>
  </si>
  <si>
    <t>Kalamazoo Community Mental Health &amp; Substance Abuse Services</t>
  </si>
  <si>
    <t>Kalamazoo County Consolidated Dispatch Authority</t>
  </si>
  <si>
    <t>Kalamazoo County Employees Retirement System</t>
  </si>
  <si>
    <t>Kalamazoo County Land Bank Authority</t>
  </si>
  <si>
    <t>KALAMAZOO COUNTY ROAD COMMISSION</t>
  </si>
  <si>
    <t>Kalamazoo County Transportation Authority</t>
  </si>
  <si>
    <t>KALAMAZOO PUBLIC LIBRARY</t>
  </si>
  <si>
    <t>KALAMAZOO REGIONAL WATER &amp; WASTEWATER COMMISSION</t>
  </si>
  <si>
    <t>KALAMAZOO VALLEY COMMUNITY COLLEGE</t>
  </si>
  <si>
    <t>OSHTEMO CHARTER</t>
  </si>
  <si>
    <t>PARCHMENT</t>
  </si>
  <si>
    <t>PARCHMENT COMMUNITY LIBRARY</t>
  </si>
  <si>
    <t>PAVILION</t>
  </si>
  <si>
    <t>PORTAGE</t>
  </si>
  <si>
    <t>PORTAGE DISTRICT LIBRARY</t>
  </si>
  <si>
    <t>RICHLAND</t>
  </si>
  <si>
    <t>RICHLAND COMMUNITY LIBRARY</t>
  </si>
  <si>
    <t>ROSS</t>
  </si>
  <si>
    <t>SOUTH COUNTY SEWER &amp; WATER AUTH</t>
  </si>
  <si>
    <t>SOUTH KALAMAZOO COUNTY FIRE AUTHORITY</t>
  </si>
  <si>
    <t>SOUTHWEST ENFORCEMENT TEAM-SWET</t>
  </si>
  <si>
    <t>SOUTHWEST MICHIGAN BEHAVIORAL HEALTH</t>
  </si>
  <si>
    <t>TEXAS CHARTER</t>
  </si>
  <si>
    <t>VICKSBURG</t>
  </si>
  <si>
    <t>VICKSBURG DISTRICT LIBRARY</t>
  </si>
  <si>
    <t>WAKESHMA</t>
  </si>
  <si>
    <t>BEAR LAKE</t>
  </si>
  <si>
    <t>BLUE LAKE</t>
  </si>
  <si>
    <t>BOARDMAN</t>
  </si>
  <si>
    <t>CLEARWATER</t>
  </si>
  <si>
    <t>COLDSPRINGS</t>
  </si>
  <si>
    <t>COLDSPRINGS-EXCELSIOR VOLUNTEER FIRE &amp; RESCUE DEPT</t>
  </si>
  <si>
    <t>EXCELSIOR</t>
  </si>
  <si>
    <t>KALKASKA</t>
  </si>
  <si>
    <t>KALKASKA CO ROAD COMMISSION</t>
  </si>
  <si>
    <t>KALKASKA COUNTY HOSPITAL AUTHORITY</t>
  </si>
  <si>
    <t>KALKASKA PUBLIC TRANSIT AUTHORITY</t>
  </si>
  <si>
    <t>MANISTEE LAKE IMPROVEMENT BOARD</t>
  </si>
  <si>
    <t>OLIVER</t>
  </si>
  <si>
    <t>ADA</t>
  </si>
  <si>
    <t>ALGOMA</t>
  </si>
  <si>
    <t>ALPINE</t>
  </si>
  <si>
    <t>AREA COMMUNITY SERVICE EMPLOYMENT/TRAINING COUNCIL</t>
  </si>
  <si>
    <t>BOWNE</t>
  </si>
  <si>
    <t>BYRON</t>
  </si>
  <si>
    <t>BYRON-GAINES UTILITY AUTHORITY</t>
  </si>
  <si>
    <t>CALEDONIA CHARTER</t>
  </si>
  <si>
    <t>CANNON</t>
  </si>
  <si>
    <t>CASCADE CHARTER</t>
  </si>
  <si>
    <t>CEDAR SPRINGS</t>
  </si>
  <si>
    <t>CEDAR SPRINGS AREA PARKS &amp; RECREATION BOARD</t>
  </si>
  <si>
    <t>CITY GRAND RAPIDS GENERAL RETIREMENT SYSTEM</t>
  </si>
  <si>
    <t>CITY OF GRAND RAPIDS POLICE AND FIRE RETIREMENT SYSTEM</t>
  </si>
  <si>
    <t>CITY OF GRAND RAPIDS/KENT CO JT BUILDING AUTHORITY</t>
  </si>
  <si>
    <t>COURTLAND</t>
  </si>
  <si>
    <t>EAST GRAND RAPIDS</t>
  </si>
  <si>
    <t>Gaines Charter Township</t>
  </si>
  <si>
    <t>Gerald R. Ford International Airport Authority</t>
  </si>
  <si>
    <t>GRAND RAPIDS</t>
  </si>
  <si>
    <t>GRAND RAPIDS CHARTER</t>
  </si>
  <si>
    <t>GRAND RAPIDS CITY BROWNFIELD REDEVELOPMENT AUTH</t>
  </si>
  <si>
    <t>GRAND RAPIDS CITY BUILDING AUTHORITY</t>
  </si>
  <si>
    <t>GRAND RAPIDS CITY HOUSING COMMISSION</t>
  </si>
  <si>
    <t>GRAND RAPIDS COMMUNITY COLLEGE</t>
  </si>
  <si>
    <t>GRAND RAPIDS DOWNTOWN DEVELOPMENT AUTHORITY</t>
  </si>
  <si>
    <t>GRAND RAPIDS SMARTZONE LDFA</t>
  </si>
  <si>
    <t>GRAND RAPIDS TAX INCREMENT FINANCING AUTHORITY</t>
  </si>
  <si>
    <t>GRAND RAPIDS-KENT CO CONVENTION-ARENA AUTHORITY</t>
  </si>
  <si>
    <t>GRAND VALLEY METROPOLITAN COUNCIL</t>
  </si>
  <si>
    <t>GRAND VALLEY REGIONAL BIOSOLIDS AUTHORITY</t>
  </si>
  <si>
    <t>GRANDVILLE</t>
  </si>
  <si>
    <t>GRATTAN</t>
  </si>
  <si>
    <t>INTERURBAN TRANSIT PARTNERSHIP</t>
  </si>
  <si>
    <t>KENT</t>
  </si>
  <si>
    <t>KENT CITY</t>
  </si>
  <si>
    <t>Kent Co Voluntary Employee's Beneficiary Assn</t>
  </si>
  <si>
    <t>KENT COUNTY CMH AUTHORITY</t>
  </si>
  <si>
    <t>KENT COUNTY DISPATCH AUTHORITY</t>
  </si>
  <si>
    <t>KENT COUNTY EMPLOYEES RETIREMENT PLAN</t>
  </si>
  <si>
    <t>Kent County Land Bank Authority</t>
  </si>
  <si>
    <t>KENT COUNTY ROAD COMMISSION</t>
  </si>
  <si>
    <t>KENT DISTRICT LIBRARY</t>
  </si>
  <si>
    <t>Kent Hospital Finance Authority</t>
  </si>
  <si>
    <t>KENTWOOD</t>
  </si>
  <si>
    <t>LAKELAND LIBRARY COOPERATIVE</t>
  </si>
  <si>
    <t>LOWELL</t>
  </si>
  <si>
    <t>LOWELL AREA FIRE &amp; EMERGENCY SERVICES AUTHORITY</t>
  </si>
  <si>
    <t>Lowell Area Recreation Authority</t>
  </si>
  <si>
    <t>LOWELL CHARTER</t>
  </si>
  <si>
    <t>Lowell Light &amp; Power and Lowell Cable Television</t>
  </si>
  <si>
    <t>METROPOLITAN ENFORCEMENT TEAM-MET</t>
  </si>
  <si>
    <t>NELSON</t>
  </si>
  <si>
    <t>NORTH KENT SEWER AUTHORITY</t>
  </si>
  <si>
    <t>OAKFIELD</t>
  </si>
  <si>
    <t>PLAINFIELD CHARTER</t>
  </si>
  <si>
    <t>ROCKFORD</t>
  </si>
  <si>
    <t>ROCKFORD CITY HOUSING COMMISSION</t>
  </si>
  <si>
    <t>SAND LAKE</t>
  </si>
  <si>
    <t>SOLON</t>
  </si>
  <si>
    <t>SPARTA</t>
  </si>
  <si>
    <t>SPARTA FIRE DEPARTMENT</t>
  </si>
  <si>
    <t>SPENCER</t>
  </si>
  <si>
    <t>TYRONE</t>
  </si>
  <si>
    <t>VERGENNES</t>
  </si>
  <si>
    <t>WEST MICHIGAN REGIONAL PLANNING COMMISSION</t>
  </si>
  <si>
    <t>WYOMING</t>
  </si>
  <si>
    <t>AHMEEK</t>
  </si>
  <si>
    <t>EAGLE HARBOR</t>
  </si>
  <si>
    <t>KEWEENAW</t>
  </si>
  <si>
    <t>KEWEENAW CO ROAD COMMISSION</t>
  </si>
  <si>
    <t>BALDWIN HOUSING COMMISSION</t>
  </si>
  <si>
    <t>BALDWIN PROMISE AUTHORITY</t>
  </si>
  <si>
    <t>CHASE</t>
  </si>
  <si>
    <t>DOVER</t>
  </si>
  <si>
    <t>EDEN</t>
  </si>
  <si>
    <t>ELK</t>
  </si>
  <si>
    <t>LAKE CO ROAD COMMISSION</t>
  </si>
  <si>
    <t>LUTHER AREA PUBLIC LIBRARY</t>
  </si>
  <si>
    <t>PEACOCK</t>
  </si>
  <si>
    <t>PINORA</t>
  </si>
  <si>
    <t>PLEASANT PLAINS</t>
  </si>
  <si>
    <t>SWEETWATER</t>
  </si>
  <si>
    <t>WEBBER</t>
  </si>
  <si>
    <t>YATES</t>
  </si>
  <si>
    <t>YATES TOWNSHIP DIAL-A-RIDE</t>
  </si>
  <si>
    <t>ALMONT</t>
  </si>
  <si>
    <t>Almont District Library</t>
  </si>
  <si>
    <t>ARCADIA</t>
  </si>
  <si>
    <t>ATTICA</t>
  </si>
  <si>
    <t>COLUMBIAVILLE</t>
  </si>
  <si>
    <t>CONSTRUCTION CODE AUTHORITY</t>
  </si>
  <si>
    <t>DRYDEN</t>
  </si>
  <si>
    <t>ELBA</t>
  </si>
  <si>
    <t>GOODLAND</t>
  </si>
  <si>
    <t>GOODLAND TOWNSHIP BUILDING AUTHORITY</t>
  </si>
  <si>
    <t>GREATER LAPEER CO UTILITIES AUTHORITY</t>
  </si>
  <si>
    <t>GREATER LAPEER TRANSPORTATION AUTHORITY</t>
  </si>
  <si>
    <t>HADLEY</t>
  </si>
  <si>
    <t>IMLAY</t>
  </si>
  <si>
    <t>IMLAY CITY</t>
  </si>
  <si>
    <t>LAPEER</t>
  </si>
  <si>
    <t>LAPEER CITY BROWNFIELD REDEVELOPMENT AUTHORITY</t>
  </si>
  <si>
    <t>LAPEER CITY DOWNTOWN DEVELOPMENT AUTHORITY</t>
  </si>
  <si>
    <t>LAPEER CITY EDC</t>
  </si>
  <si>
    <t>LAPEER CITY HOUSING COMMISSION</t>
  </si>
  <si>
    <t>LAPEER CITY LOCAL DEVELOPMENT FINANCE AUTHORITY</t>
  </si>
  <si>
    <t>LAPEER CO ROAD COMMISSION</t>
  </si>
  <si>
    <t>Lapeer County Community Mental Health</t>
  </si>
  <si>
    <t>LAPEER COUNTY EMERGENCY MEDICAL SERVICE AUTHORITY</t>
  </si>
  <si>
    <t>Lapeer County Landbank Authority</t>
  </si>
  <si>
    <t>LAPEER DISTRICT LIBRARY</t>
  </si>
  <si>
    <t>MARATHON</t>
  </si>
  <si>
    <t>MARATHON AREA FIRE AUTHORITY</t>
  </si>
  <si>
    <t>METAMORA</t>
  </si>
  <si>
    <t>NORTH BRANCH</t>
  </si>
  <si>
    <t>OREGON</t>
  </si>
  <si>
    <t>RICH</t>
  </si>
  <si>
    <t>RUTH HUGHES MEMORIAL DISTRICT LIBRARY</t>
  </si>
  <si>
    <t>Tax Increment Finance Authorities #1, #2, #3, Trust &amp; Revolving Loan Fund of the City of Lapeer</t>
  </si>
  <si>
    <t>BINGHAMS-SUTTONS BAY JOINT BUILDING AUTHORITY</t>
  </si>
  <si>
    <t>CENTERVILLE</t>
  </si>
  <si>
    <t>CLEVELAND</t>
  </si>
  <si>
    <t>ELMWOOD CHARTER</t>
  </si>
  <si>
    <t>EMPIRE</t>
  </si>
  <si>
    <t>GLEN ARBOR</t>
  </si>
  <si>
    <t>GLEN LAKE COMMUNITY LIB</t>
  </si>
  <si>
    <t>KASSON</t>
  </si>
  <si>
    <t>LEELANAU</t>
  </si>
  <si>
    <t>LEELANAU CO ROAD COMMISSION</t>
  </si>
  <si>
    <t>LELAND</t>
  </si>
  <si>
    <t>NORTHPORT</t>
  </si>
  <si>
    <t>SOLON-CENTERVILLE FIRE DEPARTMENT</t>
  </si>
  <si>
    <t>SUTTONS BAY</t>
  </si>
  <si>
    <t>SUTTONS BAY-BINGHAM DISTRICT LIBRARY</t>
  </si>
  <si>
    <t>SUTTONS BAY-BINGHAM FIRE &amp; RESCUE AUTHORITY</t>
  </si>
  <si>
    <t>ADDISON FIRE DEPT AND EMERGENCY MEDICAL SERVICE</t>
  </si>
  <si>
    <t>ADRIAN</t>
  </si>
  <si>
    <t>ADRIAN CHARTER</t>
  </si>
  <si>
    <t>ADRIAN CITY DIAL-A-RIDE</t>
  </si>
  <si>
    <t>BLISSFIELD</t>
  </si>
  <si>
    <t>BRITTON</t>
  </si>
  <si>
    <t>CAMBRIDGE</t>
  </si>
  <si>
    <t>CEMENT CITY</t>
  </si>
  <si>
    <t>FAIRFIELD</t>
  </si>
  <si>
    <t>HUDSON PUBLIC LIBRARY</t>
  </si>
  <si>
    <t>LENAWEE</t>
  </si>
  <si>
    <t>LENAWEE CO MEDICAL CARE FACILITY</t>
  </si>
  <si>
    <t>LENAWEE COMMUNITY MENTAL HEALTH AUTHORITY</t>
  </si>
  <si>
    <t>LENAWEE COUNTY BUILDING AUTHORITY</t>
  </si>
  <si>
    <t>LENAWEE COUNTY DRAIN COMMISSION</t>
  </si>
  <si>
    <t>LENAWEE COUNTY LIBRARY</t>
  </si>
  <si>
    <t>LENAWEE TRANSPORTATION CORPORATION</t>
  </si>
  <si>
    <t>MACON</t>
  </si>
  <si>
    <t>MADISON CHARTER</t>
  </si>
  <si>
    <t>MEDINA</t>
  </si>
  <si>
    <t>MORENCI</t>
  </si>
  <si>
    <t>OGDEN</t>
  </si>
  <si>
    <t>ONSTED</t>
  </si>
  <si>
    <t>PALMYRA</t>
  </si>
  <si>
    <t>RAISIN CHARTER</t>
  </si>
  <si>
    <t>RIGA</t>
  </si>
  <si>
    <t>ROLLIN</t>
  </si>
  <si>
    <t>ROME</t>
  </si>
  <si>
    <t>SENECA</t>
  </si>
  <si>
    <t>Stair District Library</t>
  </si>
  <si>
    <t>TECUMSEH</t>
  </si>
  <si>
    <t>TECUMSEH DISTRICT LIBRARY</t>
  </si>
  <si>
    <t>WOODSTOCK</t>
  </si>
  <si>
    <t>BRIGHTON</t>
  </si>
  <si>
    <t>BRIGHTON AREA FIRE AUTHORITY</t>
  </si>
  <si>
    <t>BRIGHTON CHARTER</t>
  </si>
  <si>
    <t>BRIGHTON DISTRICT LIBRARY</t>
  </si>
  <si>
    <t>COHOCTAH</t>
  </si>
  <si>
    <t>Community Mental Health Services of Livingston County</t>
  </si>
  <si>
    <t>CONWAY</t>
  </si>
  <si>
    <t>CROMAINE DISTRICT LIBRARY</t>
  </si>
  <si>
    <t>FONDA ISLAND &amp; BRIGGS LAKE JOINT WATER AUTHORITY</t>
  </si>
  <si>
    <t>FOWLERVILLE</t>
  </si>
  <si>
    <t>FOWLERVILLE AREA FIRE AUTHORITY</t>
  </si>
  <si>
    <t>FOWLERVILLE DISTRICT LIBRARY</t>
  </si>
  <si>
    <t>GENOA CHARTER</t>
  </si>
  <si>
    <t>GENOA-OCEOLA SEWER &amp; WATER AUTHORITY</t>
  </si>
  <si>
    <t>GREEN OAK</t>
  </si>
  <si>
    <t>HAMBURG</t>
  </si>
  <si>
    <t>HAMBURG TOWNSHIP LIBRARY</t>
  </si>
  <si>
    <t>HANDY</t>
  </si>
  <si>
    <t>HARTLAND</t>
  </si>
  <si>
    <t>HARTLAND DEERFIELD FIRE AUTHORITY</t>
  </si>
  <si>
    <t>HOWELL</t>
  </si>
  <si>
    <t>HOWELL AREA FIRE AUTHORITY</t>
  </si>
  <si>
    <t>HOWELL AREA PARKS AND RECREATION AUTHORITY</t>
  </si>
  <si>
    <t>HOWELL CARNEGIE DISTRICT LIBRARY</t>
  </si>
  <si>
    <t>HURON-CLINTON METROPOLITAN AUTHORITY</t>
  </si>
  <si>
    <t>LIVINGSTON</t>
  </si>
  <si>
    <t>LIVINGSTON CO ROAD COMMISSION</t>
  </si>
  <si>
    <t>LIVINGSTON COMMUNITY WATER AUTHORITY</t>
  </si>
  <si>
    <t>MARION</t>
  </si>
  <si>
    <t>MARION-HOWELL-OCEOLA &amp; GENOA SEWER &amp; WATER AUTH</t>
  </si>
  <si>
    <t>OCEOLA</t>
  </si>
  <si>
    <t>PINCKNEY</t>
  </si>
  <si>
    <t>PINCKNEY COMMUNITY PUBLIC LIBRARY</t>
  </si>
  <si>
    <t>PUTNAM</t>
  </si>
  <si>
    <t>SOUTHEASTERN LIVINGSTON CO RECREATION AUTHORITY</t>
  </si>
  <si>
    <t>UNADILLA</t>
  </si>
  <si>
    <t>COLUMBUS</t>
  </si>
  <si>
    <t>LAKEFIELD</t>
  </si>
  <si>
    <t>LUCE</t>
  </si>
  <si>
    <t>LUCE COUNTY AMBULANCE SERVICE</t>
  </si>
  <si>
    <t>LUCE COUNTY HOUSING COMMISSION</t>
  </si>
  <si>
    <t>LUCE COUNTY ROAD COMMISSION</t>
  </si>
  <si>
    <t>LUCE/MACKINAC/ALGER/SCHOOLCRAFT DIST HEALTH DEPT</t>
  </si>
  <si>
    <t>MCMILLAN</t>
  </si>
  <si>
    <t>NEWBERRY</t>
  </si>
  <si>
    <t>PENTLAND</t>
  </si>
  <si>
    <t>Tahquamenon Area Recreation Authority</t>
  </si>
  <si>
    <t>THE EDC OF LUCE COUNTY</t>
  </si>
  <si>
    <t>BOIS BLANC</t>
  </si>
  <si>
    <t>BREVORT</t>
  </si>
  <si>
    <t>CLARK</t>
  </si>
  <si>
    <t>HENDRICKS</t>
  </si>
  <si>
    <t>MACKINAC</t>
  </si>
  <si>
    <t>MACKINAC COUNTY HOUSING COMMISSION</t>
  </si>
  <si>
    <t>MACKINAC COUNTY ROAD COMMISSION</t>
  </si>
  <si>
    <t>MACKINAC ISLAND</t>
  </si>
  <si>
    <t>MARQUETTE</t>
  </si>
  <si>
    <t>MORAN</t>
  </si>
  <si>
    <t>ST IGNACE</t>
  </si>
  <si>
    <t>39TH DISTRICT-ROSEVILLE</t>
  </si>
  <si>
    <t>41B DISTRICT-CLINTON CH TWP AND MT CLEMENS</t>
  </si>
  <si>
    <t>ARMADA</t>
  </si>
  <si>
    <t>ARMADA FREE PUBLIC LIBRARY</t>
  </si>
  <si>
    <t>BRUCE</t>
  </si>
  <si>
    <t>CENTER LINE</t>
  </si>
  <si>
    <t>CHESTERFIELD CHARTER</t>
  </si>
  <si>
    <t>CHESTERFIELD TWP LIBRARY</t>
  </si>
  <si>
    <t>CLINTON CHARTER</t>
  </si>
  <si>
    <t>CLINTON CHARTER TWP FIRE &amp; POLICE PENSION SYSTEM</t>
  </si>
  <si>
    <t>CLINTON MACOMB PUBLIC LIBRARY</t>
  </si>
  <si>
    <t>CLINTON TWP HOUSING COMMISSION</t>
  </si>
  <si>
    <t>COUNTY OF MACOMB ENFORCEMENT TEAM-COMET</t>
  </si>
  <si>
    <t>EASTPOINTE</t>
  </si>
  <si>
    <t>EASTPOINTE CITY HOUSING COMMISSION</t>
  </si>
  <si>
    <t>EASTPOINTE CITY--38TH DISTRICT COURT FUNDS</t>
  </si>
  <si>
    <t>HARRISON CH TWP EMPLOYEES RETIREMENT SYSTEM</t>
  </si>
  <si>
    <t>HARRISON CH TWP FIREMENS PENSION FUND</t>
  </si>
  <si>
    <t>HARRISON CHARTER</t>
  </si>
  <si>
    <t>LENOX</t>
  </si>
  <si>
    <t>LENOX TOWNSHIP LIBRARY</t>
  </si>
  <si>
    <t>MACOMB</t>
  </si>
  <si>
    <t>MACOMB COMMUNITY COLLEGE</t>
  </si>
  <si>
    <t>Macomb County Art Institute</t>
  </si>
  <si>
    <t>Macomb County Zoological Authority</t>
  </si>
  <si>
    <t>MARTHA T. BERRY MEDICAL CARE FACILITY</t>
  </si>
  <si>
    <t>MEMPHIS</t>
  </si>
  <si>
    <t>MOUNT CLEMENS</t>
  </si>
  <si>
    <t>MT CLEMENS CITY HOUSING COMMISSION</t>
  </si>
  <si>
    <t>MT CLEMENS PUBLIC LIBRARY</t>
  </si>
  <si>
    <t>NEW BALTIMORE</t>
  </si>
  <si>
    <t>RAY</t>
  </si>
  <si>
    <t>Ray Township Public Library</t>
  </si>
  <si>
    <t>Recreation Authority of Roseville and Eastpointe</t>
  </si>
  <si>
    <t>RICHMOND</t>
  </si>
  <si>
    <t>RICHMOND-LENOX EMS AMBULANCE AUTHORITY</t>
  </si>
  <si>
    <t>ROMEO</t>
  </si>
  <si>
    <t>ROMEO DISTRICT LIBRARY</t>
  </si>
  <si>
    <t>ROMEO WASHINGTON BRUCE PARKS/RECREATION COMMISSION</t>
  </si>
  <si>
    <t>ROSEVILLE</t>
  </si>
  <si>
    <t>ROSEVILLE CITY HOUSING COMMISSION</t>
  </si>
  <si>
    <t>SHELBY CHARTER</t>
  </si>
  <si>
    <t>South East Regional Emergency Services (SERESA)</t>
  </si>
  <si>
    <t>SOUTH MACOMB DISPOSAL AUTH</t>
  </si>
  <si>
    <t>South Macomb Oakland Regional Services Authority</t>
  </si>
  <si>
    <t>SOUTHEAST MACOMB SANITARY DISTRICT</t>
  </si>
  <si>
    <t>ST CLAIR SHORES</t>
  </si>
  <si>
    <t>ST CLAIR SHORES BROWNFIELD REDEVELOPMENT AUTHORITY</t>
  </si>
  <si>
    <t>ST CLAIR SHORES CITY HOUSING COMMISSION</t>
  </si>
  <si>
    <t>ST CLAIR SHORES CITY TIFA</t>
  </si>
  <si>
    <t>ST CLAIR SHORES-40TH DISTRICT COURT</t>
  </si>
  <si>
    <t>STERLING HEIGHTS</t>
  </si>
  <si>
    <t>STERLING HEIGHTS CITY HOUSING COMMISSION</t>
  </si>
  <si>
    <t>SUBURBAN LIBRARY COOPERATIVE</t>
  </si>
  <si>
    <t>UTICA</t>
  </si>
  <si>
    <t>WARREN</t>
  </si>
  <si>
    <t>WARREN CITY POLICE &amp; FIRE RET HEALTH BENEFITS PLAN</t>
  </si>
  <si>
    <t>WARREN CITY POLICE AND FIRE RETIREMENT SYSTEM</t>
  </si>
  <si>
    <t>WASHINGTON/BRUCE TWP SENIOR TRANSP THRU ADV RESERV</t>
  </si>
  <si>
    <t>BEAR LAKE IMPROVEMENT BOARD</t>
  </si>
  <si>
    <t>CENTRA WELLNESS NETWORK</t>
  </si>
  <si>
    <t>COPEMISH</t>
  </si>
  <si>
    <t>EASTLAKE</t>
  </si>
  <si>
    <t>FILER CHARTER</t>
  </si>
  <si>
    <t>MANISTEE</t>
  </si>
  <si>
    <t>MANISTEE BLACKER AIRPORT AUTHORITY</t>
  </si>
  <si>
    <t>MANISTEE CITY DOWNTOWN DEVELOPMENT AUTH</t>
  </si>
  <si>
    <t>MANISTEE CO ROAD COMMISSION</t>
  </si>
  <si>
    <t>MANISTEE COUNTY 911 CENTRAL DISPATCH</t>
  </si>
  <si>
    <t>MANISTEE COUNTY LIBRARY</t>
  </si>
  <si>
    <t>MANISTEE COUNTY MEDICAL CARE FACILITY</t>
  </si>
  <si>
    <t>MANISTEE COUNTY TRANSPORTATION, INC</t>
  </si>
  <si>
    <t>MARILLA</t>
  </si>
  <si>
    <t>ONEKAMA</t>
  </si>
  <si>
    <t>SPRINGDALE</t>
  </si>
  <si>
    <t>WEST SHORE MEDICAL CENTER</t>
  </si>
  <si>
    <t>CHOCOLAY CHARTER</t>
  </si>
  <si>
    <t>ELY</t>
  </si>
  <si>
    <t>FORSYTH</t>
  </si>
  <si>
    <t>Iron Ore Heritage Recreation Authority</t>
  </si>
  <si>
    <t>ISHPEMING</t>
  </si>
  <si>
    <t>ISHPEMING AREA JOINT WASTEWATER TREATMENT FACILITY</t>
  </si>
  <si>
    <t>ISHPEMING CITY HOUSING COMMISSION</t>
  </si>
  <si>
    <t>MARQUETTE AREA WASTEWATER TREATMENT FACILITY</t>
  </si>
  <si>
    <t>MARQUETTE CHARTER</t>
  </si>
  <si>
    <t>MARQUETTE CITY BOARD OF LIGHT AND POWER</t>
  </si>
  <si>
    <t>MARQUETTE CITY FIRE - POLICE RETIREMENT SYSTEM</t>
  </si>
  <si>
    <t>MARQUETTE CITY HOUSING COMMISSION</t>
  </si>
  <si>
    <t>MARQUETTE CO ROAD COMMISSION</t>
  </si>
  <si>
    <t>MARQUETTE CO SOLID WASTE MANAGEMENT AUTHORITY</t>
  </si>
  <si>
    <t>MARQUETTE COUNTY MEDICAL CARE FACILITY</t>
  </si>
  <si>
    <t>MARQUETTE COUNTY TRANSIT AUTHORITY</t>
  </si>
  <si>
    <t>NEGAUNEE</t>
  </si>
  <si>
    <t>NEGAUNEE CITY HOUSING COMMISSION</t>
  </si>
  <si>
    <t>NEGAUNEE-ISHPEMING WATER AUTHORITY</t>
  </si>
  <si>
    <t>NORTH MICHIGAN LIBRARY NETWORK</t>
  </si>
  <si>
    <t>NorthCare Network</t>
  </si>
  <si>
    <t>PATHWAYS</t>
  </si>
  <si>
    <t>PETER WHITE PUBLIC LIBRARY</t>
  </si>
  <si>
    <t>POWELL</t>
  </si>
  <si>
    <t>REPUBLIC</t>
  </si>
  <si>
    <t>SANDS</t>
  </si>
  <si>
    <t>Skandia-West Branch Township Water Authority</t>
  </si>
  <si>
    <t>SKANDIA/WEST BRANCH JOINT OPERATIONS BOARD</t>
  </si>
  <si>
    <t>SUPERIORLAND LIBRARY COOPERATIVE</t>
  </si>
  <si>
    <t>TILDEN</t>
  </si>
  <si>
    <t>TURIN</t>
  </si>
  <si>
    <t>UPPER PENINSULA REGION OF LIBRARY COOPERATION</t>
  </si>
  <si>
    <t>UPPER PENINSULA SUBSTANCE ENFORCEMENT TEAM-UPSET</t>
  </si>
  <si>
    <t>West Marquette County Sanitation Authority</t>
  </si>
  <si>
    <t>FREE SOIL</t>
  </si>
  <si>
    <t>LUDINGTON</t>
  </si>
  <si>
    <t>LUDINGTON MASS TRANSPORTATION AUTHORITY</t>
  </si>
  <si>
    <t>MASON COUNTY ROAD COMMISSION</t>
  </si>
  <si>
    <t>MASON COUNTY RURAL FIRE AUTHORITY</t>
  </si>
  <si>
    <t>Mason-Oceana 911</t>
  </si>
  <si>
    <t>MEADE</t>
  </si>
  <si>
    <t>PERE MARQUETTE CHARTER</t>
  </si>
  <si>
    <t>RIVERTON</t>
  </si>
  <si>
    <t>SCOTTVILLE</t>
  </si>
  <si>
    <t>WEST MICHIGAN COMMUNITY MENTAL HEALTH SYSTEM</t>
  </si>
  <si>
    <t>WESTERN MASON COUNTY FIRE DISTRICT AUTHORITY</t>
  </si>
  <si>
    <t>AUSTIN</t>
  </si>
  <si>
    <t>BARRYTON</t>
  </si>
  <si>
    <t>BIG RAPIDS</t>
  </si>
  <si>
    <t>BIG RAPIDS CHARTER</t>
  </si>
  <si>
    <t>BIG RAPIDS CITY HOUSING COMMISSION</t>
  </si>
  <si>
    <t>CHIPPEWA MARTINY FIRE DEPARTMENT</t>
  </si>
  <si>
    <t>FORK</t>
  </si>
  <si>
    <t>GREEN CHARTER</t>
  </si>
  <si>
    <t>MECEOLA CONSOLIDATED CENTRAL DISPATCH AUTHORITY</t>
  </si>
  <si>
    <t>MECOSTA</t>
  </si>
  <si>
    <t>MECOSTA COUNTY ROAD COMMISSION</t>
  </si>
  <si>
    <t>MECOSTA OSCEOLA TRANSIT AUTHORITY</t>
  </si>
  <si>
    <t>MILLBROOK</t>
  </si>
  <si>
    <t>MILLBROOK-ROLLAND TWPS FIRE DEPARTMENT</t>
  </si>
  <si>
    <t>MORLEY AREA FIRE DEPARTMENT</t>
  </si>
  <si>
    <t>MORTON</t>
  </si>
  <si>
    <t>STANWOOD</t>
  </si>
  <si>
    <t>WEST CENTRAL MI EMPLOYMENT &amp; TRAINING CONSORTIUM</t>
  </si>
  <si>
    <t>DAGGETT</t>
  </si>
  <si>
    <t>GOURLEY</t>
  </si>
  <si>
    <t>HARRIS</t>
  </si>
  <si>
    <t>HERMANSVILLE HOUSING COMMISSION</t>
  </si>
  <si>
    <t>HOLMES</t>
  </si>
  <si>
    <t>INGALLSTON</t>
  </si>
  <si>
    <t>MENOMINEE</t>
  </si>
  <si>
    <t>MENOMINEE &amp; INGALLSTON TWPS FIRE DEPARTMENT</t>
  </si>
  <si>
    <t>MENOMINEE &amp; INGALLSTON TWPS TRANSFER STATION</t>
  </si>
  <si>
    <t>MENOMINEE CITY HOUSING COMMISSION</t>
  </si>
  <si>
    <t>MENOMINEE COUNTY ROAD COMMISSION</t>
  </si>
  <si>
    <t>MEYER</t>
  </si>
  <si>
    <t>NADEAU</t>
  </si>
  <si>
    <t>PINECREST MEDICAL CARE FACILITY</t>
  </si>
  <si>
    <t>POWERS</t>
  </si>
  <si>
    <t>POWERS-SPALDING WATER AUTHORITY</t>
  </si>
  <si>
    <t>SPALDING</t>
  </si>
  <si>
    <t>STEPHENSON</t>
  </si>
  <si>
    <t>COLEMAN</t>
  </si>
  <si>
    <t>COLEMAN AREA FIRE PROTECTION BOARD</t>
  </si>
  <si>
    <t>COLEMAN AREA LIBRARY</t>
  </si>
  <si>
    <t>EDENVILLE</t>
  </si>
  <si>
    <t>GENEVA</t>
  </si>
  <si>
    <t>GREENDALE</t>
  </si>
  <si>
    <t>HOMER</t>
  </si>
  <si>
    <t>INGERSOLL</t>
  </si>
  <si>
    <t>JASPER</t>
  </si>
  <si>
    <t>JEROME</t>
  </si>
  <si>
    <t>LARKIN CHARTER</t>
  </si>
  <si>
    <t>MIDLAND</t>
  </si>
  <si>
    <t>MIDLAND AREA TRANSPORTATION STUDY</t>
  </si>
  <si>
    <t>MIDLAND CITY &amp; COUNTY JOINT BUILDING AUTHORITY</t>
  </si>
  <si>
    <t>MIDLAND CO CENTRAL DISPATCH AUTHORITY</t>
  </si>
  <si>
    <t>MIDLAND CO EDC</t>
  </si>
  <si>
    <t>MIDLAND CO ROAD COMMISSION</t>
  </si>
  <si>
    <t>MILLS</t>
  </si>
  <si>
    <t>MT HALEY</t>
  </si>
  <si>
    <t>SANFORD</t>
  </si>
  <si>
    <t>TOWNSHIP CODE AUTHORITY OF MIDLAND COUNTY</t>
  </si>
  <si>
    <t>WATER DISTRICT NO. 1 OF MIDLAND COUNTY</t>
  </si>
  <si>
    <t>BLOOMFIELD</t>
  </si>
  <si>
    <t>BUTTERFIELD</t>
  </si>
  <si>
    <t>CLAM UNION</t>
  </si>
  <si>
    <t>DISTRICT HEALTH DEPT NO 10-WHITE CLOUD</t>
  </si>
  <si>
    <t>ENTERPRISE</t>
  </si>
  <si>
    <t>HOLLAND</t>
  </si>
  <si>
    <t>LAKE CITY</t>
  </si>
  <si>
    <t>LAKE MISSAUKEE AREA FIRE AUTHORITY</t>
  </si>
  <si>
    <t>MCBAIN</t>
  </si>
  <si>
    <t>MERRITT AREA FIRE DEPARTMENT</t>
  </si>
  <si>
    <t>MISSAUKEE</t>
  </si>
  <si>
    <t>MISSAUKEE CO ROAD COMMISSION</t>
  </si>
  <si>
    <t>MISSAUKEE DISTRICT LIBRARY</t>
  </si>
  <si>
    <t>NORWICH</t>
  </si>
  <si>
    <t>PIONEER</t>
  </si>
  <si>
    <t>REEDER</t>
  </si>
  <si>
    <t>RIVERSIDE</t>
  </si>
  <si>
    <t>WEST BRANCH</t>
  </si>
  <si>
    <t>ASH</t>
  </si>
  <si>
    <t>BEDFORD</t>
  </si>
  <si>
    <t>BEDFORD TOWNSHIP HOUSING COMMISSION</t>
  </si>
  <si>
    <t>BERLIN CHARTER</t>
  </si>
  <si>
    <t>CARLETON</t>
  </si>
  <si>
    <t>DUNDEE</t>
  </si>
  <si>
    <t>DUNDEE VILLAGE HOUSING COMMISSION</t>
  </si>
  <si>
    <t>ERIE</t>
  </si>
  <si>
    <t>Estral Beach Village</t>
  </si>
  <si>
    <t>EXETER</t>
  </si>
  <si>
    <t>FRENCHTOWN CH TWP RESORT DISTRICT AUTH</t>
  </si>
  <si>
    <t>FRENCHTOWN CHARTER</t>
  </si>
  <si>
    <t>IDA</t>
  </si>
  <si>
    <t>LAKE ERIE TRANSPORTATION COMMISSION</t>
  </si>
  <si>
    <t>LASALLE</t>
  </si>
  <si>
    <t>LONDON</t>
  </si>
  <si>
    <t>LONDON-MAYBEE-RAISINVILLE FIRE DEPARTMENT</t>
  </si>
  <si>
    <t>LUNA PIER CITY HOUSING COMMISSION</t>
  </si>
  <si>
    <t>MILAN</t>
  </si>
  <si>
    <t>MONROE</t>
  </si>
  <si>
    <t>MONROE CHARTER</t>
  </si>
  <si>
    <t>MONROE CITY BROWNFIELD REDEVELOPMENT AUTHORITY</t>
  </si>
  <si>
    <t>MONROE CITY DOWNTOWN DEVELOPMENT AUTHORITY</t>
  </si>
  <si>
    <t>MONROE CO EMPLOYEES RETIREMENT SYSTEM</t>
  </si>
  <si>
    <t>Monroe Co.Land Bank Fast Track Authority</t>
  </si>
  <si>
    <t>MONROE COMMUNITY MENTAL HEALTH AUTHORITY</t>
  </si>
  <si>
    <t>MONROE COUNTY AGENCY</t>
  </si>
  <si>
    <t>MONROE COUNTY BUILDING AUTHORITY</t>
  </si>
  <si>
    <t>MONROE COUNTY COMMUNITY COLLEGE</t>
  </si>
  <si>
    <t>MONROE COUNTY LIBRARY SYSTEM</t>
  </si>
  <si>
    <t>MONROE COUNTY ROAD COMMISSION</t>
  </si>
  <si>
    <t>MONROE HOUSING COMMISSION</t>
  </si>
  <si>
    <t>MONROE METROPOLITAN WATER POLLUTION CONTROL SYSTEM</t>
  </si>
  <si>
    <t>MONROE RAW WATER INTAKE PARTNERSHIP</t>
  </si>
  <si>
    <t>PETERSBURG</t>
  </si>
  <si>
    <t>PORT OF MONROE</t>
  </si>
  <si>
    <t>RAISINVILLE</t>
  </si>
  <si>
    <t>SOUTH ROCKWOOD</t>
  </si>
  <si>
    <t>WHITEFORD</t>
  </si>
  <si>
    <t>BELVIDERE</t>
  </si>
  <si>
    <t>BLOOMER</t>
  </si>
  <si>
    <t>CARSON CITY</t>
  </si>
  <si>
    <t>CATO</t>
  </si>
  <si>
    <t>CENTRAL AREA MICHIGAN WORKS! CONSORTIUM</t>
  </si>
  <si>
    <t>COMMUNITY FIRE ASSOCIATION</t>
  </si>
  <si>
    <t>CRYSTAL</t>
  </si>
  <si>
    <t>EDMORE</t>
  </si>
  <si>
    <t>EUREKA CHARTER</t>
  </si>
  <si>
    <t>EVERGREEN</t>
  </si>
  <si>
    <t>FAIRPLAIN</t>
  </si>
  <si>
    <t>FERRIS</t>
  </si>
  <si>
    <t>FLAT RIVER COMMUNITY LIBRARY</t>
  </si>
  <si>
    <t>GREENVILLE</t>
  </si>
  <si>
    <t>GREENVILLE CITY HOUSING COMMISSION</t>
  </si>
  <si>
    <t>HOME</t>
  </si>
  <si>
    <t>HOME TOWNSHIP LIBRARY</t>
  </si>
  <si>
    <t>HOWARD CITY</t>
  </si>
  <si>
    <t>LAKEVIEW</t>
  </si>
  <si>
    <t>LAKEVIEW DISTRICT FIRE DEPARTMENT</t>
  </si>
  <si>
    <t>MID-MICHIGAN DISTRICT HEALTH DEPARTMENT</t>
  </si>
  <si>
    <t>MONTCALM</t>
  </si>
  <si>
    <t>MONTCALM CARE NETWORK</t>
  </si>
  <si>
    <t>MONTCALM CO HOUSING COMMISSION</t>
  </si>
  <si>
    <t>MONTCALM COMMUNITY COLLEGE</t>
  </si>
  <si>
    <t>MONTCALM COUNTY ROAD COMMISSION</t>
  </si>
  <si>
    <t>PIERSON</t>
  </si>
  <si>
    <t>PINE</t>
  </si>
  <si>
    <t>REYNOLDS</t>
  </si>
  <si>
    <t>SIDNEY</t>
  </si>
  <si>
    <t>TAMARACK DISTRICT LIBRARY</t>
  </si>
  <si>
    <t>WHITE PINE DISTRICT LIBRARY</t>
  </si>
  <si>
    <t>WINFIELD</t>
  </si>
  <si>
    <t>ALBERT</t>
  </si>
  <si>
    <t>BRILEY</t>
  </si>
  <si>
    <t>HILLMAN</t>
  </si>
  <si>
    <t>HILLMAN FIRE BOARD</t>
  </si>
  <si>
    <t>LOUD</t>
  </si>
  <si>
    <t>MONTMORENCY</t>
  </si>
  <si>
    <t>MONTMORENCY COUNTY ROAD COMMISSION</t>
  </si>
  <si>
    <t>MONTMORENCY PUBLIC LIBRARY</t>
  </si>
  <si>
    <t>MONTMORENCY-OSCODA-ALPENA SOLID WASTE MGMT AUTH</t>
  </si>
  <si>
    <t>TRI-TWP AMBULANCE SERV/LOUD/AVERY/BRILEY TWPS</t>
  </si>
  <si>
    <t>VIENNA</t>
  </si>
  <si>
    <t>CASNOVIA</t>
  </si>
  <si>
    <t>CEDAR CREEK</t>
  </si>
  <si>
    <t>DALTON</t>
  </si>
  <si>
    <t>EGELSTON</t>
  </si>
  <si>
    <t>FRUITLAND</t>
  </si>
  <si>
    <t>FRUITPORT</t>
  </si>
  <si>
    <t>FRUITPORT CHARTER</t>
  </si>
  <si>
    <t>HACKLEY PUBLIC LIBRARY</t>
  </si>
  <si>
    <t>HEALTHWEST</t>
  </si>
  <si>
    <t>HOLTON</t>
  </si>
  <si>
    <t>LAKESHORE REGIONAL PARTNERS</t>
  </si>
  <si>
    <t>LAKETON</t>
  </si>
  <si>
    <t>LAKEWOOD CLUB</t>
  </si>
  <si>
    <t>MONTAGUE</t>
  </si>
  <si>
    <t>MONTAGUE FIRE DISTRICT</t>
  </si>
  <si>
    <t>MOORLAND</t>
  </si>
  <si>
    <t>MUSKEGON</t>
  </si>
  <si>
    <t>MUSKEGON AREA DISTRICT LIBRARY</t>
  </si>
  <si>
    <t>MUSKEGON CENTRAL DISPATCH 9-1-1</t>
  </si>
  <si>
    <t>MUSKEGON CHARTER</t>
  </si>
  <si>
    <t>MUSKEGON COMMUNITY COLLEGE</t>
  </si>
  <si>
    <t>MUSKEGON COUNTY ROAD COMMISSION</t>
  </si>
  <si>
    <t>MUSKEGON HEIGHTS</t>
  </si>
  <si>
    <t>MUSKEGON HEIGHTS CITY HOUSING COMMISSION</t>
  </si>
  <si>
    <t>NORTH MUSKEGON</t>
  </si>
  <si>
    <t>NORTON SHORES</t>
  </si>
  <si>
    <t>RAVENNA</t>
  </si>
  <si>
    <t>ROOSEVELT PARK</t>
  </si>
  <si>
    <t>SULLIVAN</t>
  </si>
  <si>
    <t>West Michigan Regional Water Authority</t>
  </si>
  <si>
    <t>West Michigan Shoreline Regional Development Commission</t>
  </si>
  <si>
    <t>WHITE LAKE AMBULANCE AUTHORITY</t>
  </si>
  <si>
    <t>WHITE LAKE AREA SOLID WASTE AUTHORITY</t>
  </si>
  <si>
    <t>WHITE LAKE COMMUNITY LIBRARY</t>
  </si>
  <si>
    <t>WHITE LAKE FIRE AUTHORITY</t>
  </si>
  <si>
    <t>WHITE RIVER</t>
  </si>
  <si>
    <t>WHITEHALL</t>
  </si>
  <si>
    <t>ASHLAND-GRANT FIRE DISTRICT</t>
  </si>
  <si>
    <t>BARTON</t>
  </si>
  <si>
    <t>BIG PRAIRIE-EVERETT CEMETERY</t>
  </si>
  <si>
    <t>BRIDGETON</t>
  </si>
  <si>
    <t>BROOKS</t>
  </si>
  <si>
    <t>CHAIN OF LAKES AREA UTILITIES AUTHORITY</t>
  </si>
  <si>
    <t>CROTON</t>
  </si>
  <si>
    <t>DAYTON</t>
  </si>
  <si>
    <t>EVERETT</t>
  </si>
  <si>
    <t>FREMONT</t>
  </si>
  <si>
    <t>FREMONT AREA DISTRICT LIBRARY</t>
  </si>
  <si>
    <t>Fremont Community Recreational Authority</t>
  </si>
  <si>
    <t>GRANT AREA DISTRICT LIBRARY</t>
  </si>
  <si>
    <t>HESPERIA COMMUNITY LIBRARY</t>
  </si>
  <si>
    <t>LILLEY</t>
  </si>
  <si>
    <t>NEWAYGO</t>
  </si>
  <si>
    <t>NEWAYGO AREA DISTRICT LIBRARY</t>
  </si>
  <si>
    <t>Newaygo Area Recreation Authority</t>
  </si>
  <si>
    <t>NEWAYGO CO ROAD COMMISSION</t>
  </si>
  <si>
    <t>NEWAYGO COUNTY MENTAL HEALTH BOARD</t>
  </si>
  <si>
    <t>NEWAYGO FIRE DISTRICT COMMAND BOARD</t>
  </si>
  <si>
    <t>NEWAYGO MEDICAL CARE FACILITY</t>
  </si>
  <si>
    <t>SHERIDAN CHARTER</t>
  </si>
  <si>
    <t>TROY</t>
  </si>
  <si>
    <t>WHITE CLOUD</t>
  </si>
  <si>
    <t>WHITE CLOUD AREA FIRE DEPARTMENT</t>
  </si>
  <si>
    <t>White Cloud Area Fire Joint Building Authority</t>
  </si>
  <si>
    <t>WHITE CLOUD COMMUNITY LIBRARY</t>
  </si>
  <si>
    <t>WHITE CLOUD/SHERMAN UTILITIES AUTHORITY</t>
  </si>
  <si>
    <t>43RD DISTRICT-HAZEL PARK</t>
  </si>
  <si>
    <t>47TH DISTRICT COURT-FARMINGTON</t>
  </si>
  <si>
    <t>51ST DISTRICT COURT-WATERFORD CHARTER TOWNSHIP</t>
  </si>
  <si>
    <t>ADDISON</t>
  </si>
  <si>
    <t>ADDISON TOWNSHIP PUBLIC LIBRARY</t>
  </si>
  <si>
    <t>AUBURN HILLS</t>
  </si>
  <si>
    <t>AUBURN HILLS LIBRARY</t>
  </si>
  <si>
    <t>BALDWIN PUBLIC LIBRARY</t>
  </si>
  <si>
    <t>BERKLEY</t>
  </si>
  <si>
    <t>BEVERLY HILLS</t>
  </si>
  <si>
    <t>BINGHAM FARMS</t>
  </si>
  <si>
    <t>BIRMINGHAM</t>
  </si>
  <si>
    <t>BIRMINGHAM AREA CABLE BOARD</t>
  </si>
  <si>
    <t>BLOOMFIELD CHARTER</t>
  </si>
  <si>
    <t>BLOOMFIELD HILLS</t>
  </si>
  <si>
    <t>BLOOMFIELD TWP PUBLIC LIBRARY</t>
  </si>
  <si>
    <t>BRANDON CHARTER</t>
  </si>
  <si>
    <t>BRANDON TWP PUBLIC LIBRARY</t>
  </si>
  <si>
    <t>CHARTER TOWNSHIP OF MILFORD LIBRARY</t>
  </si>
  <si>
    <t>CITY OF LATHRUP VILLAGE</t>
  </si>
  <si>
    <t>CITY OF SOUTHFIELD CORNERSTONE DDA</t>
  </si>
  <si>
    <t>City of the Village of Clarkston</t>
  </si>
  <si>
    <t>Clarkston Independence District Library</t>
  </si>
  <si>
    <t>CLAWSON</t>
  </si>
  <si>
    <t>COMMERCE CHARTER</t>
  </si>
  <si>
    <t>FARMINGTON</t>
  </si>
  <si>
    <t>FARMINGTON COMMUNITY LIBRARY</t>
  </si>
  <si>
    <t>FARMINGTON HILLS</t>
  </si>
  <si>
    <t>FERNDALE</t>
  </si>
  <si>
    <t>Ferndale Area District Library</t>
  </si>
  <si>
    <t>FRANKLIN PUBLIC LIBRARY</t>
  </si>
  <si>
    <t>GROVELAND</t>
  </si>
  <si>
    <t>HAZEL PARK</t>
  </si>
  <si>
    <t>HAZEL PARK MEMORIAL LIBRARY</t>
  </si>
  <si>
    <t>HIGHLAND CHARTER</t>
  </si>
  <si>
    <t>HIGHLAND TOWNSHIP PUBLIC LIBRARY</t>
  </si>
  <si>
    <t>HOLLY</t>
  </si>
  <si>
    <t>HUNTINGTON WOODS</t>
  </si>
  <si>
    <t>INDEPENDENCE CHARTER</t>
  </si>
  <si>
    <t>KEEGO HARBOR</t>
  </si>
  <si>
    <t>LAKE ANGELUS</t>
  </si>
  <si>
    <t>LAKE ORION</t>
  </si>
  <si>
    <t>LEONARD</t>
  </si>
  <si>
    <t>LYON CHARTER</t>
  </si>
  <si>
    <t>MADISON HEIGHTS</t>
  </si>
  <si>
    <t>MILFORD</t>
  </si>
  <si>
    <t>MILFORD CHARTER</t>
  </si>
  <si>
    <t>NORTH OAKLAND COUNTY FIRE AUTHORITY</t>
  </si>
  <si>
    <t>NORTH OAKLAND TRANSPORTATION AUTHORITY</t>
  </si>
  <si>
    <t>NOVI</t>
  </si>
  <si>
    <t>OAK PARK</t>
  </si>
  <si>
    <t>OAKLAND</t>
  </si>
  <si>
    <t>OAKLAND CHARTER</t>
  </si>
  <si>
    <t>OAKLAND CO COMMUNITY MENTAL HEALTH AUTHORITY</t>
  </si>
  <si>
    <t>OAKLAND CO ROAD COMM RETIREE HEALTH CARE TRUST</t>
  </si>
  <si>
    <t>Oakland County Art Institute Authority</t>
  </si>
  <si>
    <t>Oakland County Public Transportation Authority</t>
  </si>
  <si>
    <t>OAKLAND COUNTY ROAD COMMISION</t>
  </si>
  <si>
    <t>OAKLAND COUNTY ROAD COMMISSION RETIREMENT SYSTEM</t>
  </si>
  <si>
    <t>OAKLAND COUNTY ZOOLOGICAL AUTHORITY</t>
  </si>
  <si>
    <t>ORCHARD LAKE VILLAGE</t>
  </si>
  <si>
    <t>Orion Charter Township</t>
  </si>
  <si>
    <t>ORION TOWNSHIP PUBLIC LIBRARY</t>
  </si>
  <si>
    <t>ORTONVILLE</t>
  </si>
  <si>
    <t>OXFORD</t>
  </si>
  <si>
    <t>OXFORD CHARTER</t>
  </si>
  <si>
    <t>OXFORD PUBLIC LIBRARY</t>
  </si>
  <si>
    <t>PAINT CREEK TRAILWAYS COMMISSION</t>
  </si>
  <si>
    <t>PLEASANT RIDGE</t>
  </si>
  <si>
    <t>PONTIAC</t>
  </si>
  <si>
    <t>PONTIAC CITY GENERAL EMPLOYEES RETIRMENT SYSTEM</t>
  </si>
  <si>
    <t>PONTIAC CITY HOUSING COMMISSION</t>
  </si>
  <si>
    <t>Pontiac Public Library</t>
  </si>
  <si>
    <t>RESOURCE RECOVERY/RECYCLING AUTH OF SW OAKLAND CO</t>
  </si>
  <si>
    <t>ROCHESTER</t>
  </si>
  <si>
    <t>Rochester Avon Recreation Authority</t>
  </si>
  <si>
    <t>ROCHESTER HILLS</t>
  </si>
  <si>
    <t>ROCHESTER HILLS PUBLIC LIBRARY</t>
  </si>
  <si>
    <t>Rochester Hills-Oakland-Rochester Older Persons' Commission</t>
  </si>
  <si>
    <t>ROSE</t>
  </si>
  <si>
    <t>ROYAL OAK</t>
  </si>
  <si>
    <t>ROYAL OAK TWP HOUSING COMMISSION</t>
  </si>
  <si>
    <t>SALEM-SOUTH LYON DISTRICT LIBRARY</t>
  </si>
  <si>
    <t>SOUTH LYON</t>
  </si>
  <si>
    <t>SOUTH LYON AREA RECREATION COUNCIL</t>
  </si>
  <si>
    <t>SOUTHEASTERN OAKLAND COUNTY RESOURCE RECOVERY AUTH</t>
  </si>
  <si>
    <t>SOUTHEASTERN OAKLAND COUNTY WATER AUTHORITY</t>
  </si>
  <si>
    <t>SOUTHFIELD</t>
  </si>
  <si>
    <t>SOUTHWESTERN OAKLAND CABLE COMMISSION</t>
  </si>
  <si>
    <t>SPRINGFIELD CHARTER TOWNSHIP</t>
  </si>
  <si>
    <t>State of Michigan 48th Judicial District Court</t>
  </si>
  <si>
    <t>SYLVAN LAKE</t>
  </si>
  <si>
    <t>TRI-CITY FIRE DEPT/KEEGO HARB/ORCHARD LK/SYLVAN LK</t>
  </si>
  <si>
    <t>WALLED LAKE</t>
  </si>
  <si>
    <t>WATERFORD CHARTER</t>
  </si>
  <si>
    <t>WEST BLOOMFIELD CHARTER</t>
  </si>
  <si>
    <t>WEST BLOOMFIELD TOWNSHIP PUBLIC LIBRARY</t>
  </si>
  <si>
    <t>WEST BLOOMFIELD TWP PARKS &amp; RECREATION COMMISSION</t>
  </si>
  <si>
    <t>White Lake Charter Township</t>
  </si>
  <si>
    <t>WHITE LAKE TOWNSHIP PUBLIC LIBRARY</t>
  </si>
  <si>
    <t>WIXOM</t>
  </si>
  <si>
    <t>WIXOM PUBLIC LIBRARY</t>
  </si>
  <si>
    <t>WOLVERINE LAKE</t>
  </si>
  <si>
    <t>BENONA</t>
  </si>
  <si>
    <t>GOLDEN</t>
  </si>
  <si>
    <t>HART</t>
  </si>
  <si>
    <t>HART AREA FIRE ADMINISTRATIVE BOARD</t>
  </si>
  <si>
    <t>HART AREA PUBLIC LIBRARY</t>
  </si>
  <si>
    <t>HESPERIA</t>
  </si>
  <si>
    <t>HESPERIA AREA FIRE AUTHORITY</t>
  </si>
  <si>
    <t>NEWFIELD</t>
  </si>
  <si>
    <t>OCEANA</t>
  </si>
  <si>
    <t>OCEANA COUNTY MEDICAL CARE FACILITY</t>
  </si>
  <si>
    <t>OCEANA COUNTY ROAD COMMISSION</t>
  </si>
  <si>
    <t>OTTO</t>
  </si>
  <si>
    <t>PENTWATER</t>
  </si>
  <si>
    <t>SHELBY</t>
  </si>
  <si>
    <t>SHELBY AREA DISTRICT LIBRARY</t>
  </si>
  <si>
    <t>SHELBY-BENONA FIRE DEPARTMENT</t>
  </si>
  <si>
    <t>WALKERVILLE</t>
  </si>
  <si>
    <t>WALKERVILLE AREA FIRE AND RESCUE DEPT</t>
  </si>
  <si>
    <t>WEARE</t>
  </si>
  <si>
    <t>CUMMING</t>
  </si>
  <si>
    <t>DISTRICT HEALTH DEPARTMENT #2 OGEMAW COUNTY</t>
  </si>
  <si>
    <t>FOSTER</t>
  </si>
  <si>
    <t>GOODAR</t>
  </si>
  <si>
    <t>HILL</t>
  </si>
  <si>
    <t>LOGAN</t>
  </si>
  <si>
    <t>OGEMAW</t>
  </si>
  <si>
    <t>OGEMAW CITY EMERGENCY MEDICAL SERVICES AUTHORITY</t>
  </si>
  <si>
    <t>OGEMAW COUNTY ROAD COMMISSION</t>
  </si>
  <si>
    <t>OGEMAW DISTRICT LIBRARY</t>
  </si>
  <si>
    <t>OGEMAW FIRE DEPARTMENT</t>
  </si>
  <si>
    <t>PRESCOTT</t>
  </si>
  <si>
    <t>RICHLAND-LOGAN FIRE AUTHORITY</t>
  </si>
  <si>
    <t>ROSE CITY</t>
  </si>
  <si>
    <t>ROSE CITY AREA FIRE BOARD</t>
  </si>
  <si>
    <t>STING-STRIKE TEAM INVESTIGATIVE NARCOTICS GROUP</t>
  </si>
  <si>
    <t>WEST BRANCH AREA WASTEWATER TREATMENT PLANT AUTHOR</t>
  </si>
  <si>
    <t>West Branch Community Airport</t>
  </si>
  <si>
    <t>WEST BRANCH DISTRICT LIBRARY</t>
  </si>
  <si>
    <t>BERGLAND</t>
  </si>
  <si>
    <t>HAIGHT</t>
  </si>
  <si>
    <t>MATCHWOOD</t>
  </si>
  <si>
    <t>ONTONAGON</t>
  </si>
  <si>
    <t>ONTONAGON CO PUBLIC TRANSIT FUND</t>
  </si>
  <si>
    <t>ONTONAGON CO ROAD COMMISSION</t>
  </si>
  <si>
    <t>ONTONAGON VILLAGE HOUSING COMMISSION</t>
  </si>
  <si>
    <t>ROCKLAND</t>
  </si>
  <si>
    <t>STANNARD</t>
  </si>
  <si>
    <t>CEDAR</t>
  </si>
  <si>
    <t>EVART</t>
  </si>
  <si>
    <t>EVART AREA JOINT FIRE DISTRICT</t>
  </si>
  <si>
    <t>EVART CITY HOUSING COMMISSION</t>
  </si>
  <si>
    <t>EVART PUBLIC LIBRARY</t>
  </si>
  <si>
    <t>HERSEY</t>
  </si>
  <si>
    <t>LEROY COMMUNITY LIBRARY</t>
  </si>
  <si>
    <t>LEROY-ROSE LAKE FIRE DISTRICT</t>
  </si>
  <si>
    <t>ORIENT</t>
  </si>
  <si>
    <t>OSCEOLA CO ROAD COMMISSION</t>
  </si>
  <si>
    <t>REED CITY</t>
  </si>
  <si>
    <t>Reed City Area District Library</t>
  </si>
  <si>
    <t>REED CITY HOUSING COMMISSION</t>
  </si>
  <si>
    <t>ROSE LAKE</t>
  </si>
  <si>
    <t>SYLVAN</t>
  </si>
  <si>
    <t>TUSTIN</t>
  </si>
  <si>
    <t>TUSTIN AREA FIRE DISTRICT</t>
  </si>
  <si>
    <t>BIG CREEK</t>
  </si>
  <si>
    <t>BIG CREEK/MENTOR UTILITY AUTH</t>
  </si>
  <si>
    <t>COMINS</t>
  </si>
  <si>
    <t>ELMER</t>
  </si>
  <si>
    <t>OSCODA</t>
  </si>
  <si>
    <t>OSCODA COUNTY ROAD COMMISSION</t>
  </si>
  <si>
    <t>TRI-TOWN FIRE DEPT-BIG CREEK/ELMER/MENTOR TWPS</t>
  </si>
  <si>
    <t>BAGLEY</t>
  </si>
  <si>
    <t>BAGLEY TOWNSHIP DOWNTOWN DEVELOPMENT AUTHORITY</t>
  </si>
  <si>
    <t>CHARLTON</t>
  </si>
  <si>
    <t>CORWITH</t>
  </si>
  <si>
    <t>ELMIRA</t>
  </si>
  <si>
    <t>GAYLORD</t>
  </si>
  <si>
    <t>OTSEGO COUNTY BUS SYSTEM</t>
  </si>
  <si>
    <t>OTSEGO COUNTY FIRE BOARD</t>
  </si>
  <si>
    <t>OTSEGO COUNTY ROAD COMMISSION</t>
  </si>
  <si>
    <t>OTSEGO LAKE</t>
  </si>
  <si>
    <t>VANDERBILT</t>
  </si>
  <si>
    <t>VANDERBILT CORWITH FIRE AND RESCUE BOARD</t>
  </si>
  <si>
    <t>ALLENDALE CHARTER</t>
  </si>
  <si>
    <t>BLENDON</t>
  </si>
  <si>
    <t>COMMUNITY MENTAL HEALTH OF OTTAWA COUNTY</t>
  </si>
  <si>
    <t>COOPERSVILLE</t>
  </si>
  <si>
    <t>Coopersville Area District Library</t>
  </si>
  <si>
    <t>COOPERSVILLE POLKTON AREA FIRE PROTECTION AUTH</t>
  </si>
  <si>
    <t>CROCKERY</t>
  </si>
  <si>
    <t>FERRYSBURG</t>
  </si>
  <si>
    <t>GEORGETOWN CHARTER</t>
  </si>
  <si>
    <t>GRAND HAVEN</t>
  </si>
  <si>
    <t>Grand Haven Board of Light and Power</t>
  </si>
  <si>
    <t>GRAND HAVEN CHARTER</t>
  </si>
  <si>
    <t>GRAND HAVEN-SPRING LAKE SEWER AUTHORITY</t>
  </si>
  <si>
    <t>Harbor Transit Multi-Modal Transportation System</t>
  </si>
  <si>
    <t>HERRICK DISTRICT LIBRARY</t>
  </si>
  <si>
    <t>HOLLAND AREA CENTER JOINT BUILDING AUTHORITY</t>
  </si>
  <si>
    <t>HOLLAND AREA COMMUNITY SWIMMING POOL AUTHORITY</t>
  </si>
  <si>
    <t>HOLLAND CHARTER</t>
  </si>
  <si>
    <t>HOLLAND CITY BOARD OF PUBLIC WORKS</t>
  </si>
  <si>
    <t>HUDSONVILLE</t>
  </si>
  <si>
    <t>JAMESTOWN CHARTER</t>
  </si>
  <si>
    <t>LOUTIT DISTRICT LIBRARY</t>
  </si>
  <si>
    <t>MACATAWA AREA COORDINATING COUNCIL</t>
  </si>
  <si>
    <t>MACATAWA AREA EXPRESS TRANSPORTATION AUTHORITY</t>
  </si>
  <si>
    <t>MICHIGAN INSURANCE AUTHORITY/OTTAWA CO</t>
  </si>
  <si>
    <t>NORTHWEST OTTAWA WATER TREATMENT PLANT</t>
  </si>
  <si>
    <t>OLIVE</t>
  </si>
  <si>
    <t>OTTAWA</t>
  </si>
  <si>
    <t>OTTAWA CO ROAD COMMISSION</t>
  </si>
  <si>
    <t>OTTAWA COUNTY CENTRAL DISPATCH AUTHORITY</t>
  </si>
  <si>
    <t>OTTAWA COUNTY DRAIN COMMISSION</t>
  </si>
  <si>
    <t>OTTAWA COUNTY PUBLIC UTILITIES SYSTEM</t>
  </si>
  <si>
    <t>PARK</t>
  </si>
  <si>
    <t>Park-Holland Township Water &amp; Sewer Authority</t>
  </si>
  <si>
    <t>POLKTON CHARTER</t>
  </si>
  <si>
    <t>PORT SHELDON</t>
  </si>
  <si>
    <t>ROBINSON</t>
  </si>
  <si>
    <t>SPRING LAKE</t>
  </si>
  <si>
    <t>SPRING LAKE DISTRICT LIBRARY</t>
  </si>
  <si>
    <t>TALLMADGE CHARTER TOWNSHIP</t>
  </si>
  <si>
    <t>WEST MI ENFORCEMENT TEAM-WEMET</t>
  </si>
  <si>
    <t>WEST MICHIGAN AIRPORT AUTHORITY</t>
  </si>
  <si>
    <t>ZEELAND</t>
  </si>
  <si>
    <t>ZEELAND CHARTER</t>
  </si>
  <si>
    <t>BEARINGER</t>
  </si>
  <si>
    <t>BELKNAP</t>
  </si>
  <si>
    <t>CASE</t>
  </si>
  <si>
    <t>KRAKOW</t>
  </si>
  <si>
    <t>METZ</t>
  </si>
  <si>
    <t>MILLERSBURG</t>
  </si>
  <si>
    <t>NORTH ALLIS</t>
  </si>
  <si>
    <t>NORTHEAST MICHIGAN CONSORTIUM</t>
  </si>
  <si>
    <t>ONAWAY</t>
  </si>
  <si>
    <t>ONAWAY AREA AMBULANCE SERVICE</t>
  </si>
  <si>
    <t>POSEN</t>
  </si>
  <si>
    <t>POSEN AREA FIRE AND RESCUE</t>
  </si>
  <si>
    <t>PRESQUE ISLE</t>
  </si>
  <si>
    <t>PRESQUE ISLE COUNTY ROAD COMMISSION</t>
  </si>
  <si>
    <t>PRESQUE ISLE DISTRICT LIBRARY</t>
  </si>
  <si>
    <t>PULAWSKI</t>
  </si>
  <si>
    <t>ROGERS</t>
  </si>
  <si>
    <t>ROGERS CITY</t>
  </si>
  <si>
    <t>ROGERS CITY AREA AMBULANCE AUTHORITY</t>
  </si>
  <si>
    <t>ROGERS CITY AREA FIRE AUTHORITY</t>
  </si>
  <si>
    <t>ROGERS CITY HOUSING COMMISSION</t>
  </si>
  <si>
    <t>BACKUS</t>
  </si>
  <si>
    <t>DENTON</t>
  </si>
  <si>
    <t>GERRISH</t>
  </si>
  <si>
    <t>HIGGINS LAKE UTILITIES AUTHORITY</t>
  </si>
  <si>
    <t>HOUGHTON LAKE AMBULANCE AUTHORITY</t>
  </si>
  <si>
    <t>HOUGHTON LAKE BUILDING AGENCY</t>
  </si>
  <si>
    <t>HOUGHTON LAKE IMPROVEMENT BOARD</t>
  </si>
  <si>
    <t>HOUGHTON LAKE PUBLIC LIBRARY</t>
  </si>
  <si>
    <t>HOUGHTON LAKE SEWER AUTHORITY</t>
  </si>
  <si>
    <t>Kirtland Community College</t>
  </si>
  <si>
    <t>LYON</t>
  </si>
  <si>
    <t>MARKEY</t>
  </si>
  <si>
    <t>ROSCOMMON</t>
  </si>
  <si>
    <t>Roscommon Area District Library</t>
  </si>
  <si>
    <t>ROSCOMMON COUNTY ROAD COMMISSION</t>
  </si>
  <si>
    <t>ROSCOMMON COUNTY TRANSPORTATION AUTHORITY</t>
  </si>
  <si>
    <t>ALBEE</t>
  </si>
  <si>
    <t>BIRCH RUN</t>
  </si>
  <si>
    <t>BLUMFIELD-REESE WATER AUTH</t>
  </si>
  <si>
    <t>BRANT</t>
  </si>
  <si>
    <t>BRIDGEPORT CHARTER</t>
  </si>
  <si>
    <t>BRIDGEPORT PUBLIC LIBRARY</t>
  </si>
  <si>
    <t>BUENA VISTA CHARTER</t>
  </si>
  <si>
    <t>BUENA VISTA CHARTER TOWNSHIP DDA</t>
  </si>
  <si>
    <t>CARROLLTON</t>
  </si>
  <si>
    <t>CHAPIN</t>
  </si>
  <si>
    <t>CHESANING</t>
  </si>
  <si>
    <t>CHESANING-BRADY FIRE ADMINISTRATIVE BOARD</t>
  </si>
  <si>
    <t>CHESANING-BRADY JOINT BUILDING AUTHORITY</t>
  </si>
  <si>
    <t>DELTA COLLEGE</t>
  </si>
  <si>
    <t>FRANKENMUTH</t>
  </si>
  <si>
    <t>FRANKENMUTH CITY-TOWNSHIP COMMISSION</t>
  </si>
  <si>
    <t>FRANKENMUTH JAMES E. WICKSON LIBRARY</t>
  </si>
  <si>
    <t>JAMES</t>
  </si>
  <si>
    <t>JONESFIELD</t>
  </si>
  <si>
    <t>JONESFIELD/LAKEFIELD FIRE DISTRICT</t>
  </si>
  <si>
    <t>KOCHVILLE</t>
  </si>
  <si>
    <t>MBS INTERNATIONAL AIRPORT COMMISSION</t>
  </si>
  <si>
    <t>MERRILL</t>
  </si>
  <si>
    <t>MID MICHIGAN WASTE AUTHORITY</t>
  </si>
  <si>
    <t>NORTHWEST UTILITIES AUTHORITY</t>
  </si>
  <si>
    <t>OAKLEY</t>
  </si>
  <si>
    <t>PUBLIC LIBRARIES OF SAGINAW</t>
  </si>
  <si>
    <t>River Rapids District Library</t>
  </si>
  <si>
    <t>SAGINAW</t>
  </si>
  <si>
    <t>SAGINAW AREA GIS AUTHORITY</t>
  </si>
  <si>
    <t>SAGINAW AREA STORM WATER AUTHORITY</t>
  </si>
  <si>
    <t>SAGINAW CHARTER</t>
  </si>
  <si>
    <t>SAGINAW CITY HOUSING COMMISSION</t>
  </si>
  <si>
    <t>SAGINAW COUNTY 911 COMMUNICATIONS CENTER AUTH</t>
  </si>
  <si>
    <t>SAGINAW COUNTY COMMUNITY MENTAL HEALTH AUTHORITY</t>
  </si>
  <si>
    <t>SAGINAW COUNTY ROAD COMMISSION</t>
  </si>
  <si>
    <t>SAGINAW TRANSIT AUTHORITY REGIONAL SERVICES</t>
  </si>
  <si>
    <t>SAGINAW-MIDLAND MUNICIPAL WATER SUPPLY CORPORATION</t>
  </si>
  <si>
    <t>SPAULDING</t>
  </si>
  <si>
    <t>ST CHARLES</t>
  </si>
  <si>
    <t>ST CHARLES DISTRICT LIBRARY</t>
  </si>
  <si>
    <t>SWAN CREEK</t>
  </si>
  <si>
    <t>SWAN CREEK/JAMES TWPS &amp; VILL ST CHARLES WATER AUTH</t>
  </si>
  <si>
    <t>TAYMOUTH</t>
  </si>
  <si>
    <t>THOMAS</t>
  </si>
  <si>
    <t>TITTABAWASSEE</t>
  </si>
  <si>
    <t>TRI-TWP FIRE DIST/SWAN CREEK/ST CHARLES/BRANT TWPS</t>
  </si>
  <si>
    <t>WHITE PINE LIBRARY COOPERATIVE</t>
  </si>
  <si>
    <t>ZILWAUKEE</t>
  </si>
  <si>
    <t>ALGONAC</t>
  </si>
  <si>
    <t>ALGONAC CITY HOUSING COMMISSION</t>
  </si>
  <si>
    <t>BLUE WATER AREA TRANSPORTATION COMMISSION</t>
  </si>
  <si>
    <t>BROCKWAY</t>
  </si>
  <si>
    <t>BURTCHVILLE</t>
  </si>
  <si>
    <t>CAPAC</t>
  </si>
  <si>
    <t>CHINA CHARTER</t>
  </si>
  <si>
    <t>CLAY</t>
  </si>
  <si>
    <t>COTTRELLVILLE</t>
  </si>
  <si>
    <t>EAST CHINA CHARTER</t>
  </si>
  <si>
    <t>EMMETT</t>
  </si>
  <si>
    <t>FORT GRATIOT CHARTER</t>
  </si>
  <si>
    <t>IRA</t>
  </si>
  <si>
    <t>KENOCKEE</t>
  </si>
  <si>
    <t>KIMBALL</t>
  </si>
  <si>
    <t>LYNN</t>
  </si>
  <si>
    <t>MARINE CITY</t>
  </si>
  <si>
    <t>Marine City Fire Authority</t>
  </si>
  <si>
    <t>MARYSVILLE</t>
  </si>
  <si>
    <t>MARYSVILLE CITY HOUSING COMMISSION</t>
  </si>
  <si>
    <t>MUSSEY</t>
  </si>
  <si>
    <t>PORT HURON</t>
  </si>
  <si>
    <t>PORT HURON CHARTER</t>
  </si>
  <si>
    <t>PORT HURON CITY HOUSING COMMISSION</t>
  </si>
  <si>
    <t>REGION 10</t>
  </si>
  <si>
    <t>RILEY</t>
  </si>
  <si>
    <t>ST CLAIR</t>
  </si>
  <si>
    <t>ST CLAIR AREA FIRE AUTHORITY</t>
  </si>
  <si>
    <t>ST CLAIR COUNTY COMMUNITY COLLEGE</t>
  </si>
  <si>
    <t>ST CLAIR COUNTY COMMUNITY MENTAL HEALTH AUTHORITY</t>
  </si>
  <si>
    <t>ST CLAIR COUNTY DEPARTMENT OF PUBLIC WORKS</t>
  </si>
  <si>
    <t>ST CLAIR COUNTY ROAD COMMISSION</t>
  </si>
  <si>
    <t>ST CLAIR RIVER SEWER &amp; WATER AUTHORITY</t>
  </si>
  <si>
    <t>WALES</t>
  </si>
  <si>
    <t>YALE</t>
  </si>
  <si>
    <t>BURR OAK</t>
  </si>
  <si>
    <t>CENTREVILLE</t>
  </si>
  <si>
    <t>COLON</t>
  </si>
  <si>
    <t>COLON COMMUNITY FIRE AND RESCUE DEPARTMENT</t>
  </si>
  <si>
    <t>CONSTANTINE</t>
  </si>
  <si>
    <t>FABIUS</t>
  </si>
  <si>
    <t>FABIUS PARK TWPS FIRE DEPARTMENT</t>
  </si>
  <si>
    <t>FAWN RIVER</t>
  </si>
  <si>
    <t>FLORENCE</t>
  </si>
  <si>
    <t>FLOWERFIELD</t>
  </si>
  <si>
    <t>GLEN OAKS COMMUNITY COLLEGE DISTRICT</t>
  </si>
  <si>
    <t>LEONIDAS</t>
  </si>
  <si>
    <t>MENDON</t>
  </si>
  <si>
    <t>MENDON VILLAGE DOWNTOWN DEVELOPMENT AUTHORITY</t>
  </si>
  <si>
    <t>MOTTVILLE</t>
  </si>
  <si>
    <t>NOTTAWA TOWNSHIP LIBRARY</t>
  </si>
  <si>
    <t>RIVER COUNTRY RECREATIONAL AUTHORITY</t>
  </si>
  <si>
    <t>ST JOSEPH CO COMMUNITY MENTAL HEALTH SERVICES</t>
  </si>
  <si>
    <t>ST JOSEPH CO CONSERVATION DISTRICT</t>
  </si>
  <si>
    <t>ST JOSEPH CO PUBLIC TRANSPORTATION AUTHORITY</t>
  </si>
  <si>
    <t>ST JOSEPH COUNTY ROAD COMMISSION</t>
  </si>
  <si>
    <t>STURGIS</t>
  </si>
  <si>
    <t>STURGIS CITY DDA</t>
  </si>
  <si>
    <t>STURGIS CITY HOUSING COMMISSION</t>
  </si>
  <si>
    <t>STURGIS DISTRICT LIBRARY</t>
  </si>
  <si>
    <t>THREE RIVERS</t>
  </si>
  <si>
    <t>TRI-TOWNSHIP FIRE ASSOC/SHERMAN/STURGIS/FAWN RIVER</t>
  </si>
  <si>
    <t>WHITE PIGEON</t>
  </si>
  <si>
    <t>WHITE PIGEON SANITARY SYSTEM</t>
  </si>
  <si>
    <t>WHITE PIGEON TOWNSHIP LIBRARY</t>
  </si>
  <si>
    <t>AITKIN MEMORIAL DISTRICT LIBRARY</t>
  </si>
  <si>
    <t>BROWN CITY</t>
  </si>
  <si>
    <t>BROWN CITY AREA FIRE AUTHORITY</t>
  </si>
  <si>
    <t>BROWN CITY PUBLIC LIBRARY</t>
  </si>
  <si>
    <t>BUEL</t>
  </si>
  <si>
    <t>CARSONVILLE</t>
  </si>
  <si>
    <t>CROSWELL</t>
  </si>
  <si>
    <t>DECKERVILLE</t>
  </si>
  <si>
    <t>DECKERVILLE PUBLIC LIBRARY</t>
  </si>
  <si>
    <t>DELAWARE</t>
  </si>
  <si>
    <t>FORESTER</t>
  </si>
  <si>
    <t>FORESTVILLE</t>
  </si>
  <si>
    <t>GREENLEAF</t>
  </si>
  <si>
    <t>LAMOTTE</t>
  </si>
  <si>
    <t>LEXINGTON</t>
  </si>
  <si>
    <t>MAPLE VALLEY</t>
  </si>
  <si>
    <t>MARLETTE</t>
  </si>
  <si>
    <t>MARLETTE COMMUNITY FIRE DEPARTMENT</t>
  </si>
  <si>
    <t>MARLETTE DISTRICT LIBRARY</t>
  </si>
  <si>
    <t>MINDEN</t>
  </si>
  <si>
    <t>MINDEN CITY</t>
  </si>
  <si>
    <t>MOORE</t>
  </si>
  <si>
    <t>MOORE PUBLIC LIBRARY</t>
  </si>
  <si>
    <t>PECK</t>
  </si>
  <si>
    <t>PORT SANILAC</t>
  </si>
  <si>
    <t>SANDUSKY</t>
  </si>
  <si>
    <t>SANDUSKY COMMUNITY FIRE DEPARTMENT ASSOC</t>
  </si>
  <si>
    <t>SANDUSKY DISTRICT LIBRARY</t>
  </si>
  <si>
    <t>SANILAC</t>
  </si>
  <si>
    <t>SANILAC CO COMMUNITY MENTAL HEALTH AUTHORITY</t>
  </si>
  <si>
    <t>SANILAC CO ROAD COMMISSION</t>
  </si>
  <si>
    <t>SANILAC DISTRICT LIBRARY</t>
  </si>
  <si>
    <t>SANILAC TRANSPORTATION CORPORATION</t>
  </si>
  <si>
    <t>SPEAKER</t>
  </si>
  <si>
    <t>THUMB AREA EMPLOYMENT &amp; TRAINING CONSORTIUM</t>
  </si>
  <si>
    <t>WATERTOWN</t>
  </si>
  <si>
    <t>WORTH</t>
  </si>
  <si>
    <t>GERMFASK</t>
  </si>
  <si>
    <t>HIAWATHA</t>
  </si>
  <si>
    <t>HIAWATHA COMMUNITY BEHAVIORAL HEALTH AUTHORITY</t>
  </si>
  <si>
    <t>INWOOD</t>
  </si>
  <si>
    <t>MANISTIQUE</t>
  </si>
  <si>
    <t>MANISTIQUE CITY HOUSING COMMISSION</t>
  </si>
  <si>
    <t>MUELLER</t>
  </si>
  <si>
    <t>SCHOOLCRAFT COUNTY HOUSING COMMISSION</t>
  </si>
  <si>
    <t>SCHOOLCRAFT COUNTY MEDICAL CARE FACILITY</t>
  </si>
  <si>
    <t>SCHOOLCRAFT COUNTY PUBLIC TRANSIT SYSTEM</t>
  </si>
  <si>
    <t>SCHOOLCRAFT COUNTY ROAD COMMISSION</t>
  </si>
  <si>
    <t>THOMPSON</t>
  </si>
  <si>
    <t>BANCROFT</t>
  </si>
  <si>
    <t>BENNINGTON</t>
  </si>
  <si>
    <t>BURNS</t>
  </si>
  <si>
    <t>COMMUNITY DISTRICT LIBRARY</t>
  </si>
  <si>
    <t>CORUNNA</t>
  </si>
  <si>
    <t>DURAND</t>
  </si>
  <si>
    <t>HAZELTON</t>
  </si>
  <si>
    <t>LAINGSBURG</t>
  </si>
  <si>
    <t>LAINGSBURG/SCIOTA/WOODHULL EMERGENCY SERVICE AUTH</t>
  </si>
  <si>
    <t>LENNON</t>
  </si>
  <si>
    <t>MIDDLEBURY</t>
  </si>
  <si>
    <t>MORRICE</t>
  </si>
  <si>
    <t>NEW LOTHROP</t>
  </si>
  <si>
    <t>OWOSSO</t>
  </si>
  <si>
    <t>OWOSSO CHARTER</t>
  </si>
  <si>
    <t>OWOSSO CITY DOWNTOWN DEVELOPMENT AUTHORITY</t>
  </si>
  <si>
    <t>OWOSSO TWP-CALEDONIA TWP UTILITY AUTHORITY</t>
  </si>
  <si>
    <t>PERRY</t>
  </si>
  <si>
    <t>PERRY BUILDING AUTHORITY</t>
  </si>
  <si>
    <t>RUSH</t>
  </si>
  <si>
    <t>SCIOTA</t>
  </si>
  <si>
    <t>SHIAWASSEE</t>
  </si>
  <si>
    <t>SHIAWASSEE AREA TRANSPORTATION AGENCY</t>
  </si>
  <si>
    <t>SHIAWASSEE CO COMMUNITY MENTAL HEALTH AUTHORITY</t>
  </si>
  <si>
    <t>SHIAWASSEE CO ROAD COMMISSION</t>
  </si>
  <si>
    <t>SHIAWASSEE DISTRICT LIBRARY</t>
  </si>
  <si>
    <t>VERNON DISTRICT PUBLIC LIBRARY</t>
  </si>
  <si>
    <t>WOODHULL</t>
  </si>
  <si>
    <t>AKRON FAIRGROVE WASTEWATER SYSTEM</t>
  </si>
  <si>
    <t>AKRON,COLUMBIA, WISNER TOWNSHIP AND VILLAGE OF UNIONVILLE FIRE DEPT</t>
  </si>
  <si>
    <t>ALMER</t>
  </si>
  <si>
    <t>ARBELA</t>
  </si>
  <si>
    <t>BULLARD SANFORD MEMORIAL LIBRARY</t>
  </si>
  <si>
    <t>CARO</t>
  </si>
  <si>
    <t>CARO AREA DISTRICT LIBRARY</t>
  </si>
  <si>
    <t>CARO TRANSIT AUTHORITY</t>
  </si>
  <si>
    <t>CASS CITY</t>
  </si>
  <si>
    <t>DENMARK</t>
  </si>
  <si>
    <t>ELKLAND</t>
  </si>
  <si>
    <t>ELLINGTON</t>
  </si>
  <si>
    <t>ELMWOOD</t>
  </si>
  <si>
    <t>FAIRGROVE</t>
  </si>
  <si>
    <t>FAIRGROVE DISTRICT LIBRARY</t>
  </si>
  <si>
    <t>GILFORD</t>
  </si>
  <si>
    <t>Indianfields</t>
  </si>
  <si>
    <t>JUNIATA</t>
  </si>
  <si>
    <t>KINGSTON</t>
  </si>
  <si>
    <t>KOYLTON</t>
  </si>
  <si>
    <t>MAYVILLE AREA AMBULANCE SERVICE</t>
  </si>
  <si>
    <t>MAYVILLE DISTRICT PUBLIC LIBRARY</t>
  </si>
  <si>
    <t>MILLINGTON</t>
  </si>
  <si>
    <t>MILLINGTON ARBELA DISTRICT LIBRARY</t>
  </si>
  <si>
    <t>NOVESTA</t>
  </si>
  <si>
    <t>RAWSON MEMORIAL LIBRARY</t>
  </si>
  <si>
    <t>REESE</t>
  </si>
  <si>
    <t>REESE UNITY DISTRICT LIBRARY</t>
  </si>
  <si>
    <t>SOUTHERN LINKS TRAILWAY MANAGEMENT COUNCIL</t>
  </si>
  <si>
    <t>TUSCOLA</t>
  </si>
  <si>
    <t>TUSCOLA AREA AIRPORT AUTHORITY</t>
  </si>
  <si>
    <t>TUSCOLA CO ROAD COMMISSION</t>
  </si>
  <si>
    <t>TUSCOLA COUNTY COMMUNITY MENTAL HEALTH AUTHORITY</t>
  </si>
  <si>
    <t>TUSCOLA COUNTY HEALTH DEPARTMENT</t>
  </si>
  <si>
    <t>TUSCOLA COUNTY MEDICAL CARE FACILITY</t>
  </si>
  <si>
    <t>VASSAR</t>
  </si>
  <si>
    <t>WISNER</t>
  </si>
  <si>
    <t>ABB JOINT FIRE DISTRICT</t>
  </si>
  <si>
    <t>ALMENA</t>
  </si>
  <si>
    <t>ANTWERP</t>
  </si>
  <si>
    <t>ARLINGTON</t>
  </si>
  <si>
    <t>BANGOR</t>
  </si>
  <si>
    <t>BANGOR CITY HOUSING COMMISSION</t>
  </si>
  <si>
    <t>BLOOMINGDALE</t>
  </si>
  <si>
    <t>BREEDSVILLE</t>
  </si>
  <si>
    <t>COVERT</t>
  </si>
  <si>
    <t>COVERT HOUSING COMMISSION</t>
  </si>
  <si>
    <t>DECATUR</t>
  </si>
  <si>
    <t>DECATUR-HAMILTON JOINT FIRE DEPARTMENT</t>
  </si>
  <si>
    <t>DECATUR-HAMILTON QUICK RESPONSE UNIT</t>
  </si>
  <si>
    <t>GOBLES</t>
  </si>
  <si>
    <t>GOBLES/PINE GROVE FIRE ADMINISTRATIVE BOARD</t>
  </si>
  <si>
    <t>HARTFORD</t>
  </si>
  <si>
    <t>HARTFORD FIRE BOARD</t>
  </si>
  <si>
    <t>HARTFORD PUBLIC LIBRARY</t>
  </si>
  <si>
    <t>KEELER</t>
  </si>
  <si>
    <t>Lake Area Sewer Authority</t>
  </si>
  <si>
    <t>LAWRENCE</t>
  </si>
  <si>
    <t>LAWTON</t>
  </si>
  <si>
    <t>LAWTON FIRE DEPARTMENT</t>
  </si>
  <si>
    <t>MATTAWAN</t>
  </si>
  <si>
    <t>PAW PAW</t>
  </si>
  <si>
    <t>PAW PAW DISTRICT LIBRARY</t>
  </si>
  <si>
    <t>PAW PAW FIRE DEPARTMENT</t>
  </si>
  <si>
    <t>PAW PAW LAKE REGIONAL JOINT SEWAGE DISPOSAL BOARD</t>
  </si>
  <si>
    <t>PINE GROVE</t>
  </si>
  <si>
    <t>SOUTH HAVEN</t>
  </si>
  <si>
    <t>SOUTH HAVEN AREA EMERGENCY SERVICES AUTHORITY</t>
  </si>
  <si>
    <t>South Haven Area Recreational Authority</t>
  </si>
  <si>
    <t>SOUTH HAVEN CHARTER</t>
  </si>
  <si>
    <t>SOUTH HAVEN CITY HOUSING COMMISSION</t>
  </si>
  <si>
    <t>SOUTH HAVEN COMMUNITY HOSPITAL AUTHORITY</t>
  </si>
  <si>
    <t>SOUTH HAVEN MEMORIAL LIBRARY</t>
  </si>
  <si>
    <t>SOUTH HAVEN REGIONAL AIRPORT AUTHORITY</t>
  </si>
  <si>
    <t>SOUTHWEST MICHIGAN LIBRARY COOPERATIVE</t>
  </si>
  <si>
    <t>VAN BUREN</t>
  </si>
  <si>
    <t>VAN BUREN COMMUNITY MENTAL HEALTH AUTHORITY</t>
  </si>
  <si>
    <t>VAN BUREN COUNTY PUBLIC TRANSIT</t>
  </si>
  <si>
    <t>VAN BUREN COUNTY ROAD COMMISSION</t>
  </si>
  <si>
    <t>VAN BUREN DISTRICT LIBRARY</t>
  </si>
  <si>
    <t>VAN BUREN/CASS CO DISTRICT PUBLIC HEALTH DEPT</t>
  </si>
  <si>
    <t>15TH DISTRICT-ANN ARBOR COURT AGENCY FUND</t>
  </si>
  <si>
    <t>ANN ARBOR</t>
  </si>
  <si>
    <t>ANN ARBOR CHARTER</t>
  </si>
  <si>
    <t>ANN ARBOR CITY DDA</t>
  </si>
  <si>
    <t>ANN ARBOR CITY EMPLOYEES RETIREMENT SYSTEM</t>
  </si>
  <si>
    <t>ANN ARBOR CITY HOUSING COMMISSION</t>
  </si>
  <si>
    <t>ANN ARBOR DISTRICT LIBRARY</t>
  </si>
  <si>
    <t>ANN ARBOR RETIREE HEALTHCARE BENEFITS PLAN/TRUST</t>
  </si>
  <si>
    <t>ANN ARBOR TRANSPORTATION AUTHORITY</t>
  </si>
  <si>
    <t>BARTON HILLS</t>
  </si>
  <si>
    <t>BRIDGEWATER</t>
  </si>
  <si>
    <t>CHELSEA</t>
  </si>
  <si>
    <t>CHELSEA AREA CONSTRUCTION AGENCY</t>
  </si>
  <si>
    <t>CHELSEA AREA FIRE AUTHORITY</t>
  </si>
  <si>
    <t>CHELSEA DISTRICT LIBRARY</t>
  </si>
  <si>
    <t>Community Mental Health Partnership of Southeast Michigan</t>
  </si>
  <si>
    <t>Dexter</t>
  </si>
  <si>
    <t>DEXTER</t>
  </si>
  <si>
    <t>DEXTER AREA FIRE DEPARTMENT</t>
  </si>
  <si>
    <t>DEXTER DISTRICT LIBRARY</t>
  </si>
  <si>
    <t>FREEDOM</t>
  </si>
  <si>
    <t>LAWNET-Livingston and Washtenaw Narcotics Enforcement Team</t>
  </si>
  <si>
    <t>LIMA</t>
  </si>
  <si>
    <t>LOCH ALPINE SANITARY AUTHORITY</t>
  </si>
  <si>
    <t>LODI</t>
  </si>
  <si>
    <t>LYNDON</t>
  </si>
  <si>
    <t>MANCHESTER</t>
  </si>
  <si>
    <t>MANCHESTER DISTRICT LIBRARY</t>
  </si>
  <si>
    <t>MILAN AREA FIRE DEPARTMENT</t>
  </si>
  <si>
    <t>MILAN PUBLIC LIBRARY</t>
  </si>
  <si>
    <t>MULTI-LAKES SEWER AUTHORITY</t>
  </si>
  <si>
    <t>NORTHFIELD</t>
  </si>
  <si>
    <t>NORTHFIELD TOWNSHIP AREA LIBRARY</t>
  </si>
  <si>
    <t>PITTSFIELD CHARTER</t>
  </si>
  <si>
    <t>PORTAGE-BASE LAKES AREA WATER &amp; SEWER AUTHORITY</t>
  </si>
  <si>
    <t>SALINE</t>
  </si>
  <si>
    <t>SALINE AREA FIRE DEPARTMENT</t>
  </si>
  <si>
    <t>SALINE DISTRICT LIBRARY</t>
  </si>
  <si>
    <t>SCIO</t>
  </si>
  <si>
    <t>SHARON</t>
  </si>
  <si>
    <t>SUPERIOR CHARTER</t>
  </si>
  <si>
    <t>SYLVAN TOWNSHIP WATER AND SEWER AUTHORITY</t>
  </si>
  <si>
    <t>WASHTENAW</t>
  </si>
  <si>
    <t>WASHTENAW AREA TRANSPORTATION STUDY</t>
  </si>
  <si>
    <t>WASHTENAW CO 800MHz COMMUNICATIONS CONSORTIUM</t>
  </si>
  <si>
    <t>WASHTENAW CO EMPLOYEES RETIREMENT SYSTEM</t>
  </si>
  <si>
    <t>WASHTENAW CO MONEY PURCHASE PENSION PLAN</t>
  </si>
  <si>
    <t>WASHTENAW CO VOLUNTARY EMPLOYEES BENEFICIARY ASSOC</t>
  </si>
  <si>
    <t>WASHTENAW COMMUNITY COLLEGE</t>
  </si>
  <si>
    <t>WASHTENAW COUNTY BUILDING AUTHORITY</t>
  </si>
  <si>
    <t>Washtenaw County Community Mental Health</t>
  </si>
  <si>
    <t>WASHTENAW COUNTY DEFINED CONTRIBUTION PLAN</t>
  </si>
  <si>
    <t>WASHTENAW COUNTY DEPT OF PUBLIC WORKS</t>
  </si>
  <si>
    <t>WASHTENAW COUNTY RETIREMENT HEALTH SAVINGS PLAN</t>
  </si>
  <si>
    <t>WASHTENAW COUNTY ROAD COMMISSION</t>
  </si>
  <si>
    <t>WASHTENAW COUNTY WATER RESOURCES</t>
  </si>
  <si>
    <t>WEBSTER</t>
  </si>
  <si>
    <t>WESTERN WASHTENAW CONSTRUCTION AUTHORITY</t>
  </si>
  <si>
    <t>WESTERN WASHTENAW RECYCLING AUTHORITY</t>
  </si>
  <si>
    <t>YORK CHARTER</t>
  </si>
  <si>
    <t>YPSILANTI</t>
  </si>
  <si>
    <t>YPSILANTI CHARTER</t>
  </si>
  <si>
    <t>YPSILANTI CITY HOUSING COMMISSION</t>
  </si>
  <si>
    <t>YPSILANTI CITY POLICE AND FIRE RETIREMENT SYSTEM</t>
  </si>
  <si>
    <t>YPSILANTI COMMUNITY UTILITIES AUTHORITY</t>
  </si>
  <si>
    <t>YPSILANTI DISTRICT LIBRARY</t>
  </si>
  <si>
    <t>16TH DISTRICT-LIVONIA</t>
  </si>
  <si>
    <t>17TH DISTRICT-REDFORD CHARTER TOWNSHIP</t>
  </si>
  <si>
    <t>18TH DISTRICT-WESTLAND</t>
  </si>
  <si>
    <t>19TH DISTRICT COURT-DEARBORN</t>
  </si>
  <si>
    <t>20TH DISTRICT-DEARBORN HEIGHTS</t>
  </si>
  <si>
    <t>21ST DISTRICT-GARDEN CITY</t>
  </si>
  <si>
    <t>23RD DISTRICT COURT-TAYLOR</t>
  </si>
  <si>
    <t>24TH DISTRICT COURT-ALLEN PARK</t>
  </si>
  <si>
    <t>28TH DISTRICT COURT-SOUTHGATE</t>
  </si>
  <si>
    <t>33RD DISTRICT COURT-WOODHAVEN</t>
  </si>
  <si>
    <t>34TH DISTRICT-ROMULUS</t>
  </si>
  <si>
    <t>35TH DISTRICT-PLYMOUTH</t>
  </si>
  <si>
    <t>ALLEN PARK</t>
  </si>
  <si>
    <t>ALLEN PARK CITY HOUSING COMMISSION</t>
  </si>
  <si>
    <t>BACON MEMORIAL DISTRICT LIBRARY</t>
  </si>
  <si>
    <t>BELLEVILLE</t>
  </si>
  <si>
    <t>Belleville Area District Library</t>
  </si>
  <si>
    <t>BROWNSTOWN CHARTER</t>
  </si>
  <si>
    <t>CANTON CHARTER</t>
  </si>
  <si>
    <t>CANTON PUBLIC LIBRARY</t>
  </si>
  <si>
    <t>CENTRAL WAYNE COUNTY SANITATION AUTHORITY</t>
  </si>
  <si>
    <t>City of Detroit General Retiree Health Care Trust</t>
  </si>
  <si>
    <t>City of Detroit Local Deveopment Finance Authority</t>
  </si>
  <si>
    <t>City of Detroit Police and Fire Retiree Health Care Trust</t>
  </si>
  <si>
    <t>DEARBORN</t>
  </si>
  <si>
    <t>DEARBORN CITY HOUSING COMMISSION</t>
  </si>
  <si>
    <t>DEARBORN HEIGHTS</t>
  </si>
  <si>
    <t>DEARBORN HEIGHTS CITY TAX INCREMENT FINANCE AUTHOR</t>
  </si>
  <si>
    <t>DETROIT</t>
  </si>
  <si>
    <t>DETROIT CITY BROWNFIELD REDEVELOPMENT AUTHORITY</t>
  </si>
  <si>
    <t>DETROIT CITY GENERAL RETIREMENT SYSTEM-COMPONENT II</t>
  </si>
  <si>
    <t>DETROIT CITY POLICE AND FIRE RETIREMENT SYSTEM</t>
  </si>
  <si>
    <t>DETROIT CITY TRANSPORTATION FUND</t>
  </si>
  <si>
    <t>DETROIT DOWNTOWN DEVELOPMENT AUTHORITY</t>
  </si>
  <si>
    <t>Detroit Land Bank Authority</t>
  </si>
  <si>
    <t>DETROIT LIBRARY COOPERATIVE</t>
  </si>
  <si>
    <t>DETROIT PUBLIC LIBRARY-BURTON ENDOWMENT FUND</t>
  </si>
  <si>
    <t>Detroit Region Aerotropolis Development Corporatio</t>
  </si>
  <si>
    <t>Detroit Regional Convention Facility Authority</t>
  </si>
  <si>
    <t>DETROIT WAYNE COUNTY HEALTH AUTHORITY</t>
  </si>
  <si>
    <t>DETROIT-WAYNE COUNTY CMH AGENCY</t>
  </si>
  <si>
    <t>Detroit/Wayne County Port Authority</t>
  </si>
  <si>
    <t>DOWNRIVER COMMUNITY CONFERENCE</t>
  </si>
  <si>
    <t>DOWNRIVER MUTUAL AID (DMAID)</t>
  </si>
  <si>
    <t>Economic Development Corporation of the City of Detroit</t>
  </si>
  <si>
    <t>ECORSE</t>
  </si>
  <si>
    <t>ECORSE CITY HOUSING COMMISSION</t>
  </si>
  <si>
    <t>Eight Mile Woodward Cooridor Improvement Authority</t>
  </si>
  <si>
    <t>FLAT ROCK</t>
  </si>
  <si>
    <t>GARDEN CITY</t>
  </si>
  <si>
    <t>GIBRALTAR</t>
  </si>
  <si>
    <t>GREAT LAKES WATER AUTHORITY</t>
  </si>
  <si>
    <t>GROSSE ILE</t>
  </si>
  <si>
    <t>GROSSE POINTE</t>
  </si>
  <si>
    <t>GROSSE POINTE FARMS</t>
  </si>
  <si>
    <t>GROSSE POINTE PARK</t>
  </si>
  <si>
    <t>GROSSE POINTE PUBLIC LIBRARY</t>
  </si>
  <si>
    <t>GROSSE POINTE SHORES CITY OF THE VILLAGE OF</t>
  </si>
  <si>
    <t>GROSSE POINTE WOODS</t>
  </si>
  <si>
    <t>GROSSE POINTES-CLINTON REFUSE DISPOSAL AUTHORITY</t>
  </si>
  <si>
    <t>HAMTRAMCK</t>
  </si>
  <si>
    <t>HARPER WOODS</t>
  </si>
  <si>
    <t>HIGHLAND PARK</t>
  </si>
  <si>
    <t>HIGHLAND PARK CITY HOUSING COMMISSION</t>
  </si>
  <si>
    <t>Highland Park TIFA</t>
  </si>
  <si>
    <t>HURON CHARTER</t>
  </si>
  <si>
    <t>INKSTER</t>
  </si>
  <si>
    <t>LINCOLN PARK</t>
  </si>
  <si>
    <t>LINCOLN PARK CITY HOUSING COMMISSION</t>
  </si>
  <si>
    <t>LIVONIA</t>
  </si>
  <si>
    <t>LIVONIA CITY HOUSING COMMISSION</t>
  </si>
  <si>
    <t>MELVINDALE</t>
  </si>
  <si>
    <t>Melvindale Housing Commission</t>
  </si>
  <si>
    <t>NANKIN TRANSIT COMMISSION</t>
  </si>
  <si>
    <t>NORTHVILLE</t>
  </si>
  <si>
    <t>NORTHVILLE CHARTER</t>
  </si>
  <si>
    <t>NORTHVILLE CITY DOWNTOWN DEVELOPMENT AUTHORITY</t>
  </si>
  <si>
    <t>NORTHVILLE CITY PARKS &amp; RECREATION COMMISSION</t>
  </si>
  <si>
    <t>NORTHVILLE DISTRICT LIBRARY</t>
  </si>
  <si>
    <t>PLYMOUTH</t>
  </si>
  <si>
    <t>PLYMOUTH CHARTER</t>
  </si>
  <si>
    <t>PLYMOUTH DISTRICT LIBRARY</t>
  </si>
  <si>
    <t>Public Lighting Authority</t>
  </si>
  <si>
    <t>REDFORD CHARTER</t>
  </si>
  <si>
    <t>REDFORD TOWNSHIP DISTRICT LIBRARY</t>
  </si>
  <si>
    <t>REGIONAL TRANSIT AUTHORITY FOR SOUTHEAST MICHIGAN</t>
  </si>
  <si>
    <t>RIVER ROUGE</t>
  </si>
  <si>
    <t>RIVER ROUGE CITY HOUSING COMMISSION</t>
  </si>
  <si>
    <t>RIVERVIEW</t>
  </si>
  <si>
    <t>ROCKWOOD</t>
  </si>
  <si>
    <t>ROCKWOOD CITY HOUSING COMMISSION</t>
  </si>
  <si>
    <t>ROMULUS</t>
  </si>
  <si>
    <t>ROMULUS CITY HOUSING COMMISSION</t>
  </si>
  <si>
    <t>SCHOOLCRAFT COMMUNITY COLLEGE DISTRICT</t>
  </si>
  <si>
    <t>SOUTH HURON VALLEY UTILITY AUTHORITY</t>
  </si>
  <si>
    <t>SOUTHEAST MI COUNCIL OF GOVERNMENTS</t>
  </si>
  <si>
    <t>SOUTHGATE</t>
  </si>
  <si>
    <t>SUBURBAN MOBILITY AUTH FOR REGIONAL TRANSPORTATION</t>
  </si>
  <si>
    <t>SUMPTER</t>
  </si>
  <si>
    <t>TAYLOR</t>
  </si>
  <si>
    <t>TAYLOR CITY HOUSING COMMISSION</t>
  </si>
  <si>
    <t>THE LIBRARY NETWORK</t>
  </si>
  <si>
    <t>TRENTON</t>
  </si>
  <si>
    <t>VAN BUREN CHARTER</t>
  </si>
  <si>
    <t>VAN BUREN CHARTER TOWNSHIP DOWNTOWN DEVELOPMENT AU</t>
  </si>
  <si>
    <t>VAN BUREN CHARTER TOWNSHIP LDFA</t>
  </si>
  <si>
    <t>WAYNE</t>
  </si>
  <si>
    <t>WAYNE CO BLDG AUTH</t>
  </si>
  <si>
    <t>WAYNE CO CIRCUIT COURT COMM BAILIFFS RET SYSTEM</t>
  </si>
  <si>
    <t>WAYNE CO EMPLOYEES RET SYS DEFINED CONTRIBUT PLAN</t>
  </si>
  <si>
    <t>WAYNE CO EMPLOYEES RET SYSTEM DEFINED BENEFIT PLAN</t>
  </si>
  <si>
    <t>WAYNE CO ZOOLOGICAL AUTHORITY</t>
  </si>
  <si>
    <t>WAYNE COUNTY AIRPORT AUTHORITY</t>
  </si>
  <si>
    <t>WAYNE COUNTY LANDBANK CORPORATION</t>
  </si>
  <si>
    <t>WAYNE COUNTY SEWAGE DISPOSAL SYSTEM</t>
  </si>
  <si>
    <t>WAYNE HOUSING COMMISSION</t>
  </si>
  <si>
    <t>WESTERN TOWNSHIPS UTILITIES AUTHORITY</t>
  </si>
  <si>
    <t>WESTERN WAYNE NARCOTICS UNIT-WWNU</t>
  </si>
  <si>
    <t>WESTLAND</t>
  </si>
  <si>
    <t>WESTLAND CITY HOUSING COMMISSION</t>
  </si>
  <si>
    <t>WOODHAVEN</t>
  </si>
  <si>
    <t>WYANDOTTE</t>
  </si>
  <si>
    <t>WYANDOTTE CITY DEPT OF MUNICIPAL SERVICE</t>
  </si>
  <si>
    <t>BOON</t>
  </si>
  <si>
    <t>BUCKLEY</t>
  </si>
  <si>
    <t>CADILLAC</t>
  </si>
  <si>
    <t>CADILLAC CITY HOUSING COMMISSION</t>
  </si>
  <si>
    <t>CADILLAC WEXFORD PUBLIC LIBRARY</t>
  </si>
  <si>
    <t>CADILLAC-WEXFORD TRANSIT AUTHORITY</t>
  </si>
  <si>
    <t>CHERRY GROVE</t>
  </si>
  <si>
    <t>CLAM LAKE</t>
  </si>
  <si>
    <t>HARING CHARTER</t>
  </si>
  <si>
    <t>HARRIETTA</t>
  </si>
  <si>
    <t>HENDERSON</t>
  </si>
  <si>
    <t>Lake Mitchell Sewer Authority</t>
  </si>
  <si>
    <t>MANTON</t>
  </si>
  <si>
    <t>MID-MICHIGAN LIBRARY LEAGUE</t>
  </si>
  <si>
    <t>SELMA</t>
  </si>
  <si>
    <t>SLAGLE</t>
  </si>
  <si>
    <t>SPRINGVILLE</t>
  </si>
  <si>
    <t>WEXFORD</t>
  </si>
  <si>
    <t>WEXFORD COUNTY AIRPORT AUTHORITY</t>
  </si>
  <si>
    <t>WEXFORD COUNTY ROAD COMMISSION</t>
  </si>
  <si>
    <t>Alcona County</t>
  </si>
  <si>
    <t>Alcona Township</t>
  </si>
  <si>
    <t xml:space="preserve">Alcona County Road Commission </t>
  </si>
  <si>
    <t>Caledonia Township</t>
  </si>
  <si>
    <t>Curtis Township</t>
  </si>
  <si>
    <t xml:space="preserve">Harrisville </t>
  </si>
  <si>
    <t xml:space="preserve">Harrisville City Water &amp; Sewer Funds </t>
  </si>
  <si>
    <t>Hawes Township</t>
  </si>
  <si>
    <t>Lincoln Village</t>
  </si>
  <si>
    <t xml:space="preserve">Lincoln Village Downtown Development Authority </t>
  </si>
  <si>
    <t>Mikado Township</t>
  </si>
  <si>
    <t>Millen Township</t>
  </si>
  <si>
    <t>Mitchell Township</t>
  </si>
  <si>
    <t xml:space="preserve">Northeast Michigan Community Mental Health Auth </t>
  </si>
  <si>
    <t xml:space="preserve">Municipality </t>
  </si>
  <si>
    <t>Alger County</t>
  </si>
  <si>
    <t xml:space="preserve">Alger Co Road Commission </t>
  </si>
  <si>
    <t xml:space="preserve">Alger County Transit Authority-Altran </t>
  </si>
  <si>
    <t>Autrain Township</t>
  </si>
  <si>
    <t>Burt Township</t>
  </si>
  <si>
    <t>Chatham Village</t>
  </si>
  <si>
    <t>Mathias Township</t>
  </si>
  <si>
    <t xml:space="preserve">Munising </t>
  </si>
  <si>
    <t>Munising Township</t>
  </si>
  <si>
    <t xml:space="preserve">Munising City Housing Commission </t>
  </si>
  <si>
    <t>Rock River Township</t>
  </si>
  <si>
    <t xml:space="preserve">Allegan </t>
  </si>
  <si>
    <t>Allegan County</t>
  </si>
  <si>
    <t>Allegan Township</t>
  </si>
  <si>
    <t xml:space="preserve">Allegan Co Road Commission </t>
  </si>
  <si>
    <t xml:space="preserve">Allegan County Community Mental Health Services Board </t>
  </si>
  <si>
    <t xml:space="preserve">Allegan County Medical Care Facility </t>
  </si>
  <si>
    <t xml:space="preserve">Allegan District Library </t>
  </si>
  <si>
    <t xml:space="preserve">Allegan Fire District </t>
  </si>
  <si>
    <t>Casco Township</t>
  </si>
  <si>
    <t xml:space="preserve">Charles A Ransom District Library </t>
  </si>
  <si>
    <t>Cheshire Township</t>
  </si>
  <si>
    <t>Clyde Township</t>
  </si>
  <si>
    <t>Dorr Township</t>
  </si>
  <si>
    <t xml:space="preserve">Dorr Township Library </t>
  </si>
  <si>
    <t xml:space="preserve">Dorr Twp-Leighton Twp Waste Water Authority </t>
  </si>
  <si>
    <t xml:space="preserve">Douglas Village </t>
  </si>
  <si>
    <t xml:space="preserve">Fennville </t>
  </si>
  <si>
    <t xml:space="preserve">Fennville Area Fire Board </t>
  </si>
  <si>
    <t xml:space="preserve">Fennville District Library </t>
  </si>
  <si>
    <t>Fillmore Township</t>
  </si>
  <si>
    <t>Ganges Township</t>
  </si>
  <si>
    <t xml:space="preserve">Graafschap Fire Department </t>
  </si>
  <si>
    <t>Gun Plain Charter Township</t>
  </si>
  <si>
    <t xml:space="preserve">Hamilton Fire Department </t>
  </si>
  <si>
    <t>Heath Township</t>
  </si>
  <si>
    <t xml:space="preserve">Henika District Library </t>
  </si>
  <si>
    <t>Hopkins Township</t>
  </si>
  <si>
    <t xml:space="preserve">Hopkins Public Library </t>
  </si>
  <si>
    <t xml:space="preserve">Interurban Transit Authority </t>
  </si>
  <si>
    <t xml:space="preserve">Kalamazoo Lake Sewer And Water Authority </t>
  </si>
  <si>
    <t>Laketown Township</t>
  </si>
  <si>
    <t>Lee Township</t>
  </si>
  <si>
    <t>Leighton Township</t>
  </si>
  <si>
    <t>Manlius Township</t>
  </si>
  <si>
    <t>Martin Township</t>
  </si>
  <si>
    <t>Martin Village</t>
  </si>
  <si>
    <t xml:space="preserve">Match-E-Be-Nash-She-Wish Local Revenue Sharing Bd </t>
  </si>
  <si>
    <t>Monterey Township</t>
  </si>
  <si>
    <t xml:space="preserve">Otsego </t>
  </si>
  <si>
    <t>Otsego Township</t>
  </si>
  <si>
    <t xml:space="preserve">Otsego District Public Library </t>
  </si>
  <si>
    <t>Overisel Township</t>
  </si>
  <si>
    <t xml:space="preserve">Plainwell </t>
  </si>
  <si>
    <t>Salem Township</t>
  </si>
  <si>
    <t xml:space="preserve">Saugatuck </t>
  </si>
  <si>
    <t>Saugatuck Township</t>
  </si>
  <si>
    <t xml:space="preserve">Saugatuck Township Fire District </t>
  </si>
  <si>
    <t xml:space="preserve">Saugatuck-Douglas District Library </t>
  </si>
  <si>
    <t xml:space="preserve">South Haven And Casco Township Water And Sewage Treatment Authority </t>
  </si>
  <si>
    <t>Valley Township</t>
  </si>
  <si>
    <t xml:space="preserve">Wayland </t>
  </si>
  <si>
    <t>Wayland Township</t>
  </si>
  <si>
    <t xml:space="preserve">Wayland Area Emergency Medical Services </t>
  </si>
  <si>
    <t xml:space="preserve">Alpena </t>
  </si>
  <si>
    <t>Alpena County</t>
  </si>
  <si>
    <t>Alpena Township</t>
  </si>
  <si>
    <t xml:space="preserve">Alpena Community College </t>
  </si>
  <si>
    <t xml:space="preserve">Alpena County Road Commission </t>
  </si>
  <si>
    <t>Green Township</t>
  </si>
  <si>
    <t>Maple Ridge Township</t>
  </si>
  <si>
    <t xml:space="preserve">Northland Library Cooperative </t>
  </si>
  <si>
    <t>Sanborn Township</t>
  </si>
  <si>
    <t xml:space="preserve">Thunder Bay Transportation Authority </t>
  </si>
  <si>
    <t>Wellington Township</t>
  </si>
  <si>
    <t xml:space="preserve">Alden District Library </t>
  </si>
  <si>
    <t>Antrim County</t>
  </si>
  <si>
    <t xml:space="preserve">Antrim County Road Commission </t>
  </si>
  <si>
    <t xml:space="preserve">Antrim County Transportation </t>
  </si>
  <si>
    <t>Banks Township</t>
  </si>
  <si>
    <t>Bellaire Village</t>
  </si>
  <si>
    <t xml:space="preserve">Bellaire District Fire Authority </t>
  </si>
  <si>
    <t xml:space="preserve">Bellaire Public Library </t>
  </si>
  <si>
    <t>Central Lake Township</t>
  </si>
  <si>
    <t>Central Lake Village</t>
  </si>
  <si>
    <t xml:space="preserve">Central Lake District Library </t>
  </si>
  <si>
    <t>Custer Township</t>
  </si>
  <si>
    <t>Elk Rapids Township</t>
  </si>
  <si>
    <t>Elk Rapids Village</t>
  </si>
  <si>
    <t xml:space="preserve">Elk Rapids District Library </t>
  </si>
  <si>
    <t xml:space="preserve">Elk Rapids Village Housing Commission </t>
  </si>
  <si>
    <t>Ellsworth Village</t>
  </si>
  <si>
    <t>Forest Home Township</t>
  </si>
  <si>
    <t>Helena Township</t>
  </si>
  <si>
    <t>Jordan Township</t>
  </si>
  <si>
    <t>Kearney Township</t>
  </si>
  <si>
    <t>Mancelona Township</t>
  </si>
  <si>
    <t>Mancelona Village</t>
  </si>
  <si>
    <t xml:space="preserve">Mancelona Area Water/Sewer Authority </t>
  </si>
  <si>
    <t xml:space="preserve">Mancelona Village Downtown Development Authority </t>
  </si>
  <si>
    <t xml:space="preserve">Meadow Brook Medical Care Facility </t>
  </si>
  <si>
    <t>Milton Township</t>
  </si>
  <si>
    <t>Torch Lake Township</t>
  </si>
  <si>
    <t xml:space="preserve">Township Ambulance Authority </t>
  </si>
  <si>
    <t>Warner Township</t>
  </si>
  <si>
    <t>Adams Township</t>
  </si>
  <si>
    <t>Arenac County</t>
  </si>
  <si>
    <t>Arenac Township</t>
  </si>
  <si>
    <t xml:space="preserve">Arenac County Road Commission </t>
  </si>
  <si>
    <t xml:space="preserve">Arenac Heritage Route Authority </t>
  </si>
  <si>
    <t xml:space="preserve">Au Gres </t>
  </si>
  <si>
    <t>Au Gres Township</t>
  </si>
  <si>
    <t xml:space="preserve">Augres Sims Whitney Fire And Rescue Authority </t>
  </si>
  <si>
    <t>Deep River Township</t>
  </si>
  <si>
    <t>Mason Township</t>
  </si>
  <si>
    <t>Moffatt Township</t>
  </si>
  <si>
    <t xml:space="preserve">Omer </t>
  </si>
  <si>
    <t>Sims Township</t>
  </si>
  <si>
    <t xml:space="preserve">Sims-Whitney Utilities Auth </t>
  </si>
  <si>
    <t xml:space="preserve">Standish </t>
  </si>
  <si>
    <t>Standish Township</t>
  </si>
  <si>
    <t xml:space="preserve">Standish Area Fire Authority </t>
  </si>
  <si>
    <t>Sterling Village</t>
  </si>
  <si>
    <t>Turner Township</t>
  </si>
  <si>
    <t>Twining Village</t>
  </si>
  <si>
    <t xml:space="preserve">Twining-Mason-Turner Fire Department </t>
  </si>
  <si>
    <t>Whitney Township</t>
  </si>
  <si>
    <t>Arvon Township</t>
  </si>
  <si>
    <t>Baraga County</t>
  </si>
  <si>
    <t>Baraga Village</t>
  </si>
  <si>
    <t xml:space="preserve">Baraga Co Road Commission </t>
  </si>
  <si>
    <t xml:space="preserve">Baraga Vil/Keweenaw Bay Reservation Wastewater Aut </t>
  </si>
  <si>
    <t xml:space="preserve">Baraga Village Housing Commission </t>
  </si>
  <si>
    <t xml:space="preserve">Copper Country Community Mental Health Servs Bd </t>
  </si>
  <si>
    <t>Covington Township</t>
  </si>
  <si>
    <t xml:space="preserve">L Anse Village Housing Commission </t>
  </si>
  <si>
    <t>L'Anse Township</t>
  </si>
  <si>
    <t>L'Anse Village</t>
  </si>
  <si>
    <t>Spurr Township</t>
  </si>
  <si>
    <t>Assyria Township</t>
  </si>
  <si>
    <t>Baltimore Township</t>
  </si>
  <si>
    <t>Barry County</t>
  </si>
  <si>
    <t>Barry Township</t>
  </si>
  <si>
    <t xml:space="preserve">Barry Co Community Mental Health Authority </t>
  </si>
  <si>
    <t xml:space="preserve">Barry County Road Commission </t>
  </si>
  <si>
    <t xml:space="preserve">Barry County Transit </t>
  </si>
  <si>
    <t xml:space="preserve">Birch Rural Fire Department </t>
  </si>
  <si>
    <t>Carlton Township</t>
  </si>
  <si>
    <t>Castleton Township</t>
  </si>
  <si>
    <t xml:space="preserve">Castleton Maple Grove And Nashville Ems Dept </t>
  </si>
  <si>
    <t xml:space="preserve">Castleton Maple Grove And Nashville Fire Dept </t>
  </si>
  <si>
    <t xml:space="preserve">Delton District Library </t>
  </si>
  <si>
    <t xml:space="preserve">Delton Fire Department </t>
  </si>
  <si>
    <t>Freeport Village</t>
  </si>
  <si>
    <t xml:space="preserve">Freeport District Library </t>
  </si>
  <si>
    <t xml:space="preserve">Gun Lake Area Sewer &amp; Water Authority </t>
  </si>
  <si>
    <t xml:space="preserve">Hastings </t>
  </si>
  <si>
    <t>Hastings Charter Township</t>
  </si>
  <si>
    <t>Hope Township</t>
  </si>
  <si>
    <t>Irving Township</t>
  </si>
  <si>
    <t>Johnstown Township</t>
  </si>
  <si>
    <t>Maple Grove Township</t>
  </si>
  <si>
    <t>Middleville Village</t>
  </si>
  <si>
    <t xml:space="preserve">Middleville Village Housing Commission </t>
  </si>
  <si>
    <t>Nashville Village</t>
  </si>
  <si>
    <t>Orangeville Township</t>
  </si>
  <si>
    <t>Prairieville Township</t>
  </si>
  <si>
    <t xml:space="preserve">Putnam District Library </t>
  </si>
  <si>
    <t>Rutland Charter Township</t>
  </si>
  <si>
    <t xml:space="preserve">Southwest Barry Co Sewer &amp; Water Authority </t>
  </si>
  <si>
    <t>Thornapple Township</t>
  </si>
  <si>
    <t xml:space="preserve">Thornapple Manor </t>
  </si>
  <si>
    <t xml:space="preserve">Transfer/Recycling Bd-Castleton/Maplegrove/Nashvil </t>
  </si>
  <si>
    <t>Woodland Township</t>
  </si>
  <si>
    <t>Yankee Springs Township</t>
  </si>
  <si>
    <t xml:space="preserve">Municipality Type </t>
  </si>
  <si>
    <t xml:space="preserve">Auburn </t>
  </si>
  <si>
    <t xml:space="preserve">Auburn-Williams Fire Protection District </t>
  </si>
  <si>
    <t>Bangor Charter Township</t>
  </si>
  <si>
    <t xml:space="preserve">Bangor-Monitor Metropolitan District </t>
  </si>
  <si>
    <t>Bay County</t>
  </si>
  <si>
    <t xml:space="preserve">Bay Area Narcotics Enforcement Team-Bayanet </t>
  </si>
  <si>
    <t xml:space="preserve">Bay Area Storm Water Authority </t>
  </si>
  <si>
    <t xml:space="preserve">Bay City </t>
  </si>
  <si>
    <t xml:space="preserve">Bay City Housing Commission </t>
  </si>
  <si>
    <t xml:space="preserve">Bay County Department Of Water &amp; Sewer </t>
  </si>
  <si>
    <t xml:space="preserve">Bay County Employees' Retirement System </t>
  </si>
  <si>
    <t xml:space="preserve">Bay County Housing Commission </t>
  </si>
  <si>
    <t xml:space="preserve">Bay County Medical Care Facility </t>
  </si>
  <si>
    <t xml:space="preserve">Bay County Road Commission </t>
  </si>
  <si>
    <t xml:space="preserve">Bay Metropolitan Transportation Authority </t>
  </si>
  <si>
    <t xml:space="preserve">Bay-Arenac Behavioral Health </t>
  </si>
  <si>
    <t>Beaver Township</t>
  </si>
  <si>
    <t xml:space="preserve">Downtown Bay City Management Board </t>
  </si>
  <si>
    <t xml:space="preserve">Essexville </t>
  </si>
  <si>
    <t>Frankenlust Township</t>
  </si>
  <si>
    <t>Fraser Township</t>
  </si>
  <si>
    <t>Hampton Charter Township</t>
  </si>
  <si>
    <t>Kawkawlin Township</t>
  </si>
  <si>
    <t xml:space="preserve">Kawkawlin Metropolitan District </t>
  </si>
  <si>
    <t xml:space="preserve">Linwood Metropolitan District </t>
  </si>
  <si>
    <t>Merritt Township</t>
  </si>
  <si>
    <t>Monitor Charter Township</t>
  </si>
  <si>
    <t xml:space="preserve">Monitor Charter Township Dda </t>
  </si>
  <si>
    <t>Mt Forest Township</t>
  </si>
  <si>
    <t xml:space="preserve">Pinconning </t>
  </si>
  <si>
    <t>Pinconning Township</t>
  </si>
  <si>
    <t xml:space="preserve">Pinconning/Fraser Fire Department </t>
  </si>
  <si>
    <t>Portsmouth Charter Township</t>
  </si>
  <si>
    <t xml:space="preserve">Township Code Enforcement Department </t>
  </si>
  <si>
    <t>Williams Charter Township</t>
  </si>
  <si>
    <t>Almira Township</t>
  </si>
  <si>
    <t>Benzie County</t>
  </si>
  <si>
    <t xml:space="preserve">Benzie County Road Commission </t>
  </si>
  <si>
    <t xml:space="preserve">Benzie Leelanau District Health Department </t>
  </si>
  <si>
    <t xml:space="preserve">Benzie Shores District Library </t>
  </si>
  <si>
    <t xml:space="preserve">Benzie Transportation Authority </t>
  </si>
  <si>
    <t>Benzonia Township</t>
  </si>
  <si>
    <t>Benzonia Village</t>
  </si>
  <si>
    <t xml:space="preserve">Benzonia Public Library </t>
  </si>
  <si>
    <t xml:space="preserve">Betsie Lake Utilities Authority </t>
  </si>
  <si>
    <t>Beulah Village</t>
  </si>
  <si>
    <t>Blaine Township</t>
  </si>
  <si>
    <t>Crystal Lake Township</t>
  </si>
  <si>
    <t>Elberta Village</t>
  </si>
  <si>
    <t xml:space="preserve">Frankfort </t>
  </si>
  <si>
    <t xml:space="preserve">Frankfort City-County Airport Authority </t>
  </si>
  <si>
    <t>Homestead Township</t>
  </si>
  <si>
    <t>Honor Village</t>
  </si>
  <si>
    <t>Inland Township</t>
  </si>
  <si>
    <t>Joyfield Township</t>
  </si>
  <si>
    <t>Lake Township</t>
  </si>
  <si>
    <t>Lake Ann Village</t>
  </si>
  <si>
    <t xml:space="preserve">Maples, Benzie Co Medical Care Facility </t>
  </si>
  <si>
    <t>Platte Township</t>
  </si>
  <si>
    <t>Weldon Township</t>
  </si>
  <si>
    <t>Bainbridge Township</t>
  </si>
  <si>
    <t>Baroda Township</t>
  </si>
  <si>
    <t>Baroda Village</t>
  </si>
  <si>
    <t xml:space="preserve">Baroda Lake Police Department </t>
  </si>
  <si>
    <t>Benton Charter Township</t>
  </si>
  <si>
    <t xml:space="preserve">Benton Harbor </t>
  </si>
  <si>
    <t xml:space="preserve">Benton Harbor - St Joseph Joint Wastewater Treatment Plant </t>
  </si>
  <si>
    <t xml:space="preserve">Benton Harbor City Housing Commission </t>
  </si>
  <si>
    <t xml:space="preserve">Benton Harbor Public Library </t>
  </si>
  <si>
    <t xml:space="preserve">Benton Twp Housing Commission </t>
  </si>
  <si>
    <t>Berrien County</t>
  </si>
  <si>
    <t>Berrien Township</t>
  </si>
  <si>
    <t xml:space="preserve">Berrien County Brownfield Redevelopment Authority </t>
  </si>
  <si>
    <t xml:space="preserve">Berrien County Employees' Retirement System </t>
  </si>
  <si>
    <t xml:space="preserve">Berrien County Land Bank Fast Track Authority </t>
  </si>
  <si>
    <t xml:space="preserve">Berrien County Public Transportation </t>
  </si>
  <si>
    <t xml:space="preserve">Berrien County Road Commission </t>
  </si>
  <si>
    <t xml:space="preserve">Berrien Mental Health Authority </t>
  </si>
  <si>
    <t>Berrien Springs Village</t>
  </si>
  <si>
    <t xml:space="preserve">Berrien Springs Community Library </t>
  </si>
  <si>
    <t>Bertrand Township</t>
  </si>
  <si>
    <t xml:space="preserve">Bridgman </t>
  </si>
  <si>
    <t xml:space="preserve">Bridgman Public Library </t>
  </si>
  <si>
    <t xml:space="preserve">Buchanan </t>
  </si>
  <si>
    <t>Buchanan Township</t>
  </si>
  <si>
    <t xml:space="preserve">Buchanan City Dial-A-Ride </t>
  </si>
  <si>
    <t xml:space="preserve">Buchanan District Library </t>
  </si>
  <si>
    <t>Chikaming Township</t>
  </si>
  <si>
    <t xml:space="preserve">Coloma </t>
  </si>
  <si>
    <t>Coloma Charter Township</t>
  </si>
  <si>
    <t xml:space="preserve">Coloma City - Coloma Charter Twp Joint Cemetery </t>
  </si>
  <si>
    <t xml:space="preserve">Coloma Public Library </t>
  </si>
  <si>
    <t>Eau Claire Village</t>
  </si>
  <si>
    <t xml:space="preserve">Eau Claire District Library </t>
  </si>
  <si>
    <t>Galien Township</t>
  </si>
  <si>
    <t>Galien Village</t>
  </si>
  <si>
    <t>Grand Beach Village</t>
  </si>
  <si>
    <t xml:space="preserve">Grsd Sewer Authority </t>
  </si>
  <si>
    <t>Hagar Township</t>
  </si>
  <si>
    <t>Lake Charter Township</t>
  </si>
  <si>
    <t xml:space="preserve">Lake Mi Shoreline Water/Sewage Treatment Auth </t>
  </si>
  <si>
    <t xml:space="preserve">Lake Michigan College </t>
  </si>
  <si>
    <t>Lincoln Charter Township</t>
  </si>
  <si>
    <t xml:space="preserve">Lincoln Township Public Library </t>
  </si>
  <si>
    <t>Michiana Village</t>
  </si>
  <si>
    <t xml:space="preserve">New Buffalo </t>
  </si>
  <si>
    <t>New Buffalo Township</t>
  </si>
  <si>
    <t xml:space="preserve">New Buffalo Library Joint Building Authority </t>
  </si>
  <si>
    <t xml:space="preserve">New Buffalo Township Library </t>
  </si>
  <si>
    <t xml:space="preserve">Niles </t>
  </si>
  <si>
    <t>Niles Charter Township</t>
  </si>
  <si>
    <t xml:space="preserve">Niles District Library </t>
  </si>
  <si>
    <t xml:space="preserve">North Berrien Fire-Rescue Board </t>
  </si>
  <si>
    <t>Oronoko Charter Township</t>
  </si>
  <si>
    <t>Pipestone Township</t>
  </si>
  <si>
    <t>Royalton Township</t>
  </si>
  <si>
    <t xml:space="preserve">Se Berrien Co Landfill Auth </t>
  </si>
  <si>
    <t>Shoreham Village</t>
  </si>
  <si>
    <t>Sodus Township</t>
  </si>
  <si>
    <t xml:space="preserve">Southwest Mi Regional Sanitary Sewer &amp; Water Auth </t>
  </si>
  <si>
    <t xml:space="preserve">Southwest Michigan Regional Airport Authority </t>
  </si>
  <si>
    <t xml:space="preserve">Southwestern Michigan Community Ambulance Service </t>
  </si>
  <si>
    <t xml:space="preserve">St Joseph </t>
  </si>
  <si>
    <t>St Joseph Charter Township</t>
  </si>
  <si>
    <t xml:space="preserve">St Joseph City Housing Commission </t>
  </si>
  <si>
    <t>Stevensville Village</t>
  </si>
  <si>
    <t>Three Oaks Township</t>
  </si>
  <si>
    <t>Three Oaks Village</t>
  </si>
  <si>
    <t xml:space="preserve">Twin Cities Area Transportation Authority </t>
  </si>
  <si>
    <t xml:space="preserve">Watervliet </t>
  </si>
  <si>
    <t>Watervliet Charter Township</t>
  </si>
  <si>
    <t xml:space="preserve">Watervliet District Library </t>
  </si>
  <si>
    <t xml:space="preserve">Watervliet Joint Fire Board </t>
  </si>
  <si>
    <t>Weesaw Township</t>
  </si>
  <si>
    <t>Algansee Township</t>
  </si>
  <si>
    <t>Batavia Township</t>
  </si>
  <si>
    <t>Branch County</t>
  </si>
  <si>
    <t xml:space="preserve">Branch Area Transit Authority </t>
  </si>
  <si>
    <t xml:space="preserve">Branch County Community Mental Health Authority </t>
  </si>
  <si>
    <t xml:space="preserve">Branch County Conservation District </t>
  </si>
  <si>
    <t xml:space="preserve">Branch County Road Commission </t>
  </si>
  <si>
    <t xml:space="preserve">Branch District Library </t>
  </si>
  <si>
    <t xml:space="preserve">Branch-Hillsdale-St Joseph Community Health Agency </t>
  </si>
  <si>
    <t xml:space="preserve">Bronson </t>
  </si>
  <si>
    <t xml:space="preserve">Bronson City Housing Commission </t>
  </si>
  <si>
    <t>Butler Township</t>
  </si>
  <si>
    <t xml:space="preserve">Coldwater </t>
  </si>
  <si>
    <t>Coldwater Township</t>
  </si>
  <si>
    <t xml:space="preserve">Coldwater City Housing Commission </t>
  </si>
  <si>
    <t>Gilead Township</t>
  </si>
  <si>
    <t>Girard Township</t>
  </si>
  <si>
    <t>Kinderhook Township</t>
  </si>
  <si>
    <t>Matteson Township</t>
  </si>
  <si>
    <t>Noble Township</t>
  </si>
  <si>
    <t>Ovid Township</t>
  </si>
  <si>
    <t>Quincy Township</t>
  </si>
  <si>
    <t>Quincy Village</t>
  </si>
  <si>
    <t xml:space="preserve">Quincy Fire Association </t>
  </si>
  <si>
    <t>Sherwood Village</t>
  </si>
  <si>
    <t>Union Township</t>
  </si>
  <si>
    <t>Union City Village</t>
  </si>
  <si>
    <t xml:space="preserve">Albion </t>
  </si>
  <si>
    <t>Albion Township</t>
  </si>
  <si>
    <t xml:space="preserve">Albion City Housing Commission </t>
  </si>
  <si>
    <t xml:space="preserve">Albion District Library </t>
  </si>
  <si>
    <t>Athens Township</t>
  </si>
  <si>
    <t>Athens Village</t>
  </si>
  <si>
    <t xml:space="preserve">Battle Creek </t>
  </si>
  <si>
    <t xml:space="preserve">Battle Creek Area Transportation Study </t>
  </si>
  <si>
    <t xml:space="preserve">Battle Creek City Brownfield Redevelopment Authori </t>
  </si>
  <si>
    <t xml:space="preserve">Battle Creek City Direct Investment Funds </t>
  </si>
  <si>
    <t xml:space="preserve">Battle Creek City Downtown Development Authority </t>
  </si>
  <si>
    <t xml:space="preserve">Battle Creek City Housing Commission </t>
  </si>
  <si>
    <t xml:space="preserve">Battle Creek City Local Development Finance Author </t>
  </si>
  <si>
    <t xml:space="preserve">Battle Creek City Police &amp; Fire Retirement System </t>
  </si>
  <si>
    <t xml:space="preserve">Battle Creek City Tax Increment Finance Authority </t>
  </si>
  <si>
    <t xml:space="preserve">Battle Creek Transit Sytem </t>
  </si>
  <si>
    <t>Bedford Charter Township</t>
  </si>
  <si>
    <t>Burlington Township</t>
  </si>
  <si>
    <t>Calhoun County</t>
  </si>
  <si>
    <t xml:space="preserve">Calhoun Co 100% Delinquent Tax Revolving Fund </t>
  </si>
  <si>
    <t xml:space="preserve">Calhoun Co Medical Care Facility </t>
  </si>
  <si>
    <t xml:space="preserve">Calhoun County Consolidated Dispatch Authority </t>
  </si>
  <si>
    <t xml:space="preserve">Calhoun County Land Bank Authority </t>
  </si>
  <si>
    <t>Clarence Township</t>
  </si>
  <si>
    <t>Convis Township</t>
  </si>
  <si>
    <t>Eckford Township</t>
  </si>
  <si>
    <t>Emmett Charter Township</t>
  </si>
  <si>
    <t xml:space="preserve">Firekeepers Local Revenue Sharing Board </t>
  </si>
  <si>
    <t xml:space="preserve">Kellogg Arena Fund City Of Battle Creek </t>
  </si>
  <si>
    <t xml:space="preserve">Kellogg Community College </t>
  </si>
  <si>
    <t xml:space="preserve">Lakeview Downtown Development Authority </t>
  </si>
  <si>
    <t>Leroy Township</t>
  </si>
  <si>
    <t>Marengo Township</t>
  </si>
  <si>
    <t xml:space="preserve">Marshall </t>
  </si>
  <si>
    <t>Marshall Township</t>
  </si>
  <si>
    <t xml:space="preserve">Marshall Area Fire Fighters Ambulance Authority </t>
  </si>
  <si>
    <t xml:space="preserve">Marshall District Library </t>
  </si>
  <si>
    <t>Newton Township</t>
  </si>
  <si>
    <t>Pennfield Charter Township</t>
  </si>
  <si>
    <t>Sheridan Township</t>
  </si>
  <si>
    <t xml:space="preserve">South Central Mi Construction Code Inspection Inc </t>
  </si>
  <si>
    <t xml:space="preserve">Springfield </t>
  </si>
  <si>
    <t xml:space="preserve">Summit Pointe Community Mental Health Authority </t>
  </si>
  <si>
    <t>Tekonsha Township</t>
  </si>
  <si>
    <t>Tekonsha Village</t>
  </si>
  <si>
    <t xml:space="preserve">Willard Public Library </t>
  </si>
  <si>
    <t xml:space="preserve">Woodlands Library Cooperative </t>
  </si>
  <si>
    <t>Calvin Township</t>
  </si>
  <si>
    <t>Cass County</t>
  </si>
  <si>
    <t xml:space="preserve">Cass County Medical Care Facility </t>
  </si>
  <si>
    <t xml:space="preserve">Cass County Road Commission </t>
  </si>
  <si>
    <t xml:space="preserve">Cass County Transportation Authority </t>
  </si>
  <si>
    <t xml:space="preserve">Cass District Library </t>
  </si>
  <si>
    <t>Cassopolis Village</t>
  </si>
  <si>
    <t xml:space="preserve">Cassopolis Area Utilities Auth </t>
  </si>
  <si>
    <t xml:space="preserve">Central Cass Interlocal Fire Department </t>
  </si>
  <si>
    <t xml:space="preserve">Dowagiac </t>
  </si>
  <si>
    <t xml:space="preserve">Dowagiac City Housing Commission </t>
  </si>
  <si>
    <t xml:space="preserve">Dowagiac District Library </t>
  </si>
  <si>
    <t>Edwardsburg Village</t>
  </si>
  <si>
    <t xml:space="preserve">Edwardsburg Ambulance Service </t>
  </si>
  <si>
    <t xml:space="preserve">Edwardsburg Joint Fire Board </t>
  </si>
  <si>
    <t>Howard Township</t>
  </si>
  <si>
    <t>Lagrange Township</t>
  </si>
  <si>
    <t>Marcellus Township</t>
  </si>
  <si>
    <t>Marcellus Village</t>
  </si>
  <si>
    <t xml:space="preserve">Marcellus Area Emergency Services </t>
  </si>
  <si>
    <t>Newberg Township</t>
  </si>
  <si>
    <t>Ontwa Township</t>
  </si>
  <si>
    <t xml:space="preserve">Ontwa Twp-Edwardsburg Police Department </t>
  </si>
  <si>
    <t>Pokagon Township</t>
  </si>
  <si>
    <t>Porter Township</t>
  </si>
  <si>
    <t>Silver Creek Township</t>
  </si>
  <si>
    <t xml:space="preserve">Sister Lakes Area Utilities Authority </t>
  </si>
  <si>
    <t xml:space="preserve">Southeast Public Safety Authority </t>
  </si>
  <si>
    <t xml:space="preserve">Southwestern Michigan College </t>
  </si>
  <si>
    <t>Vandalia Village</t>
  </si>
  <si>
    <t>Volinia Township</t>
  </si>
  <si>
    <t xml:space="preserve">Woodlands Behavioral Healthcare Network </t>
  </si>
  <si>
    <t>Bay Township</t>
  </si>
  <si>
    <t xml:space="preserve">Beaver Island District Library </t>
  </si>
  <si>
    <t xml:space="preserve">Beaver Island Transportation Authority </t>
  </si>
  <si>
    <t xml:space="preserve">Boyne City </t>
  </si>
  <si>
    <t xml:space="preserve">Boyne City Housing Commission </t>
  </si>
  <si>
    <t xml:space="preserve">Boyne District Library </t>
  </si>
  <si>
    <t>Boyne Valley Township</t>
  </si>
  <si>
    <t>Chandler Township</t>
  </si>
  <si>
    <t xml:space="preserve">Charlevoix </t>
  </si>
  <si>
    <t>Charlevoix County</t>
  </si>
  <si>
    <t>Charlevoix Township</t>
  </si>
  <si>
    <t xml:space="preserve">Charlevoix City Housing Commission </t>
  </si>
  <si>
    <t xml:space="preserve">Charlevoix Co Road Commission </t>
  </si>
  <si>
    <t xml:space="preserve">Charlevoix County Public Transit </t>
  </si>
  <si>
    <t xml:space="preserve">Charlevoix Public Library </t>
  </si>
  <si>
    <t xml:space="preserve">Charlevoix Township Hospital Finance Authority </t>
  </si>
  <si>
    <t xml:space="preserve">East Jordan </t>
  </si>
  <si>
    <t xml:space="preserve">East Jordan City Downtown Development Authority </t>
  </si>
  <si>
    <t xml:space="preserve">East Jordan City Housing Commission </t>
  </si>
  <si>
    <t>Eveline Township</t>
  </si>
  <si>
    <t xml:space="preserve">Grandvue Medical Care Facility </t>
  </si>
  <si>
    <t>Hayes Township</t>
  </si>
  <si>
    <t>Hudson Township</t>
  </si>
  <si>
    <t xml:space="preserve">Jordan Valley District Library </t>
  </si>
  <si>
    <t xml:space="preserve">Jordan Valley Emergency Medical Services Authority </t>
  </si>
  <si>
    <t xml:space="preserve">Northwest Michigan Community Health Agency </t>
  </si>
  <si>
    <t>Norwood Township</t>
  </si>
  <si>
    <t>Peaine Township</t>
  </si>
  <si>
    <t>South Arm Township</t>
  </si>
  <si>
    <t>St James Township</t>
  </si>
  <si>
    <t>Wilson Township</t>
  </si>
  <si>
    <t>Aloha Township</t>
  </si>
  <si>
    <t>Beaugrand Township</t>
  </si>
  <si>
    <t xml:space="preserve">Cheboygan </t>
  </si>
  <si>
    <t>Cheboygan County</t>
  </si>
  <si>
    <t xml:space="preserve">Cheboygan Area Public Library </t>
  </si>
  <si>
    <t xml:space="preserve">Cheboygan City Housing Commission </t>
  </si>
  <si>
    <t xml:space="preserve">Cheboygan County Road Commission </t>
  </si>
  <si>
    <t>Ellis Township</t>
  </si>
  <si>
    <t xml:space="preserve">Forest-Waverly Township Fire Department </t>
  </si>
  <si>
    <t>Grant Township</t>
  </si>
  <si>
    <t>Hebron Township</t>
  </si>
  <si>
    <t>Inverness Township</t>
  </si>
  <si>
    <t>Mackinaw City Village</t>
  </si>
  <si>
    <t>Mentor Township</t>
  </si>
  <si>
    <t>Mullett Township</t>
  </si>
  <si>
    <t>Munro Township</t>
  </si>
  <si>
    <t>Nunda Township</t>
  </si>
  <si>
    <t xml:space="preserve">Straits Regional Ride </t>
  </si>
  <si>
    <t>Tuscarora Township</t>
  </si>
  <si>
    <t>Walker Township</t>
  </si>
  <si>
    <t>Waverly Township</t>
  </si>
  <si>
    <t>Wilmot Township</t>
  </si>
  <si>
    <t>Wolverine Village</t>
  </si>
  <si>
    <t xml:space="preserve">Wolverine Joint Fire Board </t>
  </si>
  <si>
    <t>Chippewa County</t>
  </si>
  <si>
    <t>Chippewa Township</t>
  </si>
  <si>
    <t xml:space="preserve">Chippewa Co Road Commission </t>
  </si>
  <si>
    <t xml:space="preserve">Chippewa County Edc </t>
  </si>
  <si>
    <t xml:space="preserve">Chippewa County Health Department </t>
  </si>
  <si>
    <t>Dafter Township</t>
  </si>
  <si>
    <t>Detour Township</t>
  </si>
  <si>
    <t>Detour Village Village</t>
  </si>
  <si>
    <t xml:space="preserve">Eastern Up Employment &amp; Training Consortium </t>
  </si>
  <si>
    <t xml:space="preserve">Eastern Up Regional Planning/Development Comm </t>
  </si>
  <si>
    <t xml:space="preserve">Eastern Upper Peninsula Transportation Authority </t>
  </si>
  <si>
    <t>Kinross Charter Township</t>
  </si>
  <si>
    <t>Pickford Township</t>
  </si>
  <si>
    <t>Raber Township</t>
  </si>
  <si>
    <t xml:space="preserve">Sault Ste Marie </t>
  </si>
  <si>
    <t xml:space="preserve">Sault Ste Marie City Edc </t>
  </si>
  <si>
    <t xml:space="preserve">Sault Ste Marie City Housing Commission </t>
  </si>
  <si>
    <t>Soo Township</t>
  </si>
  <si>
    <t xml:space="preserve">Superior District Library </t>
  </si>
  <si>
    <t>Whitefish Township</t>
  </si>
  <si>
    <t>Arthur Township</t>
  </si>
  <si>
    <t xml:space="preserve">Clare </t>
  </si>
  <si>
    <t>Clare County</t>
  </si>
  <si>
    <t xml:space="preserve">Clare County Road Commission </t>
  </si>
  <si>
    <t xml:space="preserve">Clare County Transit Corporation </t>
  </si>
  <si>
    <t>Farwell Village</t>
  </si>
  <si>
    <t xml:space="preserve">Farwell Village Ldfa </t>
  </si>
  <si>
    <t>Franklin Township</t>
  </si>
  <si>
    <t>Freeman Township</t>
  </si>
  <si>
    <t>Frost Township</t>
  </si>
  <si>
    <t>Garfield Township</t>
  </si>
  <si>
    <t>Greenwood Township</t>
  </si>
  <si>
    <t xml:space="preserve">Harrison </t>
  </si>
  <si>
    <t xml:space="preserve">Harrison City Downtown Development Authority </t>
  </si>
  <si>
    <t xml:space="preserve">Harrison District Library </t>
  </si>
  <si>
    <t>Hatton Township</t>
  </si>
  <si>
    <t>Lincoln Township</t>
  </si>
  <si>
    <t xml:space="preserve">Mi Works!--Region 7B Consortium </t>
  </si>
  <si>
    <t xml:space="preserve">Pere Marquette District Library </t>
  </si>
  <si>
    <t>Redding Township</t>
  </si>
  <si>
    <t>Summerfield Township</t>
  </si>
  <si>
    <t>Surrey Township</t>
  </si>
  <si>
    <t>Winterfield Township</t>
  </si>
  <si>
    <t>Bath Charter Township</t>
  </si>
  <si>
    <t xml:space="preserve">Bath Charter Township Housing Commission </t>
  </si>
  <si>
    <t>Bengal Township</t>
  </si>
  <si>
    <t>Bingham Township</t>
  </si>
  <si>
    <t xml:space="preserve">Briggs District Library </t>
  </si>
  <si>
    <t>Clinton County</t>
  </si>
  <si>
    <t xml:space="preserve">Clinton Area Ambulance Service Authority </t>
  </si>
  <si>
    <t xml:space="preserve">Clinton Area Fire And Rescue </t>
  </si>
  <si>
    <t xml:space="preserve">Clinton Area Transit System </t>
  </si>
  <si>
    <t xml:space="preserve">Clinton Conservation District </t>
  </si>
  <si>
    <t xml:space="preserve">Clinton County Road Commission </t>
  </si>
  <si>
    <t>Dallas Township</t>
  </si>
  <si>
    <t xml:space="preserve">Dewitt </t>
  </si>
  <si>
    <t xml:space="preserve">Dewitt Area Emergency Services Authority </t>
  </si>
  <si>
    <t xml:space="preserve">Dewitt Area Recreation Authority </t>
  </si>
  <si>
    <t>Dewitt Charter Township</t>
  </si>
  <si>
    <t xml:space="preserve">Dewitt City Downtown Development Authority </t>
  </si>
  <si>
    <t xml:space="preserve">Dewitt Public Library </t>
  </si>
  <si>
    <t>Duplain Township</t>
  </si>
  <si>
    <t>Eagle Township</t>
  </si>
  <si>
    <t>Elsie Village</t>
  </si>
  <si>
    <t xml:space="preserve">Elsie Area Fire Association </t>
  </si>
  <si>
    <t xml:space="preserve">Elsie Public Library </t>
  </si>
  <si>
    <t>Essex Township</t>
  </si>
  <si>
    <t>Greenbush Township</t>
  </si>
  <si>
    <t>Lebanon Township</t>
  </si>
  <si>
    <t xml:space="preserve">Looking Glass Regional Fire Authority </t>
  </si>
  <si>
    <t>Maple Rapids Village</t>
  </si>
  <si>
    <t xml:space="preserve">Ovid </t>
  </si>
  <si>
    <t xml:space="preserve">Ovid Public Library </t>
  </si>
  <si>
    <t xml:space="preserve">Ovid-Middlebury Emergency Services Authority </t>
  </si>
  <si>
    <t xml:space="preserve">Southern Clinton Co Municipal Utilities Authority </t>
  </si>
  <si>
    <t xml:space="preserve">St Johns </t>
  </si>
  <si>
    <t>Victor Township</t>
  </si>
  <si>
    <t>Watertown Charter Township</t>
  </si>
  <si>
    <t>Westphalia Township</t>
  </si>
  <si>
    <t>Westphalia Village</t>
  </si>
  <si>
    <t>Beaver Creek Township</t>
  </si>
  <si>
    <t>Crawford County</t>
  </si>
  <si>
    <t xml:space="preserve">Crawford Co Road Commission </t>
  </si>
  <si>
    <t xml:space="preserve">Crawford County Transportation Authority </t>
  </si>
  <si>
    <t>Frederic Township</t>
  </si>
  <si>
    <t xml:space="preserve">Grayling </t>
  </si>
  <si>
    <t>Grayling Township</t>
  </si>
  <si>
    <t xml:space="preserve">Grayling City Housing Commission </t>
  </si>
  <si>
    <t xml:space="preserve">Grayling Recreation Authority </t>
  </si>
  <si>
    <t>Lovells Township</t>
  </si>
  <si>
    <t>Maple Forest Township</t>
  </si>
  <si>
    <t>South Branch Township</t>
  </si>
  <si>
    <t>Baldwin Township</t>
  </si>
  <si>
    <t>Bay De Noc Township</t>
  </si>
  <si>
    <t xml:space="preserve">Bay De Noc Community College </t>
  </si>
  <si>
    <t>Brampton Township</t>
  </si>
  <si>
    <t>Cornell Township</t>
  </si>
  <si>
    <t>Delta County</t>
  </si>
  <si>
    <t xml:space="preserve">Delta Area Transit Authority </t>
  </si>
  <si>
    <t xml:space="preserve">Delta County Central Dispatch Authority </t>
  </si>
  <si>
    <t xml:space="preserve">Delta County Road Commission </t>
  </si>
  <si>
    <t xml:space="preserve">Delta Solid Waste Management Authority </t>
  </si>
  <si>
    <t xml:space="preserve">Escanaba </t>
  </si>
  <si>
    <t xml:space="preserve">Escanaba City Housing Commission </t>
  </si>
  <si>
    <t>Fairbanks Township</t>
  </si>
  <si>
    <t>Ford River Township</t>
  </si>
  <si>
    <t xml:space="preserve">Ford River Twp Water Supply System </t>
  </si>
  <si>
    <t>Garden Township</t>
  </si>
  <si>
    <t xml:space="preserve">Gladstone </t>
  </si>
  <si>
    <t xml:space="preserve">Gladstone City Housing Commission </t>
  </si>
  <si>
    <t>Masonville Township</t>
  </si>
  <si>
    <t>Nahma Township</t>
  </si>
  <si>
    <t xml:space="preserve">Nahma Twp Water Supply System </t>
  </si>
  <si>
    <t xml:space="preserve">Public Health, Delta And Menominee County </t>
  </si>
  <si>
    <t xml:space="preserve">Rapid River Housing Commission </t>
  </si>
  <si>
    <t xml:space="preserve">Up State Fair Authority </t>
  </si>
  <si>
    <t xml:space="preserve">Upper Peninsula 911 Authority </t>
  </si>
  <si>
    <t xml:space="preserve">Upward Talent Council </t>
  </si>
  <si>
    <t>Wells Township</t>
  </si>
  <si>
    <t>Breen Township</t>
  </si>
  <si>
    <t>Breitung Charter Township</t>
  </si>
  <si>
    <t xml:space="preserve">Central Landfill Authority </t>
  </si>
  <si>
    <t>Dickinson County</t>
  </si>
  <si>
    <t xml:space="preserve">Dickinson Co Solid Waste Mgmt Authority </t>
  </si>
  <si>
    <t xml:space="preserve">Dickinson County Healthcare System </t>
  </si>
  <si>
    <t xml:space="preserve">Dickinson County Healthcare System Retirement Plan </t>
  </si>
  <si>
    <t xml:space="preserve">Dickinson County Road Commission </t>
  </si>
  <si>
    <t>Felch Township</t>
  </si>
  <si>
    <t xml:space="preserve">Iron Mountain </t>
  </si>
  <si>
    <t xml:space="preserve">Iron Mountain City Housing Commission </t>
  </si>
  <si>
    <t xml:space="preserve">Iron Mountain-Kingsford Joint Sewage Authority </t>
  </si>
  <si>
    <t xml:space="preserve">Kingsford </t>
  </si>
  <si>
    <t xml:space="preserve">Kingsford City Housing Commission </t>
  </si>
  <si>
    <t xml:space="preserve">Northpointe Behavioral Healthcare Systems </t>
  </si>
  <si>
    <t xml:space="preserve">Norway </t>
  </si>
  <si>
    <t>Norway Township</t>
  </si>
  <si>
    <t>Sagola Township</t>
  </si>
  <si>
    <t xml:space="preserve">Bellevue Community Fire Control Board </t>
  </si>
  <si>
    <t>Benton Township</t>
  </si>
  <si>
    <t>Brookfield Township</t>
  </si>
  <si>
    <t>Carmel Township</t>
  </si>
  <si>
    <t xml:space="preserve">Charlotte </t>
  </si>
  <si>
    <t xml:space="preserve">Charlotte Community Library </t>
  </si>
  <si>
    <t>Chester Township</t>
  </si>
  <si>
    <t>Delta Charter Township Township</t>
  </si>
  <si>
    <t xml:space="preserve">Delta Twp District Library </t>
  </si>
  <si>
    <t>Dimondale Village</t>
  </si>
  <si>
    <t xml:space="preserve">Dorothy Hull Library Of Windsor Twp </t>
  </si>
  <si>
    <t>Eaton County</t>
  </si>
  <si>
    <t>Eaton Township</t>
  </si>
  <si>
    <t xml:space="preserve">Eaton County Health &amp; Rehabiliation Services </t>
  </si>
  <si>
    <t xml:space="preserve">Eaton County Road Commission </t>
  </si>
  <si>
    <t xml:space="preserve">Eaton County Transportation Authority </t>
  </si>
  <si>
    <t xml:space="preserve">Eaton Rapids </t>
  </si>
  <si>
    <t>Eaton Rapids Township</t>
  </si>
  <si>
    <t xml:space="preserve">Grand Ledge </t>
  </si>
  <si>
    <t xml:space="preserve">Grand Ledge Area District Library </t>
  </si>
  <si>
    <t xml:space="preserve">Grand Ledge Area Emergency Services Authority </t>
  </si>
  <si>
    <t>Hamlin Township</t>
  </si>
  <si>
    <t>Kalamo Township</t>
  </si>
  <si>
    <t>Mulliken Village</t>
  </si>
  <si>
    <t xml:space="preserve">Mulliken District Library </t>
  </si>
  <si>
    <t xml:space="preserve">Municipal Employees Retirement System </t>
  </si>
  <si>
    <t>Oneida Charter Township</t>
  </si>
  <si>
    <t xml:space="preserve">Potterville </t>
  </si>
  <si>
    <t xml:space="preserve">Potterville Benton Township District Library </t>
  </si>
  <si>
    <t xml:space="preserve">Potterville City Tax Increment Finance Authority </t>
  </si>
  <si>
    <t>Roxand Township</t>
  </si>
  <si>
    <t>Sunfield Village</t>
  </si>
  <si>
    <t xml:space="preserve">Sunfield Sebewa &amp; Danby Fire Association District </t>
  </si>
  <si>
    <t>Vermontville Township</t>
  </si>
  <si>
    <t>Vermontville Village</t>
  </si>
  <si>
    <t>Walton Township</t>
  </si>
  <si>
    <t>Windsor Charter Township</t>
  </si>
  <si>
    <t>Alanson Village</t>
  </si>
  <si>
    <t xml:space="preserve">Alanson Area Public Library </t>
  </si>
  <si>
    <t xml:space="preserve">Bay Bluffs-Emmet Co Medical Care Facility </t>
  </si>
  <si>
    <t>Bear Creek Township</t>
  </si>
  <si>
    <t>Bliss Township</t>
  </si>
  <si>
    <t>Carp Lake Township</t>
  </si>
  <si>
    <t>Center Township</t>
  </si>
  <si>
    <t>Cross Village Township</t>
  </si>
  <si>
    <t>Emmet County</t>
  </si>
  <si>
    <t xml:space="preserve">Emmet County Road Commission </t>
  </si>
  <si>
    <t>Friendship Township</t>
  </si>
  <si>
    <t xml:space="preserve">Greenwood Cemetery </t>
  </si>
  <si>
    <t xml:space="preserve">Harbor Springs </t>
  </si>
  <si>
    <t xml:space="preserve">Harbor Springs Area Fire Authority </t>
  </si>
  <si>
    <t xml:space="preserve">Harbor Springs Area Sewage Disposal Authority </t>
  </si>
  <si>
    <t xml:space="preserve">Harbor-Petoskey Area Airport Auth </t>
  </si>
  <si>
    <t xml:space="preserve">Lakeview Cemetery Board </t>
  </si>
  <si>
    <t>Little Traverse Township</t>
  </si>
  <si>
    <t>Littlefield Township</t>
  </si>
  <si>
    <t xml:space="preserve">Mackinaw Area Public Library </t>
  </si>
  <si>
    <t>Mckinley Township</t>
  </si>
  <si>
    <t xml:space="preserve">North Central Michigan College District </t>
  </si>
  <si>
    <t xml:space="preserve">North Country Community Mental Health </t>
  </si>
  <si>
    <t xml:space="preserve">Northern Michigan Regional Entity </t>
  </si>
  <si>
    <t xml:space="preserve">Paradise Lake Improvement Board </t>
  </si>
  <si>
    <t>Pellston Village</t>
  </si>
  <si>
    <t xml:space="preserve">Petoskey </t>
  </si>
  <si>
    <t>Pleasantview Township</t>
  </si>
  <si>
    <t>Readmond Township</t>
  </si>
  <si>
    <t>Resort Township</t>
  </si>
  <si>
    <t>Springvale Township</t>
  </si>
  <si>
    <t xml:space="preserve">Springvale-Bear Creek Sewage Disposal Authority </t>
  </si>
  <si>
    <t>Argentine Township</t>
  </si>
  <si>
    <t>Atlas Township</t>
  </si>
  <si>
    <t xml:space="preserve">Beecher Metropolitan District </t>
  </si>
  <si>
    <t xml:space="preserve">Bishop International Airport Authority </t>
  </si>
  <si>
    <t xml:space="preserve">Burton </t>
  </si>
  <si>
    <t>Clayton Charter Township</t>
  </si>
  <si>
    <t xml:space="preserve">Clio </t>
  </si>
  <si>
    <t xml:space="preserve">Clio Area Fire Authority </t>
  </si>
  <si>
    <t xml:space="preserve">Clio Area Library </t>
  </si>
  <si>
    <t xml:space="preserve">Davison </t>
  </si>
  <si>
    <t>Davison Township</t>
  </si>
  <si>
    <t xml:space="preserve">Davison Richfield Area Fire Authority </t>
  </si>
  <si>
    <t xml:space="preserve">Davison Richfield Senior Citizens Authority </t>
  </si>
  <si>
    <t xml:space="preserve">Fenton </t>
  </si>
  <si>
    <t>Fenton Charter Township</t>
  </si>
  <si>
    <t xml:space="preserve">Flint </t>
  </si>
  <si>
    <t xml:space="preserve">Flint Area Enterprise Community </t>
  </si>
  <si>
    <t>Flint Charter Township</t>
  </si>
  <si>
    <t xml:space="preserve">Flint City Downtown Development Authority </t>
  </si>
  <si>
    <t xml:space="preserve">Flint City Edc </t>
  </si>
  <si>
    <t xml:space="preserve">Flint Public Library </t>
  </si>
  <si>
    <t xml:space="preserve">Flushing </t>
  </si>
  <si>
    <t>Flushing Charter Township</t>
  </si>
  <si>
    <t>Forest Township</t>
  </si>
  <si>
    <t>Gaines Township</t>
  </si>
  <si>
    <t>Genesee County</t>
  </si>
  <si>
    <t>Genesee Charter Township</t>
  </si>
  <si>
    <t xml:space="preserve">Genesee County 9-1-1 Consortium Commission </t>
  </si>
  <si>
    <t xml:space="preserve">Genesee County Community Action Resource Department </t>
  </si>
  <si>
    <t xml:space="preserve">Genesee County Employees Retirement System </t>
  </si>
  <si>
    <t xml:space="preserve">Genesee County Land Bank Authority </t>
  </si>
  <si>
    <t xml:space="preserve">Genesee County Metropolitan Planning Commission </t>
  </si>
  <si>
    <t xml:space="preserve">Genesee County Road Commission </t>
  </si>
  <si>
    <t xml:space="preserve">Genesee County Storm Water Management System </t>
  </si>
  <si>
    <t xml:space="preserve">Genesee District Library </t>
  </si>
  <si>
    <t xml:space="preserve">Genesee Health System </t>
  </si>
  <si>
    <t xml:space="preserve">Genesee/Water &amp; Waste Services </t>
  </si>
  <si>
    <t>Goodrich Village</t>
  </si>
  <si>
    <t xml:space="preserve">Grand Blanc </t>
  </si>
  <si>
    <t>Grand Blanc Charter Township</t>
  </si>
  <si>
    <t xml:space="preserve">Grand Blanc District Library Commission </t>
  </si>
  <si>
    <t xml:space="preserve">Grand Blanc Fire Commission </t>
  </si>
  <si>
    <t xml:space="preserve">Karegnondi Water Authority </t>
  </si>
  <si>
    <t xml:space="preserve">Linden </t>
  </si>
  <si>
    <t xml:space="preserve">Mass Transportation Authority </t>
  </si>
  <si>
    <t xml:space="preserve">Mideastern Michigan Library Cooperative </t>
  </si>
  <si>
    <t xml:space="preserve">Montrose </t>
  </si>
  <si>
    <t>Montrose Charter Township</t>
  </si>
  <si>
    <t xml:space="preserve">Mott Community College </t>
  </si>
  <si>
    <t>Mount Morris Charter Township Township</t>
  </si>
  <si>
    <t xml:space="preserve">Mt Morris </t>
  </si>
  <si>
    <t>Mundy Charter Township</t>
  </si>
  <si>
    <t>Otisville Village</t>
  </si>
  <si>
    <t>Richfield Township</t>
  </si>
  <si>
    <t xml:space="preserve">Southern Lakes Regional Metro Park &amp; Rec Commissio </t>
  </si>
  <si>
    <t xml:space="preserve">Swartz Creek </t>
  </si>
  <si>
    <t xml:space="preserve">Swartz Creek Area Fire Board </t>
  </si>
  <si>
    <t>Thetford Township</t>
  </si>
  <si>
    <t>Vienna Charter Township Township</t>
  </si>
  <si>
    <t>Beaverton Township</t>
  </si>
  <si>
    <t xml:space="preserve">Beaverton Area Fire Protection District </t>
  </si>
  <si>
    <t>Bentley Township</t>
  </si>
  <si>
    <t>Billings Township</t>
  </si>
  <si>
    <t>Buckeye Township</t>
  </si>
  <si>
    <t>Butman Township</t>
  </si>
  <si>
    <t xml:space="preserve">Council On Aging From Clare And Gladwin Counties </t>
  </si>
  <si>
    <t xml:space="preserve">Gladwin </t>
  </si>
  <si>
    <t>Gladwin County</t>
  </si>
  <si>
    <t>Gladwin Township</t>
  </si>
  <si>
    <t xml:space="preserve">Gladwin City Housing Commission </t>
  </si>
  <si>
    <t xml:space="preserve">Gladwin City-County Transit </t>
  </si>
  <si>
    <t xml:space="preserve">Gladwin Co Road Commission </t>
  </si>
  <si>
    <t xml:space="preserve">Gladwin County District Library </t>
  </si>
  <si>
    <t xml:space="preserve">Gladwin Housing Dev Corp Section 8 Housing Program </t>
  </si>
  <si>
    <t xml:space="preserve">Gladwin Rural Urban Fire Protection District </t>
  </si>
  <si>
    <t>Grim Township</t>
  </si>
  <si>
    <t>Grout Township</t>
  </si>
  <si>
    <t>Hay Township</t>
  </si>
  <si>
    <t>Sage Township</t>
  </si>
  <si>
    <t>Secord Township</t>
  </si>
  <si>
    <t>Sherman Township</t>
  </si>
  <si>
    <t>Tobacco Township</t>
  </si>
  <si>
    <t xml:space="preserve">Bessemer </t>
  </si>
  <si>
    <t>Bessemer Township</t>
  </si>
  <si>
    <t xml:space="preserve">Bessemer Area Sewer Auth </t>
  </si>
  <si>
    <t xml:space="preserve">Bessemer City Housing Commission </t>
  </si>
  <si>
    <t xml:space="preserve">Community Mental Health Authority (Gogebic Co) </t>
  </si>
  <si>
    <t>Gogebic County</t>
  </si>
  <si>
    <t xml:space="preserve">Gogebic Community College </t>
  </si>
  <si>
    <t xml:space="preserve">Gogebic County Transit </t>
  </si>
  <si>
    <t xml:space="preserve">Gogebic Medical Care Facility </t>
  </si>
  <si>
    <t xml:space="preserve">Gogebic Range Solid Waste Mgmt Auth </t>
  </si>
  <si>
    <t xml:space="preserve">Gogebic Range Water Authority </t>
  </si>
  <si>
    <t xml:space="preserve">Gogebic-Iron Wastewater Authority </t>
  </si>
  <si>
    <t xml:space="preserve">Ironwood </t>
  </si>
  <si>
    <t xml:space="preserve">Ironwood City Housing Commission </t>
  </si>
  <si>
    <t>Marenisco Township</t>
  </si>
  <si>
    <t xml:space="preserve">Powderhorn Area Utility District </t>
  </si>
  <si>
    <t xml:space="preserve">Section 32 Sewer Authority </t>
  </si>
  <si>
    <t xml:space="preserve">Wakefield </t>
  </si>
  <si>
    <t>Wakefield Township</t>
  </si>
  <si>
    <t xml:space="preserve">Wakefield City Housing Commission </t>
  </si>
  <si>
    <t>Watersmeet Township</t>
  </si>
  <si>
    <t xml:space="preserve">Western Up Alliance </t>
  </si>
  <si>
    <t>Acme Township</t>
  </si>
  <si>
    <t xml:space="preserve">Bay Area Transportation Authority </t>
  </si>
  <si>
    <t>Blair Township</t>
  </si>
  <si>
    <t xml:space="preserve">City Of Traverse City &amp; Twp Of Garfield Recreation Auth </t>
  </si>
  <si>
    <t xml:space="preserve">Civic Center South Recreation Authority </t>
  </si>
  <si>
    <t>East Bay Township</t>
  </si>
  <si>
    <t>Fife Lake Township</t>
  </si>
  <si>
    <t>Fife Lake Village</t>
  </si>
  <si>
    <t xml:space="preserve">Fife Lake Area Emergency Rescue Authority </t>
  </si>
  <si>
    <t xml:space="preserve">Fife Lake Area Utility Authority </t>
  </si>
  <si>
    <t>Garfield Charter Township</t>
  </si>
  <si>
    <t>Grand Traverse County</t>
  </si>
  <si>
    <t xml:space="preserve">Grand Traverse County Road Commission </t>
  </si>
  <si>
    <t xml:space="preserve">Grand Traverse Fire Departmen - Rural Division </t>
  </si>
  <si>
    <t xml:space="preserve">Grand Traverse Metro Emergency Services Authority </t>
  </si>
  <si>
    <t>Green Lake Township</t>
  </si>
  <si>
    <t xml:space="preserve">Interlochen Public Library </t>
  </si>
  <si>
    <t>Kingsley Village</t>
  </si>
  <si>
    <t>Long Lake Township</t>
  </si>
  <si>
    <t>Mayfield Township</t>
  </si>
  <si>
    <t xml:space="preserve">Networks Northwest </t>
  </si>
  <si>
    <t xml:space="preserve">Northern Lakes Community Mental Health Authority </t>
  </si>
  <si>
    <t xml:space="preserve">Northwest Regional Fire Training Center Authority </t>
  </si>
  <si>
    <t xml:space="preserve">Northwestern Michigan College </t>
  </si>
  <si>
    <t xml:space="preserve">Northwestern Regional Airport Commission </t>
  </si>
  <si>
    <t>Paradise Township</t>
  </si>
  <si>
    <t>Peninsula Township</t>
  </si>
  <si>
    <t xml:space="preserve">Peninsula Community Library </t>
  </si>
  <si>
    <t xml:space="preserve">Traverse Area District Library </t>
  </si>
  <si>
    <t xml:space="preserve">Traverse City </t>
  </si>
  <si>
    <t xml:space="preserve">Traverse City Downtown Development Authority </t>
  </si>
  <si>
    <t xml:space="preserve">Traverse City Housing Commission </t>
  </si>
  <si>
    <t xml:space="preserve">Traverse City Light &amp; Power </t>
  </si>
  <si>
    <t>Whitewater Township</t>
  </si>
  <si>
    <t xml:space="preserve">Alma </t>
  </si>
  <si>
    <t xml:space="preserve">Alma City Housing Commission </t>
  </si>
  <si>
    <t>Arcada Township</t>
  </si>
  <si>
    <t>Ashley Village</t>
  </si>
  <si>
    <t>Emerson Township</t>
  </si>
  <si>
    <t>Fulton Township</t>
  </si>
  <si>
    <t>Gratiot County</t>
  </si>
  <si>
    <t xml:space="preserve">Gratiot Co Community Mental Health Services </t>
  </si>
  <si>
    <t xml:space="preserve">Gratiot Co Road Commission </t>
  </si>
  <si>
    <t>Hamilton Township</t>
  </si>
  <si>
    <t xml:space="preserve">Ithaca </t>
  </si>
  <si>
    <t>Lafayette Township</t>
  </si>
  <si>
    <t xml:space="preserve">Mid-Michigan Area Cable Communications Consortium </t>
  </si>
  <si>
    <t xml:space="preserve">Mid-Michigan Community Fire Board </t>
  </si>
  <si>
    <t>New Haven Township</t>
  </si>
  <si>
    <t>Newark Township</t>
  </si>
  <si>
    <t>North Shade Township</t>
  </si>
  <si>
    <t>North Star Township</t>
  </si>
  <si>
    <t>Perrinton Village</t>
  </si>
  <si>
    <t>Seville Township</t>
  </si>
  <si>
    <t xml:space="preserve">St Louis </t>
  </si>
  <si>
    <t xml:space="preserve">St Louis City Housing Commission </t>
  </si>
  <si>
    <t>Sumner Township</t>
  </si>
  <si>
    <t xml:space="preserve">Transit Service Fund Of The City Of Alma </t>
  </si>
  <si>
    <t>Washington Township</t>
  </si>
  <si>
    <t>Wheeler Township</t>
  </si>
  <si>
    <t>Allen Township</t>
  </si>
  <si>
    <t>Allen Village</t>
  </si>
  <si>
    <t>Amboy Township</t>
  </si>
  <si>
    <t>Cambria Township</t>
  </si>
  <si>
    <t>Camden Village</t>
  </si>
  <si>
    <t xml:space="preserve">Hillsdale </t>
  </si>
  <si>
    <t>Hillsdale County</t>
  </si>
  <si>
    <t>Hillsdale Township</t>
  </si>
  <si>
    <t xml:space="preserve">Hillsdale City Board Of Public Utilities </t>
  </si>
  <si>
    <t xml:space="preserve">Hillsdale City Housing Commission </t>
  </si>
  <si>
    <t xml:space="preserve">Hillsdale Co Road Commission </t>
  </si>
  <si>
    <t xml:space="preserve">Hillsdale County Medical Care Facility </t>
  </si>
  <si>
    <t xml:space="preserve">Hillsdale County Park Commission </t>
  </si>
  <si>
    <t>Jefferson Township</t>
  </si>
  <si>
    <t xml:space="preserve">Jonesville </t>
  </si>
  <si>
    <t xml:space="preserve">Litchfield </t>
  </si>
  <si>
    <t>Litchfield Township</t>
  </si>
  <si>
    <t xml:space="preserve">Litchfield City Tifa </t>
  </si>
  <si>
    <t xml:space="preserve">Litchfield District Library </t>
  </si>
  <si>
    <t xml:space="preserve">Litchfield Fire Department </t>
  </si>
  <si>
    <t xml:space="preserve">Michigan South Central Power Agency </t>
  </si>
  <si>
    <t>Montgomery Village</t>
  </si>
  <si>
    <t>Moscow Township</t>
  </si>
  <si>
    <t>North Adams Village</t>
  </si>
  <si>
    <t>Pittsford Township</t>
  </si>
  <si>
    <t>Ransom Township</t>
  </si>
  <si>
    <t xml:space="preserve">Reading </t>
  </si>
  <si>
    <t>Reading Township</t>
  </si>
  <si>
    <t xml:space="preserve">Reading Community Library </t>
  </si>
  <si>
    <t>Somerset Township</t>
  </si>
  <si>
    <t xml:space="preserve">Townships Of Pittsford &amp; Jefferson Fire Department </t>
  </si>
  <si>
    <t>Waldron Village</t>
  </si>
  <si>
    <t xml:space="preserve">Waldron District Library </t>
  </si>
  <si>
    <t>Wheatland Township</t>
  </si>
  <si>
    <t>Wright Township</t>
  </si>
  <si>
    <t>Calumet Village</t>
  </si>
  <si>
    <t>Calumet Charter Township</t>
  </si>
  <si>
    <t xml:space="preserve">Calumet Village Housing Commission </t>
  </si>
  <si>
    <t>Chassell Township</t>
  </si>
  <si>
    <t>Elm River Township</t>
  </si>
  <si>
    <t xml:space="preserve">Franklin-Quincy Twp Water Auth </t>
  </si>
  <si>
    <t xml:space="preserve">Hancock </t>
  </si>
  <si>
    <t>Hancock Township</t>
  </si>
  <si>
    <t xml:space="preserve">Hancock City Housing Commission </t>
  </si>
  <si>
    <t xml:space="preserve">Houghton </t>
  </si>
  <si>
    <t>Houghton County</t>
  </si>
  <si>
    <t xml:space="preserve">Houghton City Housing Commission </t>
  </si>
  <si>
    <t xml:space="preserve">Houghton City Local Development Finance Authority </t>
  </si>
  <si>
    <t xml:space="preserve">Houghton County Medical Care Facility </t>
  </si>
  <si>
    <t xml:space="preserve">Houghton County Road Commission </t>
  </si>
  <si>
    <t>Lake Linden Village</t>
  </si>
  <si>
    <t>Laurium Village</t>
  </si>
  <si>
    <t xml:space="preserve">Laurium Village Housing Commission </t>
  </si>
  <si>
    <t xml:space="preserve">North Houghton County Water &amp; Sewage Authority </t>
  </si>
  <si>
    <t>Osceola Township</t>
  </si>
  <si>
    <t>Portage Charter Township</t>
  </si>
  <si>
    <t xml:space="preserve">Portage Lake District Library </t>
  </si>
  <si>
    <t xml:space="preserve">Portage Lake Water And Sewage Authority </t>
  </si>
  <si>
    <t>Schoolcraft Township</t>
  </si>
  <si>
    <t>South Range Village</t>
  </si>
  <si>
    <t>Stanton Township</t>
  </si>
  <si>
    <t xml:space="preserve">Torch Lake Area Sewage Authority </t>
  </si>
  <si>
    <t xml:space="preserve">Western Up District Health Department </t>
  </si>
  <si>
    <t xml:space="preserve">Western Up Planning &amp; Development Region Commission </t>
  </si>
  <si>
    <t xml:space="preserve">Bad Axe </t>
  </si>
  <si>
    <t xml:space="preserve">Bad Axe Area District Library </t>
  </si>
  <si>
    <t xml:space="preserve">Bad Axe Area Fire Protection Association </t>
  </si>
  <si>
    <t xml:space="preserve">Caseville </t>
  </si>
  <si>
    <t>Caseville Township</t>
  </si>
  <si>
    <t xml:space="preserve">Caseville Area Fire Protection Association </t>
  </si>
  <si>
    <t xml:space="preserve">Caseville Harbor Commission </t>
  </si>
  <si>
    <t xml:space="preserve">Caseville Village Housing Commission </t>
  </si>
  <si>
    <t xml:space="preserve">Central Huron Ambulance Service Assoc </t>
  </si>
  <si>
    <t>Colfax Township</t>
  </si>
  <si>
    <t xml:space="preserve">Eastern Huron Ambulance Service Association </t>
  </si>
  <si>
    <t>Elkton Village</t>
  </si>
  <si>
    <t>Fairhaven Township Township</t>
  </si>
  <si>
    <t>Gore Township</t>
  </si>
  <si>
    <t xml:space="preserve">Harbor Beach </t>
  </si>
  <si>
    <t xml:space="preserve">Harbor Beach Area District Library </t>
  </si>
  <si>
    <t xml:space="preserve">Harbor Beach Community Fire Protection Assoc </t>
  </si>
  <si>
    <t>Huron County</t>
  </si>
  <si>
    <t xml:space="preserve">Huron Behavioral Health </t>
  </si>
  <si>
    <t xml:space="preserve">Huron Conservation District </t>
  </si>
  <si>
    <t xml:space="preserve">Huron County Airport </t>
  </si>
  <si>
    <t xml:space="preserve">Huron County Drain Funds </t>
  </si>
  <si>
    <t xml:space="preserve">Huron County Parks </t>
  </si>
  <si>
    <t xml:space="preserve">Huron County Road Commission </t>
  </si>
  <si>
    <t xml:space="preserve">Huron County Transit Funds </t>
  </si>
  <si>
    <t xml:space="preserve">Huron Regional Water Authority </t>
  </si>
  <si>
    <t>Kinde Village</t>
  </si>
  <si>
    <t xml:space="preserve">Kinde Area Fire Board </t>
  </si>
  <si>
    <t>Paris Township</t>
  </si>
  <si>
    <t>Pigeon Village</t>
  </si>
  <si>
    <t xml:space="preserve">Pigeon District Library </t>
  </si>
  <si>
    <t>Port Austin Village</t>
  </si>
  <si>
    <t xml:space="preserve">Port Austin Area Sewer And Water Authority </t>
  </si>
  <si>
    <t>Port Hope Village</t>
  </si>
  <si>
    <t xml:space="preserve">Port Hope-Gore-Rubicon Utility Authority </t>
  </si>
  <si>
    <t>Rubicon Township</t>
  </si>
  <si>
    <t>Sand Beach Township</t>
  </si>
  <si>
    <t>Sebewaing Township</t>
  </si>
  <si>
    <t>Sebewaing Village</t>
  </si>
  <si>
    <t xml:space="preserve">Sebewaing Harbor Commission </t>
  </si>
  <si>
    <t xml:space="preserve">Sebewaing Light And Water Department </t>
  </si>
  <si>
    <t>Sigel Township</t>
  </si>
  <si>
    <t>Ubly Village</t>
  </si>
  <si>
    <t>Verona Township</t>
  </si>
  <si>
    <t>Winsor Township</t>
  </si>
  <si>
    <t>Aurelius Township</t>
  </si>
  <si>
    <t>Bunker Hill Township</t>
  </si>
  <si>
    <t xml:space="preserve">Capital Area District Library </t>
  </si>
  <si>
    <t xml:space="preserve">Capital Area Michigan Works! </t>
  </si>
  <si>
    <t xml:space="preserve">Capital Area Transportation Authority-Cata </t>
  </si>
  <si>
    <t xml:space="preserve">Capital Region Airport Authority </t>
  </si>
  <si>
    <t xml:space="preserve">City Of Lansing Building Authority </t>
  </si>
  <si>
    <t>Delhi Charter Township</t>
  </si>
  <si>
    <t xml:space="preserve">East Lansing </t>
  </si>
  <si>
    <t xml:space="preserve">East Lansing-Meridian Water &amp; Sewer Authority </t>
  </si>
  <si>
    <t>Ingham County</t>
  </si>
  <si>
    <t xml:space="preserve">Ingham County Housing Commission </t>
  </si>
  <si>
    <t xml:space="preserve">Ingham County Land Bank Fast Track Authority </t>
  </si>
  <si>
    <t xml:space="preserve">Ingham County Medical Care Facility </t>
  </si>
  <si>
    <t xml:space="preserve">Lansing </t>
  </si>
  <si>
    <t xml:space="preserve">Lansing Brownfield Redevlopment Authority </t>
  </si>
  <si>
    <t xml:space="preserve">Lansing Bwl Emp Defined Contribution Pension Plan </t>
  </si>
  <si>
    <t xml:space="preserve">Lansing Bwl Employees Pension Defined Benefit Plan </t>
  </si>
  <si>
    <t xml:space="preserve">Lansing Bwl Enterprise Fund </t>
  </si>
  <si>
    <t xml:space="preserve">Lansing Bwl Retiree Benefit Plan And Trust </t>
  </si>
  <si>
    <t>Lansing Charter Township</t>
  </si>
  <si>
    <t xml:space="preserve">Lansing City Board Of Water &amp; Light </t>
  </si>
  <si>
    <t xml:space="preserve">Lansing City Entertainment &amp; Public Facilities Aut </t>
  </si>
  <si>
    <t xml:space="preserve">Lansing City/Ingham Co Joint Building Authority </t>
  </si>
  <si>
    <t xml:space="preserve">Lansing Community College </t>
  </si>
  <si>
    <t xml:space="preserve">Lansing Housing Commission </t>
  </si>
  <si>
    <t xml:space="preserve">Lansing Regional Smart Zone </t>
  </si>
  <si>
    <t xml:space="preserve">Lansing Tax Increment Finance Authority </t>
  </si>
  <si>
    <t xml:space="preserve">Leslie </t>
  </si>
  <si>
    <t>Leslie Township</t>
  </si>
  <si>
    <t>Locke Township</t>
  </si>
  <si>
    <t xml:space="preserve">Mason </t>
  </si>
  <si>
    <t>Meridian Charter Township</t>
  </si>
  <si>
    <t xml:space="preserve">Michigan Co Road Commission Self-Insurance Pool </t>
  </si>
  <si>
    <t xml:space="preserve">Michigan Public Power Agency </t>
  </si>
  <si>
    <t xml:space="preserve">Mid-Michigan Water Authority </t>
  </si>
  <si>
    <t xml:space="preserve">Mid-State Health Network </t>
  </si>
  <si>
    <t xml:space="preserve">Northeast Ingham Emergency Service Authority </t>
  </si>
  <si>
    <t>Onondaga Township</t>
  </si>
  <si>
    <t>Stockbridge Township</t>
  </si>
  <si>
    <t>Stockbridge Village</t>
  </si>
  <si>
    <t xml:space="preserve">Stockbridge Area Emergency Services Authority </t>
  </si>
  <si>
    <t xml:space="preserve">Tri-County Aging Consortium (Ingham/Clinton/Eaton) </t>
  </si>
  <si>
    <t xml:space="preserve">Tri-County Regional Planning Commission </t>
  </si>
  <si>
    <t>Vevay Township</t>
  </si>
  <si>
    <t>Wheatfield Township</t>
  </si>
  <si>
    <t>White Oak Township</t>
  </si>
  <si>
    <t xml:space="preserve">Williamston </t>
  </si>
  <si>
    <t>Williamstown Township</t>
  </si>
  <si>
    <t xml:space="preserve">Belding </t>
  </si>
  <si>
    <t xml:space="preserve">Belding City Housing Commission </t>
  </si>
  <si>
    <t>Berlin Township</t>
  </si>
  <si>
    <t xml:space="preserve">Berlin-Orange Fire Department </t>
  </si>
  <si>
    <t>Boston Township</t>
  </si>
  <si>
    <t>Campbell Township</t>
  </si>
  <si>
    <t>Clarksville Village</t>
  </si>
  <si>
    <t xml:space="preserve">Clarksville-Morrison Lake Sewer Authority </t>
  </si>
  <si>
    <t>Danby Township</t>
  </si>
  <si>
    <t>Easton Township</t>
  </si>
  <si>
    <t xml:space="preserve">Ionia </t>
  </si>
  <si>
    <t>Ionia County</t>
  </si>
  <si>
    <t>Ionia Township</t>
  </si>
  <si>
    <t xml:space="preserve">Ionia City Housing Commission </t>
  </si>
  <si>
    <t xml:space="preserve">Ionia Community Library </t>
  </si>
  <si>
    <t xml:space="preserve">Ionia County Community Mental Health </t>
  </si>
  <si>
    <t xml:space="preserve">Ionia County Road Commission </t>
  </si>
  <si>
    <t xml:space="preserve">Ionia Regional Utilities Authority </t>
  </si>
  <si>
    <t>Keene Township</t>
  </si>
  <si>
    <t>Lake Odessa Village</t>
  </si>
  <si>
    <t xml:space="preserve">Lake Odessa Community Library </t>
  </si>
  <si>
    <t xml:space="preserve">Lake Odessa Fire Department </t>
  </si>
  <si>
    <t xml:space="preserve">Lakewood Wastewater Authority </t>
  </si>
  <si>
    <t>Lyons Township</t>
  </si>
  <si>
    <t>Lyons Village</t>
  </si>
  <si>
    <t xml:space="preserve">Lyons Township District Library </t>
  </si>
  <si>
    <t>Muir Village</t>
  </si>
  <si>
    <t>Odessa Township</t>
  </si>
  <si>
    <t>Orange Township</t>
  </si>
  <si>
    <t>Orleans Township</t>
  </si>
  <si>
    <t>Otisco Township</t>
  </si>
  <si>
    <t>Pewamo Village</t>
  </si>
  <si>
    <t xml:space="preserve">Portland </t>
  </si>
  <si>
    <t>Portland Township</t>
  </si>
  <si>
    <t xml:space="preserve">Portland Area Fire Authority </t>
  </si>
  <si>
    <t xml:space="preserve">Portland Area Municipal Authority </t>
  </si>
  <si>
    <t xml:space="preserve">Portland District Library </t>
  </si>
  <si>
    <t>Ronald Township</t>
  </si>
  <si>
    <t>Saranac Village</t>
  </si>
  <si>
    <t xml:space="preserve">Saranac Public Library </t>
  </si>
  <si>
    <t xml:space="preserve">Saranac Village Housing Commission </t>
  </si>
  <si>
    <t>Sebewa Township</t>
  </si>
  <si>
    <t>Alabaster Township</t>
  </si>
  <si>
    <t>Ausable Charter Township Township</t>
  </si>
  <si>
    <t xml:space="preserve">Ausable Valley Community Mental Health Services </t>
  </si>
  <si>
    <t>Burleigh Township</t>
  </si>
  <si>
    <t xml:space="preserve">East Tawas </t>
  </si>
  <si>
    <t xml:space="preserve">East Tawas City Park </t>
  </si>
  <si>
    <t xml:space="preserve">East Tawas Housing Commission </t>
  </si>
  <si>
    <t xml:space="preserve">Huron Shore Regional Utility Authority </t>
  </si>
  <si>
    <t>Iosco County</t>
  </si>
  <si>
    <t xml:space="preserve">Iosco County Medical Care Facility </t>
  </si>
  <si>
    <t xml:space="preserve">Iosco County Road Commission </t>
  </si>
  <si>
    <t xml:space="preserve">Iosco Transit Corporation </t>
  </si>
  <si>
    <t xml:space="preserve">Iosco-Arenac District Library </t>
  </si>
  <si>
    <t>Oscoda Charter Township</t>
  </si>
  <si>
    <t xml:space="preserve">Oscoda-Ausable Twp Senior Center Building Auth </t>
  </si>
  <si>
    <t xml:space="preserve">Oscoda-Wurtsmith Airport Authority </t>
  </si>
  <si>
    <t>Plainfield Township</t>
  </si>
  <si>
    <t>Reno Township</t>
  </si>
  <si>
    <t>Tawas Township</t>
  </si>
  <si>
    <t xml:space="preserve">Tawas City </t>
  </si>
  <si>
    <t xml:space="preserve">Tawas Police Authority </t>
  </si>
  <si>
    <t xml:space="preserve">Tawas Utility Authority </t>
  </si>
  <si>
    <t xml:space="preserve">Whittemore </t>
  </si>
  <si>
    <t>Wilber Township</t>
  </si>
  <si>
    <t>Alpha Village</t>
  </si>
  <si>
    <t>Bates Township</t>
  </si>
  <si>
    <t xml:space="preserve">Caspian </t>
  </si>
  <si>
    <t xml:space="preserve">Caspian-Gaastra Fire Authority </t>
  </si>
  <si>
    <t xml:space="preserve">Crystal Falls </t>
  </si>
  <si>
    <t>Crystal Falls Township</t>
  </si>
  <si>
    <t xml:space="preserve">Crystal Falls District Community Library </t>
  </si>
  <si>
    <t xml:space="preserve">Gaastra </t>
  </si>
  <si>
    <t>Hematite Township</t>
  </si>
  <si>
    <t>Iron County</t>
  </si>
  <si>
    <t xml:space="preserve">Iron County Housing Commission </t>
  </si>
  <si>
    <t xml:space="preserve">Iron County Medical Care Facility </t>
  </si>
  <si>
    <t xml:space="preserve">Iron County Road Commission </t>
  </si>
  <si>
    <t xml:space="preserve">Iron River </t>
  </si>
  <si>
    <t>Iron River Township</t>
  </si>
  <si>
    <t xml:space="preserve">Iron River City Housing Commission </t>
  </si>
  <si>
    <t xml:space="preserve">Joint Public Building Restoration Admin Board </t>
  </si>
  <si>
    <t>Mansfield Township</t>
  </si>
  <si>
    <t>Mastodon Township</t>
  </si>
  <si>
    <t xml:space="preserve">Stambaugh Cemetery Association </t>
  </si>
  <si>
    <t xml:space="preserve">West Iron County Fire Board </t>
  </si>
  <si>
    <t xml:space="preserve">West Iron County Sewer Authority </t>
  </si>
  <si>
    <t xml:space="preserve">West Iron District Library </t>
  </si>
  <si>
    <t xml:space="preserve">Windsor Recreation Authority </t>
  </si>
  <si>
    <t>Broomfield Township</t>
  </si>
  <si>
    <t xml:space="preserve">Central Michigan District Health Department </t>
  </si>
  <si>
    <t xml:space="preserve">Chippewa River District Library </t>
  </si>
  <si>
    <t>Coe Township</t>
  </si>
  <si>
    <t xml:space="preserve">Community Mental Health For Central Michigan </t>
  </si>
  <si>
    <t>Deerfield Township</t>
  </si>
  <si>
    <t>Denver Township</t>
  </si>
  <si>
    <t>Gilmore Township</t>
  </si>
  <si>
    <t>Isabella County</t>
  </si>
  <si>
    <t>Isabella Township</t>
  </si>
  <si>
    <t xml:space="preserve">Isabella County Medical Care Facility </t>
  </si>
  <si>
    <t xml:space="preserve">Isabella County Road Commission </t>
  </si>
  <si>
    <t xml:space="preserve">Isabella County Transportation Commission </t>
  </si>
  <si>
    <t xml:space="preserve">Isabella Northeast Fire District </t>
  </si>
  <si>
    <t xml:space="preserve">Joint Construction Code Authority </t>
  </si>
  <si>
    <t>Lake Isabella Village</t>
  </si>
  <si>
    <t xml:space="preserve">Mt Pleasant </t>
  </si>
  <si>
    <t xml:space="preserve">Mt Pleasant City Housing Commission </t>
  </si>
  <si>
    <t>Nottawa Township</t>
  </si>
  <si>
    <t xml:space="preserve">Nottawa-Sherman Township Fire Department </t>
  </si>
  <si>
    <t>Rolland Township</t>
  </si>
  <si>
    <t>Rosebush Village</t>
  </si>
  <si>
    <t>Shepherd Village</t>
  </si>
  <si>
    <t xml:space="preserve">Shepherd Tri-Township Fire Department </t>
  </si>
  <si>
    <t>Union Charter Township</t>
  </si>
  <si>
    <t>Vernon Township</t>
  </si>
  <si>
    <t>Wise Township</t>
  </si>
  <si>
    <t>Blackman Charter Township</t>
  </si>
  <si>
    <t>Brooklyn Village</t>
  </si>
  <si>
    <t>Columbia Township</t>
  </si>
  <si>
    <t>Concord Village</t>
  </si>
  <si>
    <t>Grass Lake Village</t>
  </si>
  <si>
    <t>Grass Lake Charter Township</t>
  </si>
  <si>
    <t>Hanover Township</t>
  </si>
  <si>
    <t>Hanover Village</t>
  </si>
  <si>
    <t>Henrietta Township</t>
  </si>
  <si>
    <t xml:space="preserve">Jackson </t>
  </si>
  <si>
    <t>Jackson County</t>
  </si>
  <si>
    <t xml:space="preserve">Jackson City Downtown Development Authority </t>
  </si>
  <si>
    <t xml:space="preserve">Jackson City Housing Commission </t>
  </si>
  <si>
    <t xml:space="preserve">Jackson City Transportation Authority </t>
  </si>
  <si>
    <t xml:space="preserve">Jackson Co Conservation District </t>
  </si>
  <si>
    <t xml:space="preserve">Jackson County Community College </t>
  </si>
  <si>
    <t xml:space="preserve">Jackson County Edc </t>
  </si>
  <si>
    <t xml:space="preserve">Jackson County Employees Retirement System </t>
  </si>
  <si>
    <t xml:space="preserve">Jackson County Medical Care Facility </t>
  </si>
  <si>
    <t xml:space="preserve">Jackson District Library </t>
  </si>
  <si>
    <t xml:space="preserve">Jackson Narcotics Enforcement Team (Jnet) </t>
  </si>
  <si>
    <t>Leoni Township</t>
  </si>
  <si>
    <t xml:space="preserve">Leoni Regional Utility Authority </t>
  </si>
  <si>
    <t>Liberty Township</t>
  </si>
  <si>
    <t xml:space="preserve">Lifeways-Jackson &amp; Hillsdale Counties </t>
  </si>
  <si>
    <t xml:space="preserve">Local Development Finance Authority Of The Village Of Parma </t>
  </si>
  <si>
    <t>Napoleon Township</t>
  </si>
  <si>
    <t>Norvell Township</t>
  </si>
  <si>
    <t>Parma Township</t>
  </si>
  <si>
    <t>Parma Village</t>
  </si>
  <si>
    <t>Pulaski Township</t>
  </si>
  <si>
    <t xml:space="preserve">Region 2 Planning Commission </t>
  </si>
  <si>
    <t>Rives Township</t>
  </si>
  <si>
    <t xml:space="preserve">Round/Farwell Lakes Sewer Common Fund </t>
  </si>
  <si>
    <t>Sandstone Charter Township Township</t>
  </si>
  <si>
    <t>Spring Arbor Township</t>
  </si>
  <si>
    <t>Springport Township</t>
  </si>
  <si>
    <t>Springport Village</t>
  </si>
  <si>
    <t xml:space="preserve">Springport/Clarence Regional Fire Board </t>
  </si>
  <si>
    <t>Summit Township</t>
  </si>
  <si>
    <t>Tompkins Township</t>
  </si>
  <si>
    <t>Waterloo Township</t>
  </si>
  <si>
    <t>Alamo Township</t>
  </si>
  <si>
    <t>Augusta Village</t>
  </si>
  <si>
    <t xml:space="preserve">Augusta-Ross District Library </t>
  </si>
  <si>
    <t>Brady Township</t>
  </si>
  <si>
    <t xml:space="preserve">Central County Transportation Authority </t>
  </si>
  <si>
    <t>Charleston Township</t>
  </si>
  <si>
    <t xml:space="preserve">City Of Kalamazoo Opeb Trust Funds </t>
  </si>
  <si>
    <t>Climax Village</t>
  </si>
  <si>
    <t>Comstock Charter Township</t>
  </si>
  <si>
    <t>Cooper Charter Township</t>
  </si>
  <si>
    <t xml:space="preserve">Galesburg </t>
  </si>
  <si>
    <t xml:space="preserve">Galesbury Charleston Memorial District Library </t>
  </si>
  <si>
    <t xml:space="preserve">Gull Lake Sewer And Water Authority </t>
  </si>
  <si>
    <t xml:space="preserve">Kalamazoo </t>
  </si>
  <si>
    <t>Kalamazoo County</t>
  </si>
  <si>
    <t xml:space="preserve">Kalamazoo Area Building Authority </t>
  </si>
  <si>
    <t xml:space="preserve">Kalamazoo Area Transportation Study </t>
  </si>
  <si>
    <t>Kalamazoo Charter Township</t>
  </si>
  <si>
    <t xml:space="preserve">Kalamazoo City Cemetery Perpetual Care Fund </t>
  </si>
  <si>
    <t xml:space="preserve">Kalamazoo City Downtown Development Authority </t>
  </si>
  <si>
    <t xml:space="preserve">Kalamazoo City Edc </t>
  </si>
  <si>
    <t xml:space="preserve">Kalamazoo City Employees Retirement System </t>
  </si>
  <si>
    <t xml:space="preserve">Kalamazoo City Metro Transit System </t>
  </si>
  <si>
    <t xml:space="preserve">Kalamazoo Community Mental Health &amp; Substance Abuse Services </t>
  </si>
  <si>
    <t xml:space="preserve">Kalamazoo County Consolidated Dispatch Authority </t>
  </si>
  <si>
    <t xml:space="preserve">Kalamazoo County Employees Retirement System </t>
  </si>
  <si>
    <t xml:space="preserve">Kalamazoo County Land Bank Authority </t>
  </si>
  <si>
    <t xml:space="preserve">Kalamazoo County Road Commission </t>
  </si>
  <si>
    <t xml:space="preserve">Kalamazoo County Transportation Authority </t>
  </si>
  <si>
    <t xml:space="preserve">Kalamazoo Public Library </t>
  </si>
  <si>
    <t xml:space="preserve">Kalamazoo Regional Water &amp; Wastewater Commission </t>
  </si>
  <si>
    <t xml:space="preserve">Kalamazoo Valley Community College </t>
  </si>
  <si>
    <t>Oshtemo Charter Township</t>
  </si>
  <si>
    <t xml:space="preserve">Parchment </t>
  </si>
  <si>
    <t xml:space="preserve">Parchment Community Library </t>
  </si>
  <si>
    <t>Pavilion Township</t>
  </si>
  <si>
    <t xml:space="preserve">Portage </t>
  </si>
  <si>
    <t xml:space="preserve">Portage District Library </t>
  </si>
  <si>
    <t>Richland Township</t>
  </si>
  <si>
    <t>Richland Village</t>
  </si>
  <si>
    <t xml:space="preserve">Richland Community Library </t>
  </si>
  <si>
    <t>Ross Township</t>
  </si>
  <si>
    <t>Schoolcraft Village</t>
  </si>
  <si>
    <t xml:space="preserve">South County Sewer &amp; Water Auth </t>
  </si>
  <si>
    <t xml:space="preserve">South Kalamazoo County Fire Authority </t>
  </si>
  <si>
    <t xml:space="preserve">Southwest Enforcement Team-Swet </t>
  </si>
  <si>
    <t xml:space="preserve">Southwest Michigan Behavioral Health </t>
  </si>
  <si>
    <t>Texas Charter Township</t>
  </si>
  <si>
    <t>Vicksburg Village</t>
  </si>
  <si>
    <t xml:space="preserve">Vicksburg District Library </t>
  </si>
  <si>
    <t>Wakeshma Township</t>
  </si>
  <si>
    <t>Bear Lake Township</t>
  </si>
  <si>
    <t>Blue Lake Township</t>
  </si>
  <si>
    <t>Boardman Township</t>
  </si>
  <si>
    <t>Clearwater Township</t>
  </si>
  <si>
    <t>Coldsprings Township</t>
  </si>
  <si>
    <t xml:space="preserve">Coldsprings-Excelsior Volunteer Fire &amp; Rescue Dept </t>
  </si>
  <si>
    <t>Excelsior Township</t>
  </si>
  <si>
    <t>Kalkaska County</t>
  </si>
  <si>
    <t>Kalkaska Township</t>
  </si>
  <si>
    <t>Kalkaska Village</t>
  </si>
  <si>
    <t xml:space="preserve">Kalkaska Co Road Commission </t>
  </si>
  <si>
    <t xml:space="preserve">Kalkaska County Hospital Authority </t>
  </si>
  <si>
    <t xml:space="preserve">Kalkaska Public Transit Authority </t>
  </si>
  <si>
    <t xml:space="preserve">Manistee Lake Improvement Board </t>
  </si>
  <si>
    <t>Oliver Township</t>
  </si>
  <si>
    <t>Springfield Township</t>
  </si>
  <si>
    <t>Ada Township</t>
  </si>
  <si>
    <t>Algoma Township</t>
  </si>
  <si>
    <t>Alpine Township</t>
  </si>
  <si>
    <t xml:space="preserve">Area Community Service Employment/Training Council </t>
  </si>
  <si>
    <t>Bowne Township</t>
  </si>
  <si>
    <t>Byron Township</t>
  </si>
  <si>
    <t xml:space="preserve">Byron-Gaines Utility Authority </t>
  </si>
  <si>
    <t>Caledonia Village</t>
  </si>
  <si>
    <t>Caledonia Charter Township</t>
  </si>
  <si>
    <t>Cannon Township</t>
  </si>
  <si>
    <t>Cascade Charter Township</t>
  </si>
  <si>
    <t xml:space="preserve">Cedar Springs </t>
  </si>
  <si>
    <t xml:space="preserve">Cedar Springs Area Parks &amp; Recreation Board </t>
  </si>
  <si>
    <t xml:space="preserve">City Grand Rapids General Retirement System </t>
  </si>
  <si>
    <t xml:space="preserve">City Of Grand Rapids Police And Fire Retirement System </t>
  </si>
  <si>
    <t xml:space="preserve">City Of Grand Rapids/Kent Co Jt Building Authority </t>
  </si>
  <si>
    <t>Courtland Township</t>
  </si>
  <si>
    <t xml:space="preserve">East Grand Rapids </t>
  </si>
  <si>
    <t>Gaines Charter Township Township</t>
  </si>
  <si>
    <t xml:space="preserve">Gerald R. Ford International Airport Authority </t>
  </si>
  <si>
    <t xml:space="preserve">Grand Rapids </t>
  </si>
  <si>
    <t>Grand Rapids Charter Township</t>
  </si>
  <si>
    <t xml:space="preserve">Grand Rapids City Brownfield Redevelopment Auth </t>
  </si>
  <si>
    <t xml:space="preserve">Grand Rapids City Building Authority </t>
  </si>
  <si>
    <t xml:space="preserve">Grand Rapids City Housing Commission </t>
  </si>
  <si>
    <t xml:space="preserve">Grand Rapids Community College </t>
  </si>
  <si>
    <t xml:space="preserve">Grand Rapids Downtown Development Authority </t>
  </si>
  <si>
    <t xml:space="preserve">Grand Rapids Smartzone Ldfa </t>
  </si>
  <si>
    <t xml:space="preserve">Grand Rapids Tax Increment Financing Authority </t>
  </si>
  <si>
    <t xml:space="preserve">Grand Rapids-Kent Co Convention-Arena Authority </t>
  </si>
  <si>
    <t xml:space="preserve">Grand Valley Metropolitan Council </t>
  </si>
  <si>
    <t xml:space="preserve">Grand Valley Regional Biosolids Authority </t>
  </si>
  <si>
    <t xml:space="preserve">Grandville </t>
  </si>
  <si>
    <t>Grattan Township</t>
  </si>
  <si>
    <t xml:space="preserve">Interurban Transit Partnership </t>
  </si>
  <si>
    <t>Kent County</t>
  </si>
  <si>
    <t>Kent City Village</t>
  </si>
  <si>
    <t xml:space="preserve">Kent Co Voluntary Employee'S Beneficiary Assn </t>
  </si>
  <si>
    <t xml:space="preserve">Kent County Cmh Authority </t>
  </si>
  <si>
    <t xml:space="preserve">Kent County Dispatch Authority </t>
  </si>
  <si>
    <t xml:space="preserve">Kent County Employees Retirement Plan </t>
  </si>
  <si>
    <t xml:space="preserve">Kent County Land Bank Authority </t>
  </si>
  <si>
    <t xml:space="preserve">Kent County Road Commission </t>
  </si>
  <si>
    <t xml:space="preserve">Kent District Library </t>
  </si>
  <si>
    <t xml:space="preserve">Kent Hospital Finance Authority </t>
  </si>
  <si>
    <t xml:space="preserve">Kentwood </t>
  </si>
  <si>
    <t xml:space="preserve">Lakeland Library Cooperative </t>
  </si>
  <si>
    <t xml:space="preserve">Lowell </t>
  </si>
  <si>
    <t xml:space="preserve">Lowell Area Fire &amp; Emergency Services Authority </t>
  </si>
  <si>
    <t xml:space="preserve">Lowell Area Recreation Authority </t>
  </si>
  <si>
    <t>Lowell Charter Township</t>
  </si>
  <si>
    <t xml:space="preserve">Lowell Light &amp; Power And Lowell Cable Television </t>
  </si>
  <si>
    <t xml:space="preserve">Metropolitan Enforcement Team-Met </t>
  </si>
  <si>
    <t>Nelson Township</t>
  </si>
  <si>
    <t xml:space="preserve">North Kent Sewer Authority </t>
  </si>
  <si>
    <t>Oakfield Township</t>
  </si>
  <si>
    <t>Plainfield Charter Township</t>
  </si>
  <si>
    <t xml:space="preserve">Rockford </t>
  </si>
  <si>
    <t xml:space="preserve">Rockford City Housing Commission </t>
  </si>
  <si>
    <t>Sand Lake Village</t>
  </si>
  <si>
    <t>Solon Township</t>
  </si>
  <si>
    <t>Sparta Township</t>
  </si>
  <si>
    <t>Sparta Village</t>
  </si>
  <si>
    <t xml:space="preserve">Sparta Fire Department </t>
  </si>
  <si>
    <t>Spencer Township</t>
  </si>
  <si>
    <t>Tyrone Township</t>
  </si>
  <si>
    <t>Vergennes Township</t>
  </si>
  <si>
    <t xml:space="preserve">Walker </t>
  </si>
  <si>
    <t xml:space="preserve">West Michigan Regional Planning Commission </t>
  </si>
  <si>
    <t xml:space="preserve">Wyoming </t>
  </si>
  <si>
    <t>Ahmeek Village</t>
  </si>
  <si>
    <t>Eagle Harbor Township</t>
  </si>
  <si>
    <t>Houghton Township</t>
  </si>
  <si>
    <t>Keweenaw County</t>
  </si>
  <si>
    <t xml:space="preserve">Keweenaw Co Road Commission </t>
  </si>
  <si>
    <t>Baldwin Village</t>
  </si>
  <si>
    <t xml:space="preserve">Baldwin Housing Commission </t>
  </si>
  <si>
    <t xml:space="preserve">Baldwin Promise Authority </t>
  </si>
  <si>
    <t>Chase Township</t>
  </si>
  <si>
    <t>Dover Township</t>
  </si>
  <si>
    <t>Eden Township</t>
  </si>
  <si>
    <t>Elk Township</t>
  </si>
  <si>
    <t>Ellsworth Township</t>
  </si>
  <si>
    <t>Lake County</t>
  </si>
  <si>
    <t xml:space="preserve">Lake Co Road Commission </t>
  </si>
  <si>
    <t xml:space="preserve">Luther Area Public Library </t>
  </si>
  <si>
    <t>Peacock Township</t>
  </si>
  <si>
    <t>Pinora Township</t>
  </si>
  <si>
    <t>Pleasant Plains Township</t>
  </si>
  <si>
    <t>Sweetwater Township</t>
  </si>
  <si>
    <t>Webber Township</t>
  </si>
  <si>
    <t>Yates Township</t>
  </si>
  <si>
    <t xml:space="preserve">Yates Township Dial-A-Ride </t>
  </si>
  <si>
    <t>Almont Township</t>
  </si>
  <si>
    <t>Almont Village</t>
  </si>
  <si>
    <t xml:space="preserve">Almont District Library </t>
  </si>
  <si>
    <t>Arcadia Township</t>
  </si>
  <si>
    <t>Attica Township</t>
  </si>
  <si>
    <t>Columbiaville Village</t>
  </si>
  <si>
    <t xml:space="preserve">Construction Code Authority </t>
  </si>
  <si>
    <t>Dryden Township</t>
  </si>
  <si>
    <t>Elba Township</t>
  </si>
  <si>
    <t>Goodland Township</t>
  </si>
  <si>
    <t xml:space="preserve">Goodland Township Building Authority </t>
  </si>
  <si>
    <t xml:space="preserve">Greater Lapeer Co Utilities Authority </t>
  </si>
  <si>
    <t xml:space="preserve">Greater Lapeer Transportation Authority </t>
  </si>
  <si>
    <t>Hadley Township</t>
  </si>
  <si>
    <t>Imlay Township</t>
  </si>
  <si>
    <t xml:space="preserve">Imlay City </t>
  </si>
  <si>
    <t xml:space="preserve">Lapeer </t>
  </si>
  <si>
    <t>Lapeer County</t>
  </si>
  <si>
    <t>Lapeer Township</t>
  </si>
  <si>
    <t xml:space="preserve">Lapeer City Brownfield Redevelopment Authority </t>
  </si>
  <si>
    <t xml:space="preserve">Lapeer City Downtown Development Authority </t>
  </si>
  <si>
    <t xml:space="preserve">Lapeer City Edc </t>
  </si>
  <si>
    <t xml:space="preserve">Lapeer City Housing Commission </t>
  </si>
  <si>
    <t xml:space="preserve">Lapeer City Local Development Finance Authority </t>
  </si>
  <si>
    <t xml:space="preserve">Lapeer Co Road Commission </t>
  </si>
  <si>
    <t xml:space="preserve">Lapeer County Community Mental Health </t>
  </si>
  <si>
    <t xml:space="preserve">Lapeer County Emergency Medical Service Authority </t>
  </si>
  <si>
    <t xml:space="preserve">Lapeer County Landbank Authority </t>
  </si>
  <si>
    <t xml:space="preserve">Lapeer District Library </t>
  </si>
  <si>
    <t>Marathon Township</t>
  </si>
  <si>
    <t xml:space="preserve">Marathon Area Fire Authority </t>
  </si>
  <si>
    <t>Metamora Township</t>
  </si>
  <si>
    <t>Metamora Village</t>
  </si>
  <si>
    <t>North Branch Township</t>
  </si>
  <si>
    <t>North Branch Village</t>
  </si>
  <si>
    <t>Oregon Township</t>
  </si>
  <si>
    <t>Rich Township</t>
  </si>
  <si>
    <t xml:space="preserve">Ruth Hughes Memorial District Library </t>
  </si>
  <si>
    <t xml:space="preserve">Tax Increment Finance Authorities #1, #2, #3, Trust &amp; Revolving Loan Fund Of The City Of Lapeer </t>
  </si>
  <si>
    <t xml:space="preserve">Binghams-Suttons Bay Joint Building Authority </t>
  </si>
  <si>
    <t>Centerville Township</t>
  </si>
  <si>
    <t>Cleveland Township</t>
  </si>
  <si>
    <t>Elmwood Charter Township</t>
  </si>
  <si>
    <t>Empire Village</t>
  </si>
  <si>
    <t>Glen Arbor Township</t>
  </si>
  <si>
    <t xml:space="preserve">Glen Lake Community Lib </t>
  </si>
  <si>
    <t>Kasson Township</t>
  </si>
  <si>
    <t>Leelanau County</t>
  </si>
  <si>
    <t>Leelanau Township</t>
  </si>
  <si>
    <t xml:space="preserve">Leelanau Co Road Commission </t>
  </si>
  <si>
    <t>Leland Township</t>
  </si>
  <si>
    <t>Northport Village</t>
  </si>
  <si>
    <t xml:space="preserve">Solon-Centerville Fire Department </t>
  </si>
  <si>
    <t>Suttons Bay Village</t>
  </si>
  <si>
    <t xml:space="preserve">Suttons Bay-Bingham District Library </t>
  </si>
  <si>
    <t xml:space="preserve">Suttons Bay-Bingham Fire &amp; Rescue Authority </t>
  </si>
  <si>
    <t xml:space="preserve">Addison Fire Dept And Emergency Medical Service </t>
  </si>
  <si>
    <t xml:space="preserve">Adrian </t>
  </si>
  <si>
    <t>Adrian Charter Township</t>
  </si>
  <si>
    <t xml:space="preserve">Adrian City Dial-A-Ride </t>
  </si>
  <si>
    <t>Blissfield Township</t>
  </si>
  <si>
    <t>Blissfield Village</t>
  </si>
  <si>
    <t>Britton Village</t>
  </si>
  <si>
    <t>Cambridge Township</t>
  </si>
  <si>
    <t>Cement City Village</t>
  </si>
  <si>
    <t>Clinton Township</t>
  </si>
  <si>
    <t>Clinton Village</t>
  </si>
  <si>
    <t>Deerfield Village</t>
  </si>
  <si>
    <t>Fairfield Township</t>
  </si>
  <si>
    <t xml:space="preserve">Hudson </t>
  </si>
  <si>
    <t xml:space="preserve">Hudson Public Library </t>
  </si>
  <si>
    <t>Lenawee County</t>
  </si>
  <si>
    <t xml:space="preserve">Lenawee Co Medical Care Facility </t>
  </si>
  <si>
    <t xml:space="preserve">Lenawee Community Mental Health Authority </t>
  </si>
  <si>
    <t xml:space="preserve">Lenawee County Building Authority </t>
  </si>
  <si>
    <t xml:space="preserve">Lenawee County Drain Commission </t>
  </si>
  <si>
    <t xml:space="preserve">Lenawee County Library </t>
  </si>
  <si>
    <t xml:space="preserve">Lenawee Transportation Corporation </t>
  </si>
  <si>
    <t>Macon Township</t>
  </si>
  <si>
    <t>Madison Charter Township</t>
  </si>
  <si>
    <t>Medina Township</t>
  </si>
  <si>
    <t xml:space="preserve">Morenci </t>
  </si>
  <si>
    <t>Ogden Township</t>
  </si>
  <si>
    <t>Onsted Village</t>
  </si>
  <si>
    <t>Palmyra Township</t>
  </si>
  <si>
    <t>Raisin Charter Township</t>
  </si>
  <si>
    <t>Riga Township</t>
  </si>
  <si>
    <t>Rollin Township</t>
  </si>
  <si>
    <t>Rome Township</t>
  </si>
  <si>
    <t>Seneca Township</t>
  </si>
  <si>
    <t xml:space="preserve">Stair District Library </t>
  </si>
  <si>
    <t xml:space="preserve">Tecumseh </t>
  </si>
  <si>
    <t>Tecumseh Township</t>
  </si>
  <si>
    <t xml:space="preserve">Tecumseh District Library </t>
  </si>
  <si>
    <t>Woodstock Township</t>
  </si>
  <si>
    <t xml:space="preserve">Brighton </t>
  </si>
  <si>
    <t xml:space="preserve">Brighton Area Fire Authority </t>
  </si>
  <si>
    <t>Brighton Charter Township</t>
  </si>
  <si>
    <t xml:space="preserve">Brighton District Library </t>
  </si>
  <si>
    <t>Cohoctah Township</t>
  </si>
  <si>
    <t xml:space="preserve">Community Mental Health Services Of Livingston County </t>
  </si>
  <si>
    <t>Conway Township</t>
  </si>
  <si>
    <t xml:space="preserve">Cromaine District Library </t>
  </si>
  <si>
    <t xml:space="preserve">Fonda Island &amp; Briggs Lake Joint Water Authority </t>
  </si>
  <si>
    <t>Fowlerville Village</t>
  </si>
  <si>
    <t xml:space="preserve">Fowlerville Area Fire Authority </t>
  </si>
  <si>
    <t xml:space="preserve">Fowlerville District Library </t>
  </si>
  <si>
    <t>Genoa Charter Township</t>
  </si>
  <si>
    <t xml:space="preserve">Genoa-Oceola Sewer &amp; Water Authority </t>
  </si>
  <si>
    <t>Green Oak Township</t>
  </si>
  <si>
    <t>Hamburg Township</t>
  </si>
  <si>
    <t xml:space="preserve">Hamburg Township Library </t>
  </si>
  <si>
    <t>Handy Township</t>
  </si>
  <si>
    <t>Hartland Township</t>
  </si>
  <si>
    <t xml:space="preserve">Hartland Deerfield Fire Authority </t>
  </si>
  <si>
    <t xml:space="preserve">Howell </t>
  </si>
  <si>
    <t>Howell Township</t>
  </si>
  <si>
    <t xml:space="preserve">Howell Area Fire Authority </t>
  </si>
  <si>
    <t xml:space="preserve">Howell Area Parks And Recreation Authority </t>
  </si>
  <si>
    <t xml:space="preserve">Howell Carnegie District Library </t>
  </si>
  <si>
    <t xml:space="preserve">Huron-Clinton Metropolitan Authority </t>
  </si>
  <si>
    <t>Livingston County</t>
  </si>
  <si>
    <t xml:space="preserve">Livingston Co Road Commission </t>
  </si>
  <si>
    <t xml:space="preserve">Livingston Community Water Authority </t>
  </si>
  <si>
    <t>Marion Township</t>
  </si>
  <si>
    <t xml:space="preserve">Marion-Howell-Oceola &amp; Genoa Sewer &amp; Water Auth </t>
  </si>
  <si>
    <t>Oceola Township</t>
  </si>
  <si>
    <t>Pinckney Village</t>
  </si>
  <si>
    <t xml:space="preserve">Pinckney Community Public Library </t>
  </si>
  <si>
    <t>Putnam Township</t>
  </si>
  <si>
    <t xml:space="preserve">Southeastern Livingston Co Recreation Authority </t>
  </si>
  <si>
    <t>Unadilla Township</t>
  </si>
  <si>
    <t>Columbus Township</t>
  </si>
  <si>
    <t>Lakefield Township</t>
  </si>
  <si>
    <t>Luce County</t>
  </si>
  <si>
    <t xml:space="preserve">Luce County Ambulance Service </t>
  </si>
  <si>
    <t xml:space="preserve">Luce County Housing Commission </t>
  </si>
  <si>
    <t xml:space="preserve">Luce County Road Commission </t>
  </si>
  <si>
    <t xml:space="preserve">Luce/Mackinac/Alger/Schoolcraft Dist Health Dept </t>
  </si>
  <si>
    <t>Mcmillan Township</t>
  </si>
  <si>
    <t>Newberry Village</t>
  </si>
  <si>
    <t>Pentland Township</t>
  </si>
  <si>
    <t xml:space="preserve">Tahquamenon Area Recreation Authority </t>
  </si>
  <si>
    <t xml:space="preserve">The Edc Of Luce County </t>
  </si>
  <si>
    <t>Bois Blanc Township</t>
  </si>
  <si>
    <t>Brevort Township</t>
  </si>
  <si>
    <t>Clark Township</t>
  </si>
  <si>
    <t>Hendricks Township</t>
  </si>
  <si>
    <t>Mackinac County</t>
  </si>
  <si>
    <t xml:space="preserve">Mackinac County Housing Commission </t>
  </si>
  <si>
    <t xml:space="preserve">Mackinac County Road Commission </t>
  </si>
  <si>
    <t xml:space="preserve">Mackinac Island </t>
  </si>
  <si>
    <t>Marquette Township</t>
  </si>
  <si>
    <t>Moran Township</t>
  </si>
  <si>
    <t>Portage Township</t>
  </si>
  <si>
    <t xml:space="preserve">St Ignace </t>
  </si>
  <si>
    <t>St Ignace Township</t>
  </si>
  <si>
    <t xml:space="preserve">39Th District-Roseville </t>
  </si>
  <si>
    <t xml:space="preserve">41B District-Clinton Ch Twp And Mt Clemens </t>
  </si>
  <si>
    <t>Armada Township</t>
  </si>
  <si>
    <t>Armada Village</t>
  </si>
  <si>
    <t xml:space="preserve">Armada Free Public Library </t>
  </si>
  <si>
    <t>Bruce Township</t>
  </si>
  <si>
    <t xml:space="preserve">Center Line </t>
  </si>
  <si>
    <t>Chesterfield Charter Township</t>
  </si>
  <si>
    <t xml:space="preserve">Chesterfield Twp Library </t>
  </si>
  <si>
    <t>Clinton Charter Township</t>
  </si>
  <si>
    <t xml:space="preserve">Clinton Charter Twp Fire &amp; Police Pension System </t>
  </si>
  <si>
    <t xml:space="preserve">Clinton Macomb Public Library </t>
  </si>
  <si>
    <t xml:space="preserve">Clinton Twp Housing Commission </t>
  </si>
  <si>
    <t xml:space="preserve">County Of Macomb Enforcement Team-Comet </t>
  </si>
  <si>
    <t xml:space="preserve">Eastpointe </t>
  </si>
  <si>
    <t xml:space="preserve">Eastpointe City Housing Commission </t>
  </si>
  <si>
    <t xml:space="preserve">Eastpointe City--38Th District Court Funds </t>
  </si>
  <si>
    <t xml:space="preserve">Fraser </t>
  </si>
  <si>
    <t xml:space="preserve">Harrison Ch Twp Employees Retirement System </t>
  </si>
  <si>
    <t xml:space="preserve">Harrison Ch Twp Firemens Pension Fund </t>
  </si>
  <si>
    <t>Harrison Charter Township</t>
  </si>
  <si>
    <t>Lenox Township</t>
  </si>
  <si>
    <t xml:space="preserve">Lenox Township Library </t>
  </si>
  <si>
    <t>Macomb County</t>
  </si>
  <si>
    <t>Macomb Township</t>
  </si>
  <si>
    <t xml:space="preserve">Macomb Community College </t>
  </si>
  <si>
    <t xml:space="preserve">Macomb County Art Institute </t>
  </si>
  <si>
    <t xml:space="preserve">Macomb County Zoological Authority </t>
  </si>
  <si>
    <t xml:space="preserve">Martha T. Berry Medical Care Facility </t>
  </si>
  <si>
    <t xml:space="preserve">Memphis </t>
  </si>
  <si>
    <t xml:space="preserve">Mount Clemens </t>
  </si>
  <si>
    <t xml:space="preserve">Mt Clemens City Housing Commission </t>
  </si>
  <si>
    <t xml:space="preserve">Mt Clemens Public Library </t>
  </si>
  <si>
    <t xml:space="preserve">New Baltimore </t>
  </si>
  <si>
    <t>Ray Township</t>
  </si>
  <si>
    <t xml:space="preserve">Ray Township Public Library </t>
  </si>
  <si>
    <t xml:space="preserve">Recreation Authority Of Roseville And Eastpointe </t>
  </si>
  <si>
    <t xml:space="preserve">Richmond </t>
  </si>
  <si>
    <t>Richmond Township</t>
  </si>
  <si>
    <t xml:space="preserve">Richmond-Lenox Ems Ambulance Authority </t>
  </si>
  <si>
    <t>Romeo Village</t>
  </si>
  <si>
    <t xml:space="preserve">Romeo District Library </t>
  </si>
  <si>
    <t xml:space="preserve">Romeo Washington Bruce Parks/Recreation Commission </t>
  </si>
  <si>
    <t xml:space="preserve">Roseville </t>
  </si>
  <si>
    <t xml:space="preserve">Roseville City Housing Commission </t>
  </si>
  <si>
    <t>Shelby Charter Township</t>
  </si>
  <si>
    <t xml:space="preserve">South East Regional Emergency Services (Seresa) </t>
  </si>
  <si>
    <t xml:space="preserve">South Macomb Disposal Auth </t>
  </si>
  <si>
    <t xml:space="preserve">South Macomb Oakland Regional Services Authority </t>
  </si>
  <si>
    <t xml:space="preserve">Southeast Macomb Sanitary District </t>
  </si>
  <si>
    <t xml:space="preserve">St Clair Shores </t>
  </si>
  <si>
    <t xml:space="preserve">St Clair Shores Brownfield Redevelopment Authority </t>
  </si>
  <si>
    <t xml:space="preserve">St Clair Shores City Housing Commission </t>
  </si>
  <si>
    <t xml:space="preserve">St Clair Shores City Tifa </t>
  </si>
  <si>
    <t xml:space="preserve">St Clair Shores-40Th District Court </t>
  </si>
  <si>
    <t xml:space="preserve">Sterling Heights </t>
  </si>
  <si>
    <t xml:space="preserve">Sterling Heights City Housing Commission </t>
  </si>
  <si>
    <t xml:space="preserve">Suburban Library Cooperative </t>
  </si>
  <si>
    <t xml:space="preserve">Utica </t>
  </si>
  <si>
    <t xml:space="preserve">Warren </t>
  </si>
  <si>
    <t xml:space="preserve">Warren City Police &amp; Fire Ret Health Benefits Plan </t>
  </si>
  <si>
    <t xml:space="preserve">Warren City Police And Fire Retirement System </t>
  </si>
  <si>
    <t xml:space="preserve">Washington/Bruce Twp Senior Transp Thru Adv Reserv </t>
  </si>
  <si>
    <t>Bear Lake Village</t>
  </si>
  <si>
    <t xml:space="preserve">Bear Lake Improvement Board </t>
  </si>
  <si>
    <t xml:space="preserve">Centra Wellness Network </t>
  </si>
  <si>
    <t>Copemish Village</t>
  </si>
  <si>
    <t>Eastlake Village</t>
  </si>
  <si>
    <t>Filer Charter Township</t>
  </si>
  <si>
    <t xml:space="preserve">Manistee </t>
  </si>
  <si>
    <t>Manistee County</t>
  </si>
  <si>
    <t>Manistee Township</t>
  </si>
  <si>
    <t xml:space="preserve">Manistee Blacker Airport Authority </t>
  </si>
  <si>
    <t xml:space="preserve">Manistee City Downtown Development Auth </t>
  </si>
  <si>
    <t xml:space="preserve">Manistee Co Road Commission </t>
  </si>
  <si>
    <t xml:space="preserve">Manistee County 911 Central Dispatch </t>
  </si>
  <si>
    <t xml:space="preserve">Manistee County Library </t>
  </si>
  <si>
    <t xml:space="preserve">Manistee County Medical Care Facility </t>
  </si>
  <si>
    <t xml:space="preserve">Manistee County Transportation, Inc </t>
  </si>
  <si>
    <t>Marilla Township</t>
  </si>
  <si>
    <t>Onekama Township</t>
  </si>
  <si>
    <t>Onekama Village</t>
  </si>
  <si>
    <t>Springdale Township</t>
  </si>
  <si>
    <t xml:space="preserve">West Shore Medical Center </t>
  </si>
  <si>
    <t>Chocolay Charter Township</t>
  </si>
  <si>
    <t>Ely Township</t>
  </si>
  <si>
    <t>Forsyth Township</t>
  </si>
  <si>
    <t xml:space="preserve">Iron Ore Heritage Recreation Authority </t>
  </si>
  <si>
    <t xml:space="preserve">Ishpeming </t>
  </si>
  <si>
    <t>Ishpeming Township</t>
  </si>
  <si>
    <t xml:space="preserve">Ishpeming Area Joint Wastewater Treatment Facility </t>
  </si>
  <si>
    <t xml:space="preserve">Ishpeming City Housing Commission </t>
  </si>
  <si>
    <t xml:space="preserve">Marquette </t>
  </si>
  <si>
    <t>Marquette County</t>
  </si>
  <si>
    <t xml:space="preserve">Marquette Area Wastewater Treatment Facility </t>
  </si>
  <si>
    <t>Marquette Charter Township</t>
  </si>
  <si>
    <t xml:space="preserve">Marquette City Board Of Light And Power </t>
  </si>
  <si>
    <t xml:space="preserve">Marquette City Fire - Police Retirement System </t>
  </si>
  <si>
    <t xml:space="preserve">Marquette City Housing Commission </t>
  </si>
  <si>
    <t xml:space="preserve">Marquette Co Road Commission </t>
  </si>
  <si>
    <t xml:space="preserve">Marquette Co Solid Waste Management Authority </t>
  </si>
  <si>
    <t xml:space="preserve">Marquette County Medical Care Facility </t>
  </si>
  <si>
    <t xml:space="preserve">Marquette County Transit Authority </t>
  </si>
  <si>
    <t xml:space="preserve">Negaunee </t>
  </si>
  <si>
    <t>Negaunee Township</t>
  </si>
  <si>
    <t xml:space="preserve">Negaunee City Housing Commission </t>
  </si>
  <si>
    <t xml:space="preserve">Negaunee-Ishpeming Water Authority </t>
  </si>
  <si>
    <t xml:space="preserve">North Michigan Library Network </t>
  </si>
  <si>
    <t xml:space="preserve">Northcare Network </t>
  </si>
  <si>
    <t xml:space="preserve">Pathways </t>
  </si>
  <si>
    <t xml:space="preserve">Peter White Public Library </t>
  </si>
  <si>
    <t>Powell Township</t>
  </si>
  <si>
    <t>Republic Township</t>
  </si>
  <si>
    <t>Sands Township</t>
  </si>
  <si>
    <t xml:space="preserve">Skandia-West Branch Township Water Authority </t>
  </si>
  <si>
    <t xml:space="preserve">Skandia/West Branch Joint Operations Board </t>
  </si>
  <si>
    <t xml:space="preserve">Superiorland Library Cooperative </t>
  </si>
  <si>
    <t>Tilden Township</t>
  </si>
  <si>
    <t>Turin Township</t>
  </si>
  <si>
    <t xml:space="preserve">Upper Peninsula Region Of Library Cooperation </t>
  </si>
  <si>
    <t xml:space="preserve">Upper Peninsula Substance Enforcement Team-Upset </t>
  </si>
  <si>
    <t xml:space="preserve">West Marquette County Sanitation Authority </t>
  </si>
  <si>
    <t>Branch Township</t>
  </si>
  <si>
    <t>Custer Village</t>
  </si>
  <si>
    <t>Free Soil Township</t>
  </si>
  <si>
    <t xml:space="preserve">Ludington </t>
  </si>
  <si>
    <t xml:space="preserve">Ludington Mass Transportation Authority </t>
  </si>
  <si>
    <t>Mason County</t>
  </si>
  <si>
    <t xml:space="preserve">Mason County Road Commission </t>
  </si>
  <si>
    <t xml:space="preserve">Mason County Rural Fire Authority </t>
  </si>
  <si>
    <t xml:space="preserve">Mason-Oceana 911 </t>
  </si>
  <si>
    <t>Meade Township</t>
  </si>
  <si>
    <t>Pere Marquette Charter Township</t>
  </si>
  <si>
    <t>Riverton Township</t>
  </si>
  <si>
    <t xml:space="preserve">Scottville </t>
  </si>
  <si>
    <t xml:space="preserve">West Michigan Community Mental Health System </t>
  </si>
  <si>
    <t xml:space="preserve">Western Mason County Fire District Authority </t>
  </si>
  <si>
    <t>Austin Township</t>
  </si>
  <si>
    <t>Barryton Village</t>
  </si>
  <si>
    <t xml:space="preserve">Big Rapids </t>
  </si>
  <si>
    <t>Big Rapids Charter Township</t>
  </si>
  <si>
    <t xml:space="preserve">Big Rapids City Housing Commission </t>
  </si>
  <si>
    <t xml:space="preserve">Chippewa Martiny Fire Department </t>
  </si>
  <si>
    <t>Fork Township</t>
  </si>
  <si>
    <t>Green Charter Township</t>
  </si>
  <si>
    <t xml:space="preserve">Meceola Consolidated Central Dispatch Authority </t>
  </si>
  <si>
    <t>Mecosta County</t>
  </si>
  <si>
    <t>Mecosta Township</t>
  </si>
  <si>
    <t>Mecosta Village</t>
  </si>
  <si>
    <t xml:space="preserve">Mecosta County Road Commission </t>
  </si>
  <si>
    <t xml:space="preserve">Mecosta Osceola Transit Authority </t>
  </si>
  <si>
    <t>Millbrook Township</t>
  </si>
  <si>
    <t xml:space="preserve">Millbrook-Rolland Twps Fire Department </t>
  </si>
  <si>
    <t xml:space="preserve">Morley Area Fire Department </t>
  </si>
  <si>
    <t>Morton Township</t>
  </si>
  <si>
    <t>Stanwood Village</t>
  </si>
  <si>
    <t xml:space="preserve">West Central Mi Employment &amp; Training Consortium </t>
  </si>
  <si>
    <t>Daggett Township</t>
  </si>
  <si>
    <t>Gourley Township</t>
  </si>
  <si>
    <t>Harris Township</t>
  </si>
  <si>
    <t xml:space="preserve">Hermansville Housing Commission </t>
  </si>
  <si>
    <t>Holmes Township</t>
  </si>
  <si>
    <t>Ingallston Township</t>
  </si>
  <si>
    <t xml:space="preserve">Menominee </t>
  </si>
  <si>
    <t>Menominee County</t>
  </si>
  <si>
    <t>Menominee Township</t>
  </si>
  <si>
    <t xml:space="preserve">Menominee &amp; Ingallston Twps Fire Department </t>
  </si>
  <si>
    <t xml:space="preserve">Menominee &amp; Ingallston Twps Transfer Station </t>
  </si>
  <si>
    <t xml:space="preserve">Menominee City Housing Commission </t>
  </si>
  <si>
    <t xml:space="preserve">Menominee County Road Commission </t>
  </si>
  <si>
    <t>Meyer Township</t>
  </si>
  <si>
    <t>Nadeau Township</t>
  </si>
  <si>
    <t xml:space="preserve">Pinecrest Medical Care Facility </t>
  </si>
  <si>
    <t>Powers Village</t>
  </si>
  <si>
    <t xml:space="preserve">Powers-Spalding Water Authority </t>
  </si>
  <si>
    <t>Spalding Township</t>
  </si>
  <si>
    <t xml:space="preserve">Stephenson </t>
  </si>
  <si>
    <t xml:space="preserve">Coleman </t>
  </si>
  <si>
    <t xml:space="preserve">Coleman Area Fire Protection Board </t>
  </si>
  <si>
    <t xml:space="preserve">Coleman Area Library </t>
  </si>
  <si>
    <t>Edenville Township</t>
  </si>
  <si>
    <t>Geneva Township</t>
  </si>
  <si>
    <t>Greendale Township</t>
  </si>
  <si>
    <t>Homer Township</t>
  </si>
  <si>
    <t>Ingersoll Township</t>
  </si>
  <si>
    <t>Jasper Township</t>
  </si>
  <si>
    <t>Jerome Township</t>
  </si>
  <si>
    <t>Larkin Charter Township</t>
  </si>
  <si>
    <t xml:space="preserve">Midland </t>
  </si>
  <si>
    <t>Midland County</t>
  </si>
  <si>
    <t xml:space="preserve">Midland Area Transportation Study </t>
  </si>
  <si>
    <t xml:space="preserve">Midland City &amp; County Joint Building Authority </t>
  </si>
  <si>
    <t xml:space="preserve">Midland Co Central Dispatch Authority </t>
  </si>
  <si>
    <t xml:space="preserve">Midland Co Edc </t>
  </si>
  <si>
    <t xml:space="preserve">Midland Co Road Commission </t>
  </si>
  <si>
    <t>Mills Township</t>
  </si>
  <si>
    <t>Mt Haley Township</t>
  </si>
  <si>
    <t>Sanford Village</t>
  </si>
  <si>
    <t xml:space="preserve">Township Code Authority Of Midland County </t>
  </si>
  <si>
    <t xml:space="preserve">Water District No. 1 Of Midland County </t>
  </si>
  <si>
    <t>Bloomfield Township</t>
  </si>
  <si>
    <t>Butterfield Township</t>
  </si>
  <si>
    <t>Clam Union Township</t>
  </si>
  <si>
    <t xml:space="preserve">District Health Dept No 10-White Cloud </t>
  </si>
  <si>
    <t>Enterprise Township</t>
  </si>
  <si>
    <t>Holland Township</t>
  </si>
  <si>
    <t xml:space="preserve">Lake City </t>
  </si>
  <si>
    <t xml:space="preserve">Lake Missaukee Area Fire Authority </t>
  </si>
  <si>
    <t xml:space="preserve">Mcbain </t>
  </si>
  <si>
    <t xml:space="preserve">Merritt Area Fire Department </t>
  </si>
  <si>
    <t>Missaukee County</t>
  </si>
  <si>
    <t xml:space="preserve">Missaukee Co Road Commission </t>
  </si>
  <si>
    <t xml:space="preserve">Missaukee District Library </t>
  </si>
  <si>
    <t>Norwich Township</t>
  </si>
  <si>
    <t>Pioneer Township</t>
  </si>
  <si>
    <t>Reeder Township</t>
  </si>
  <si>
    <t>Riverside Township</t>
  </si>
  <si>
    <t>West Branch Township</t>
  </si>
  <si>
    <t>Ash Township</t>
  </si>
  <si>
    <t>Bedford Township</t>
  </si>
  <si>
    <t xml:space="preserve">Bedford Township Housing Commission </t>
  </si>
  <si>
    <t>Berlin Charter Township</t>
  </si>
  <si>
    <t>Carleton Village</t>
  </si>
  <si>
    <t>Dundee Township</t>
  </si>
  <si>
    <t>Dundee Village</t>
  </si>
  <si>
    <t xml:space="preserve">Dundee Village Housing Commission </t>
  </si>
  <si>
    <t>Erie Township</t>
  </si>
  <si>
    <t>Estral Beach Village Village</t>
  </si>
  <si>
    <t>Exeter Township</t>
  </si>
  <si>
    <t xml:space="preserve">Frenchtown Ch Twp Resort District Auth </t>
  </si>
  <si>
    <t>Frenchtown Charter Township</t>
  </si>
  <si>
    <t>Ida Township</t>
  </si>
  <si>
    <t xml:space="preserve">Lake Erie Transportation Commission </t>
  </si>
  <si>
    <t>Lasalle Township</t>
  </si>
  <si>
    <t>London Township</t>
  </si>
  <si>
    <t xml:space="preserve">London-Maybee-Raisinville Fire Department </t>
  </si>
  <si>
    <t xml:space="preserve">Luna Pier City Housing Commission </t>
  </si>
  <si>
    <t>Milan Township</t>
  </si>
  <si>
    <t xml:space="preserve">Monroe </t>
  </si>
  <si>
    <t>Monroe County</t>
  </si>
  <si>
    <t>Monroe Charter Township</t>
  </si>
  <si>
    <t xml:space="preserve">Monroe City Brownfield Redevelopment Authority </t>
  </si>
  <si>
    <t xml:space="preserve">Monroe City Downtown Development Authority </t>
  </si>
  <si>
    <t xml:space="preserve">Monroe Co Employees Retirement System </t>
  </si>
  <si>
    <t xml:space="preserve">Monroe Co.Land Bank Fast Track Authority </t>
  </si>
  <si>
    <t xml:space="preserve">Monroe Community Mental Health Authority </t>
  </si>
  <si>
    <t xml:space="preserve">Monroe County Agency </t>
  </si>
  <si>
    <t xml:space="preserve">Monroe County Building Authority </t>
  </si>
  <si>
    <t xml:space="preserve">Monroe County Community College </t>
  </si>
  <si>
    <t xml:space="preserve">Monroe County Library System </t>
  </si>
  <si>
    <t xml:space="preserve">Monroe County Road Commission </t>
  </si>
  <si>
    <t xml:space="preserve">Monroe Housing Commission </t>
  </si>
  <si>
    <t xml:space="preserve">Monroe Metropolitan Water Pollution Control System </t>
  </si>
  <si>
    <t xml:space="preserve">Monroe Raw Water Intake Partnership </t>
  </si>
  <si>
    <t xml:space="preserve">Petersburg </t>
  </si>
  <si>
    <t xml:space="preserve">Port Of Monroe </t>
  </si>
  <si>
    <t>Raisinville Township</t>
  </si>
  <si>
    <t>South Rockwood Village</t>
  </si>
  <si>
    <t>Whiteford Township</t>
  </si>
  <si>
    <t>Belvidere Township</t>
  </si>
  <si>
    <t>Bloomer Township</t>
  </si>
  <si>
    <t xml:space="preserve">Carson City </t>
  </si>
  <si>
    <t>Cato Township</t>
  </si>
  <si>
    <t xml:space="preserve">Central Area Michigan Works! Consortium </t>
  </si>
  <si>
    <t xml:space="preserve">Community Fire Association </t>
  </si>
  <si>
    <t>Crystal Township</t>
  </si>
  <si>
    <t>Edmore Village</t>
  </si>
  <si>
    <t>Eureka Charter Township</t>
  </si>
  <si>
    <t>Evergreen Township</t>
  </si>
  <si>
    <t>Fairplain Township</t>
  </si>
  <si>
    <t>Ferris Township</t>
  </si>
  <si>
    <t xml:space="preserve">Flat River Community Library </t>
  </si>
  <si>
    <t xml:space="preserve">Greenville </t>
  </si>
  <si>
    <t xml:space="preserve">Greenville City Housing Commission </t>
  </si>
  <si>
    <t>Home Township</t>
  </si>
  <si>
    <t xml:space="preserve">Home Township Library </t>
  </si>
  <si>
    <t>Howard City Village</t>
  </si>
  <si>
    <t>Lakeview Village</t>
  </si>
  <si>
    <t xml:space="preserve">Lakeview District Fire Department </t>
  </si>
  <si>
    <t xml:space="preserve">Mid-Michigan District Health Department </t>
  </si>
  <si>
    <t>Montcalm County</t>
  </si>
  <si>
    <t xml:space="preserve">Montcalm Care Network </t>
  </si>
  <si>
    <t xml:space="preserve">Montcalm Co Housing Commission </t>
  </si>
  <si>
    <t xml:space="preserve">Montcalm Community College </t>
  </si>
  <si>
    <t xml:space="preserve">Montcalm County Road Commission </t>
  </si>
  <si>
    <t>Pierson Township</t>
  </si>
  <si>
    <t>Pine Township</t>
  </si>
  <si>
    <t>Reynolds Township</t>
  </si>
  <si>
    <t>Sheridan Village</t>
  </si>
  <si>
    <t>Sidney Township</t>
  </si>
  <si>
    <t xml:space="preserve">Stanton </t>
  </si>
  <si>
    <t xml:space="preserve">Tamarack District Library </t>
  </si>
  <si>
    <t xml:space="preserve">White Pine District Library </t>
  </si>
  <si>
    <t>Winfield Township</t>
  </si>
  <si>
    <t>Albert Township</t>
  </si>
  <si>
    <t>Briley Township</t>
  </si>
  <si>
    <t>Hillman Township</t>
  </si>
  <si>
    <t>Hillman Village</t>
  </si>
  <si>
    <t xml:space="preserve">Hillman Fire Board </t>
  </si>
  <si>
    <t>Loud Township</t>
  </si>
  <si>
    <t>Montmorency County</t>
  </si>
  <si>
    <t xml:space="preserve">Montmorency County Road Commission </t>
  </si>
  <si>
    <t xml:space="preserve">Montmorency Public Library </t>
  </si>
  <si>
    <t xml:space="preserve">Montmorency-Oscoda-Alpena Solid Waste Mgmt Auth </t>
  </si>
  <si>
    <t xml:space="preserve">Tri-Twp Ambulance Serv/Loud/Avery/Briley Twps </t>
  </si>
  <si>
    <t>Vienna Township</t>
  </si>
  <si>
    <t>Casnovia Township</t>
  </si>
  <si>
    <t>Casnovia Village</t>
  </si>
  <si>
    <t>Cedar Creek Township</t>
  </si>
  <si>
    <t>Dalton Township</t>
  </si>
  <si>
    <t>Egelston Township</t>
  </si>
  <si>
    <t>Fruitland Township</t>
  </si>
  <si>
    <t>Fruitport Village</t>
  </si>
  <si>
    <t>Fruitport Charter Township</t>
  </si>
  <si>
    <t xml:space="preserve">Hackley Public Library </t>
  </si>
  <si>
    <t xml:space="preserve">Healthwest </t>
  </si>
  <si>
    <t>Holton Township</t>
  </si>
  <si>
    <t xml:space="preserve">Lakeshore Regional Partners </t>
  </si>
  <si>
    <t>Laketon Township</t>
  </si>
  <si>
    <t>Lakewood Club Village</t>
  </si>
  <si>
    <t xml:space="preserve">Montague </t>
  </si>
  <si>
    <t>Montague Township</t>
  </si>
  <si>
    <t xml:space="preserve">Montague Fire District </t>
  </si>
  <si>
    <t>Moorland Township</t>
  </si>
  <si>
    <t xml:space="preserve">Muskegon </t>
  </si>
  <si>
    <t>Muskegon County</t>
  </si>
  <si>
    <t xml:space="preserve">Muskegon Area District Library </t>
  </si>
  <si>
    <t xml:space="preserve">Muskegon Central Dispatch 9-1-1 </t>
  </si>
  <si>
    <t>Muskegon Charter Township</t>
  </si>
  <si>
    <t xml:space="preserve">Muskegon Community College </t>
  </si>
  <si>
    <t xml:space="preserve">Muskegon County Road Commission </t>
  </si>
  <si>
    <t xml:space="preserve">Muskegon Heights </t>
  </si>
  <si>
    <t xml:space="preserve">Muskegon Heights City Housing Commission </t>
  </si>
  <si>
    <t xml:space="preserve">North Muskegon </t>
  </si>
  <si>
    <t xml:space="preserve">Norton Shores </t>
  </si>
  <si>
    <t>Ravenna Township</t>
  </si>
  <si>
    <t>Ravenna Village</t>
  </si>
  <si>
    <t xml:space="preserve">Roosevelt Park </t>
  </si>
  <si>
    <t>Sullivan Township</t>
  </si>
  <si>
    <t xml:space="preserve">West Michigan Regional Water Authority </t>
  </si>
  <si>
    <t xml:space="preserve">West Michigan Shoreline Regional Development Commission </t>
  </si>
  <si>
    <t xml:space="preserve">White Lake Ambulance Authority </t>
  </si>
  <si>
    <t xml:space="preserve">White Lake Area Solid Waste Authority </t>
  </si>
  <si>
    <t xml:space="preserve">White Lake Community Library </t>
  </si>
  <si>
    <t xml:space="preserve">White Lake Fire Authority </t>
  </si>
  <si>
    <t>White River Township</t>
  </si>
  <si>
    <t xml:space="preserve">Whitehall </t>
  </si>
  <si>
    <t>Whitehall Township</t>
  </si>
  <si>
    <t xml:space="preserve">Ashland-Grant Fire District </t>
  </si>
  <si>
    <t>Barton Township</t>
  </si>
  <si>
    <t xml:space="preserve">Big Prairie-Everett Cemetery </t>
  </si>
  <si>
    <t>Bridgeton Township</t>
  </si>
  <si>
    <t>Brooks Township</t>
  </si>
  <si>
    <t xml:space="preserve">Chain Of Lakes Area Utilities Authority </t>
  </si>
  <si>
    <t>Croton Township</t>
  </si>
  <si>
    <t>Dayton Township</t>
  </si>
  <si>
    <t>Everett Township</t>
  </si>
  <si>
    <t xml:space="preserve">Fremont </t>
  </si>
  <si>
    <t xml:space="preserve">Fremont Area District Library </t>
  </si>
  <si>
    <t xml:space="preserve">Fremont Community Recreational Authority </t>
  </si>
  <si>
    <t xml:space="preserve">Grant </t>
  </si>
  <si>
    <t xml:space="preserve">Grant Area District Library </t>
  </si>
  <si>
    <t xml:space="preserve">Hesperia Community Library </t>
  </si>
  <si>
    <t>Lilley Township</t>
  </si>
  <si>
    <t>Monroe Township</t>
  </si>
  <si>
    <t xml:space="preserve">Newaygo </t>
  </si>
  <si>
    <t>Newaygo County</t>
  </si>
  <si>
    <t xml:space="preserve">Newaygo Area District Library </t>
  </si>
  <si>
    <t xml:space="preserve">Newaygo Area Recreation Authority </t>
  </si>
  <si>
    <t xml:space="preserve">Newaygo Co Road Commission </t>
  </si>
  <si>
    <t xml:space="preserve">Newaygo County Mental Health Board </t>
  </si>
  <si>
    <t xml:space="preserve">Newaygo Fire District Command Board </t>
  </si>
  <si>
    <t xml:space="preserve">Newaygo Medical Care Facility </t>
  </si>
  <si>
    <t>Sheridan Charter Township</t>
  </si>
  <si>
    <t>Troy Township</t>
  </si>
  <si>
    <t xml:space="preserve">White Cloud </t>
  </si>
  <si>
    <t xml:space="preserve">White Cloud Area Fire Department </t>
  </si>
  <si>
    <t xml:space="preserve">White Cloud Area Fire Joint Building Authority </t>
  </si>
  <si>
    <t xml:space="preserve">White Cloud Community Library </t>
  </si>
  <si>
    <t xml:space="preserve">White Cloud/Sherman Utilities Authority </t>
  </si>
  <si>
    <t xml:space="preserve">43Rd District-Hazel Park </t>
  </si>
  <si>
    <t xml:space="preserve">47Th District Court-Farmington </t>
  </si>
  <si>
    <t xml:space="preserve">51St District Court-Waterford Charter Township </t>
  </si>
  <si>
    <t>Addison Township</t>
  </si>
  <si>
    <t xml:space="preserve">Addison Township Public Library </t>
  </si>
  <si>
    <t xml:space="preserve">Auburn Hills </t>
  </si>
  <si>
    <t xml:space="preserve">Auburn Hills Library </t>
  </si>
  <si>
    <t xml:space="preserve">Baldwin Public Library </t>
  </si>
  <si>
    <t xml:space="preserve">Berkley </t>
  </si>
  <si>
    <t>Beverly Hills Village</t>
  </si>
  <si>
    <t>Bingham Farms Village</t>
  </si>
  <si>
    <t xml:space="preserve">Birmingham </t>
  </si>
  <si>
    <t xml:space="preserve">Birmingham Area Cable Board </t>
  </si>
  <si>
    <t>Bloomfield Charter Township</t>
  </si>
  <si>
    <t xml:space="preserve">Bloomfield Hills </t>
  </si>
  <si>
    <t xml:space="preserve">Bloomfield Twp Public Library </t>
  </si>
  <si>
    <t>Brandon Charter Township</t>
  </si>
  <si>
    <t xml:space="preserve">Brandon Twp Public Library </t>
  </si>
  <si>
    <t xml:space="preserve">Charter Township Of Milford Library </t>
  </si>
  <si>
    <t xml:space="preserve">City Of Lathrup Village </t>
  </si>
  <si>
    <t xml:space="preserve">City Of Southfield Cornerstone Dda </t>
  </si>
  <si>
    <t xml:space="preserve">City Of The Village Of Clarkston </t>
  </si>
  <si>
    <t xml:space="preserve">Clarkston Independence District Library </t>
  </si>
  <si>
    <t xml:space="preserve">Clawson </t>
  </si>
  <si>
    <t>Commerce Charter Township</t>
  </si>
  <si>
    <t xml:space="preserve">Farmington </t>
  </si>
  <si>
    <t xml:space="preserve">Farmington Community Library </t>
  </si>
  <si>
    <t xml:space="preserve">Farmington Hills </t>
  </si>
  <si>
    <t xml:space="preserve">Ferndale </t>
  </si>
  <si>
    <t xml:space="preserve">Ferndale Area District Library </t>
  </si>
  <si>
    <t>Franklin Village</t>
  </si>
  <si>
    <t xml:space="preserve">Franklin Public Library </t>
  </si>
  <si>
    <t>Groveland Township</t>
  </si>
  <si>
    <t xml:space="preserve">Hazel Park </t>
  </si>
  <si>
    <t xml:space="preserve">Hazel Park Memorial Library </t>
  </si>
  <si>
    <t>Highland Charter Township</t>
  </si>
  <si>
    <t xml:space="preserve">Highland Township Public Library </t>
  </si>
  <si>
    <t>Holly Township</t>
  </si>
  <si>
    <t>Holly Village</t>
  </si>
  <si>
    <t xml:space="preserve">Huntington Woods </t>
  </si>
  <si>
    <t>Independence Charter Township</t>
  </si>
  <si>
    <t xml:space="preserve">Keego Harbor </t>
  </si>
  <si>
    <t xml:space="preserve">Lake Angelus </t>
  </si>
  <si>
    <t>Lake Orion Village</t>
  </si>
  <si>
    <t>Leonard Village</t>
  </si>
  <si>
    <t>Lyon Charter Township</t>
  </si>
  <si>
    <t xml:space="preserve">Madison Heights </t>
  </si>
  <si>
    <t>Milford Village</t>
  </si>
  <si>
    <t>Milford Charter Township</t>
  </si>
  <si>
    <t xml:space="preserve">North Oakland County Fire Authority </t>
  </si>
  <si>
    <t xml:space="preserve">North Oakland Transportation Authority </t>
  </si>
  <si>
    <t xml:space="preserve">Novi </t>
  </si>
  <si>
    <t>Novi Township</t>
  </si>
  <si>
    <t xml:space="preserve">Oak Park </t>
  </si>
  <si>
    <t>Oakland County</t>
  </si>
  <si>
    <t>Oakland Charter Township</t>
  </si>
  <si>
    <t xml:space="preserve">Oakland Co Community Mental Health Authority </t>
  </si>
  <si>
    <t xml:space="preserve">Oakland Co Road Comm Retiree Health Care Trust </t>
  </si>
  <si>
    <t xml:space="preserve">Oakland County Art Institute Authority </t>
  </si>
  <si>
    <t xml:space="preserve">Oakland County Public Transportation Authority </t>
  </si>
  <si>
    <t xml:space="preserve">Oakland County Road Commision </t>
  </si>
  <si>
    <t xml:space="preserve">Oakland County Road Commission Retirement System </t>
  </si>
  <si>
    <t xml:space="preserve">Oakland County Zoological Authority </t>
  </si>
  <si>
    <t xml:space="preserve">Orchard Lake Village </t>
  </si>
  <si>
    <t>Orion Charter Township Township</t>
  </si>
  <si>
    <t xml:space="preserve">Orion Township Public Library </t>
  </si>
  <si>
    <t>Ortonville Village</t>
  </si>
  <si>
    <t>Oxford Village</t>
  </si>
  <si>
    <t>Oxford Charter Township</t>
  </si>
  <si>
    <t xml:space="preserve">Oxford Public Library </t>
  </si>
  <si>
    <t xml:space="preserve">Paint Creek Trailways Commission </t>
  </si>
  <si>
    <t xml:space="preserve">Pleasant Ridge </t>
  </si>
  <si>
    <t xml:space="preserve">Pontiac </t>
  </si>
  <si>
    <t xml:space="preserve">Pontiac City General Employees Retirment System </t>
  </si>
  <si>
    <t xml:space="preserve">Pontiac City Housing Commission </t>
  </si>
  <si>
    <t xml:space="preserve">Pontiac Public Library </t>
  </si>
  <si>
    <t xml:space="preserve">Resource Recovery/Recycling Auth Of Sw Oakland Co </t>
  </si>
  <si>
    <t xml:space="preserve">Rochester </t>
  </si>
  <si>
    <t xml:space="preserve">Rochester Avon Recreation Authority </t>
  </si>
  <si>
    <t xml:space="preserve">Rochester Hills </t>
  </si>
  <si>
    <t xml:space="preserve">Rochester Hills Public Library </t>
  </si>
  <si>
    <t xml:space="preserve">Rochester Hills-Oakland-Rochester Older Persons' Commission </t>
  </si>
  <si>
    <t>Rose Township</t>
  </si>
  <si>
    <t xml:space="preserve">Royal Oak </t>
  </si>
  <si>
    <t xml:space="preserve">Royal Oak Twp Housing Commission </t>
  </si>
  <si>
    <t xml:space="preserve">Salem-South Lyon District Library </t>
  </si>
  <si>
    <t xml:space="preserve">South Lyon </t>
  </si>
  <si>
    <t xml:space="preserve">South Lyon Area Recreation Council </t>
  </si>
  <si>
    <t xml:space="preserve">Southeastern Oakland County Resource Recovery Auth </t>
  </si>
  <si>
    <t xml:space="preserve">Southeastern Oakland County Water Authority </t>
  </si>
  <si>
    <t xml:space="preserve">Southfield </t>
  </si>
  <si>
    <t>Southfield Township</t>
  </si>
  <si>
    <t xml:space="preserve">Southwestern Oakland Cable Commission </t>
  </si>
  <si>
    <t>Springfield Charter Township Township</t>
  </si>
  <si>
    <t xml:space="preserve">State Of Michigan 48Th Judicial District Court </t>
  </si>
  <si>
    <t xml:space="preserve">Sylvan Lake </t>
  </si>
  <si>
    <t xml:space="preserve">Tri-City Fire Dept/Keego Harb/Orchard Lk/Sylvan Lk </t>
  </si>
  <si>
    <t xml:space="preserve">Troy </t>
  </si>
  <si>
    <t xml:space="preserve">Walled Lake </t>
  </si>
  <si>
    <t>Waterford Charter Township</t>
  </si>
  <si>
    <t>West Bloomfield Charter Township</t>
  </si>
  <si>
    <t xml:space="preserve">West Bloomfield Township Public Library </t>
  </si>
  <si>
    <t xml:space="preserve">West Bloomfield Twp Parks &amp; Recreation Commission </t>
  </si>
  <si>
    <t>White Lake Charter Township Township</t>
  </si>
  <si>
    <t xml:space="preserve">White Lake Township Public Library </t>
  </si>
  <si>
    <t xml:space="preserve">Wixom </t>
  </si>
  <si>
    <t xml:space="preserve">Wixom Public Library </t>
  </si>
  <si>
    <t>Wolverine Lake Village</t>
  </si>
  <si>
    <t>Benona Township</t>
  </si>
  <si>
    <t>Golden Township</t>
  </si>
  <si>
    <t xml:space="preserve">Hart </t>
  </si>
  <si>
    <t>Hart Township</t>
  </si>
  <si>
    <t xml:space="preserve">Hart Area Fire Administrative Board </t>
  </si>
  <si>
    <t xml:space="preserve">Hart Area Public Library </t>
  </si>
  <si>
    <t>Hesperia Village</t>
  </si>
  <si>
    <t xml:space="preserve">Hesperia Area Fire Authority </t>
  </si>
  <si>
    <t>Newfield Township</t>
  </si>
  <si>
    <t>Oceana County</t>
  </si>
  <si>
    <t xml:space="preserve">Oceana County Medical Care Facility </t>
  </si>
  <si>
    <t xml:space="preserve">Oceana County Road Commission </t>
  </si>
  <si>
    <t>Otto Township</t>
  </si>
  <si>
    <t>Pentwater Township</t>
  </si>
  <si>
    <t>Pentwater Village</t>
  </si>
  <si>
    <t>Shelby Township</t>
  </si>
  <si>
    <t>Shelby Village</t>
  </si>
  <si>
    <t xml:space="preserve">Shelby Area District Library </t>
  </si>
  <si>
    <t xml:space="preserve">Shelby-Benona Fire Department </t>
  </si>
  <si>
    <t>Walkerville Village</t>
  </si>
  <si>
    <t xml:space="preserve">Walkerville Area Fire And Rescue Dept </t>
  </si>
  <si>
    <t>Weare Township</t>
  </si>
  <si>
    <t>Cumming Township</t>
  </si>
  <si>
    <t xml:space="preserve">District Health Department #2 Ogemaw County </t>
  </si>
  <si>
    <t>Foster Township</t>
  </si>
  <si>
    <t>Goodar Township</t>
  </si>
  <si>
    <t>Hill Township</t>
  </si>
  <si>
    <t>Logan Township</t>
  </si>
  <si>
    <t>Ogemaw County</t>
  </si>
  <si>
    <t>Ogemaw Township</t>
  </si>
  <si>
    <t xml:space="preserve">Ogemaw City Emergency Medical Services Authority </t>
  </si>
  <si>
    <t xml:space="preserve">Ogemaw County Road Commission </t>
  </si>
  <si>
    <t xml:space="preserve">Ogemaw District Library </t>
  </si>
  <si>
    <t xml:space="preserve">Ogemaw Fire Department </t>
  </si>
  <si>
    <t>Prescott Village</t>
  </si>
  <si>
    <t xml:space="preserve">Richland-Logan Fire Authority </t>
  </si>
  <si>
    <t xml:space="preserve">Rose City </t>
  </si>
  <si>
    <t xml:space="preserve">Rose City Area Fire Board </t>
  </si>
  <si>
    <t xml:space="preserve">Sting-Strike Team Investigative Narcotics Group </t>
  </si>
  <si>
    <t xml:space="preserve">West Branch </t>
  </si>
  <si>
    <t xml:space="preserve">West Branch Area Wastewater Treatment Plant Author </t>
  </si>
  <si>
    <t xml:space="preserve">West Branch Community Airport </t>
  </si>
  <si>
    <t xml:space="preserve">West Branch District Library </t>
  </si>
  <si>
    <t>Bergland Township</t>
  </si>
  <si>
    <t>Haight Township</t>
  </si>
  <si>
    <t>Matchwood Township</t>
  </si>
  <si>
    <t>Ontonagon County</t>
  </si>
  <si>
    <t>Ontonagon Village</t>
  </si>
  <si>
    <t xml:space="preserve">Ontonagon Co Public Transit Fund </t>
  </si>
  <si>
    <t xml:space="preserve">Ontonagon Co Road Commission </t>
  </si>
  <si>
    <t xml:space="preserve">Ontonagon Village Housing Commission </t>
  </si>
  <si>
    <t>Rockland Township</t>
  </si>
  <si>
    <t>Stannard Township</t>
  </si>
  <si>
    <t>Cedar Township</t>
  </si>
  <si>
    <t xml:space="preserve">Evart </t>
  </si>
  <si>
    <t xml:space="preserve">Evart Area Joint Fire District </t>
  </si>
  <si>
    <t xml:space="preserve">Evart City Housing Commission </t>
  </si>
  <si>
    <t xml:space="preserve">Evart Public Library </t>
  </si>
  <si>
    <t>Hersey Township</t>
  </si>
  <si>
    <t>Hersey Village</t>
  </si>
  <si>
    <t xml:space="preserve">Leroy Community Library </t>
  </si>
  <si>
    <t xml:space="preserve">Leroy-Rose Lake Fire District </t>
  </si>
  <si>
    <t>Marion Village</t>
  </si>
  <si>
    <t>Orient Township</t>
  </si>
  <si>
    <t>Osceola County</t>
  </si>
  <si>
    <t xml:space="preserve">Osceola Co Road Commission </t>
  </si>
  <si>
    <t xml:space="preserve">Reed City </t>
  </si>
  <si>
    <t xml:space="preserve">Reed City Area District Library </t>
  </si>
  <si>
    <t xml:space="preserve">Reed City Housing Commission </t>
  </si>
  <si>
    <t>Rose Lake Township</t>
  </si>
  <si>
    <t>Sylvan Township</t>
  </si>
  <si>
    <t>Tustin Village</t>
  </si>
  <si>
    <t xml:space="preserve">Tustin Area Fire District </t>
  </si>
  <si>
    <t>Big Creek Township</t>
  </si>
  <si>
    <t xml:space="preserve">Big Creek/Mentor Utility Auth </t>
  </si>
  <si>
    <t>Comins Township</t>
  </si>
  <si>
    <t>Elmer Township</t>
  </si>
  <si>
    <t>Oscoda County</t>
  </si>
  <si>
    <t xml:space="preserve">Oscoda County Road Commission </t>
  </si>
  <si>
    <t xml:space="preserve">Tri-Town Fire Dept-Big Creek/Elmer/Mentor Twps </t>
  </si>
  <si>
    <t>Bagley Township</t>
  </si>
  <si>
    <t xml:space="preserve">Bagley Township Downtown Development Authority </t>
  </si>
  <si>
    <t>Charlton Township</t>
  </si>
  <si>
    <t>Corwith Township</t>
  </si>
  <si>
    <t>Elmira Township</t>
  </si>
  <si>
    <t xml:space="preserve">Gaylord </t>
  </si>
  <si>
    <t>Livingston Township</t>
  </si>
  <si>
    <t>Otsego County</t>
  </si>
  <si>
    <t xml:space="preserve">Otsego County Bus System </t>
  </si>
  <si>
    <t xml:space="preserve">Otsego County Fire Board </t>
  </si>
  <si>
    <t xml:space="preserve">Otsego County Road Commission </t>
  </si>
  <si>
    <t>Otsego Lake Township</t>
  </si>
  <si>
    <t>Vanderbilt Village</t>
  </si>
  <si>
    <t xml:space="preserve">Vanderbilt Corwith Fire And Rescue Board </t>
  </si>
  <si>
    <t>Allendale Charter Township</t>
  </si>
  <si>
    <t>Blendon Township</t>
  </si>
  <si>
    <t xml:space="preserve">Community Mental Health Of Ottawa County </t>
  </si>
  <si>
    <t xml:space="preserve">Coopersville </t>
  </si>
  <si>
    <t xml:space="preserve">Coopersville Area District Library </t>
  </si>
  <si>
    <t xml:space="preserve">Coopersville Polkton Area Fire Protection Auth </t>
  </si>
  <si>
    <t>Crockery Township</t>
  </si>
  <si>
    <t xml:space="preserve">Ferrysburg </t>
  </si>
  <si>
    <t>Georgetown Charter Township</t>
  </si>
  <si>
    <t xml:space="preserve">Grand Haven </t>
  </si>
  <si>
    <t xml:space="preserve">Grand Haven Board Of Light And Power </t>
  </si>
  <si>
    <t>Grand Haven Charter Township</t>
  </si>
  <si>
    <t xml:space="preserve">Grand Haven-Spring Lake Sewer Authority </t>
  </si>
  <si>
    <t xml:space="preserve">Harbor Transit Multi-Modal Transportation System </t>
  </si>
  <si>
    <t xml:space="preserve">Herrick District Library </t>
  </si>
  <si>
    <t xml:space="preserve">Holland </t>
  </si>
  <si>
    <t xml:space="preserve">Holland Area Center Joint Building Authority </t>
  </si>
  <si>
    <t xml:space="preserve">Holland Area Community Swimming Pool Authority </t>
  </si>
  <si>
    <t>Holland Charter Township</t>
  </si>
  <si>
    <t xml:space="preserve">Holland City Board Of Public Works </t>
  </si>
  <si>
    <t xml:space="preserve">Hudsonville </t>
  </si>
  <si>
    <t>Jamestown Charter Township</t>
  </si>
  <si>
    <t xml:space="preserve">Loutit District Library </t>
  </si>
  <si>
    <t xml:space="preserve">Macatawa Area Coordinating Council </t>
  </si>
  <si>
    <t xml:space="preserve">Macatawa Area Express Transportation Authority </t>
  </si>
  <si>
    <t xml:space="preserve">Michigan Insurance Authority/Ottawa Co </t>
  </si>
  <si>
    <t xml:space="preserve">Northwest Ottawa Water Treatment Plant </t>
  </si>
  <si>
    <t>Olive Township</t>
  </si>
  <si>
    <t>Ottawa County</t>
  </si>
  <si>
    <t xml:space="preserve">Ottawa Co Road Commission </t>
  </si>
  <si>
    <t xml:space="preserve">Ottawa County Central Dispatch Authority </t>
  </si>
  <si>
    <t xml:space="preserve">Ottawa County Drain Commission </t>
  </si>
  <si>
    <t xml:space="preserve">Ottawa County Public Utilities System </t>
  </si>
  <si>
    <t>Park Township</t>
  </si>
  <si>
    <t xml:space="preserve">Park-Holland Township Water &amp; Sewer Authority </t>
  </si>
  <si>
    <t>Polkton Charter Township</t>
  </si>
  <si>
    <t>Port Sheldon Township</t>
  </si>
  <si>
    <t>Robinson Township</t>
  </si>
  <si>
    <t>Spring Lake Township</t>
  </si>
  <si>
    <t>Spring Lake Village</t>
  </si>
  <si>
    <t xml:space="preserve">Spring Lake District Library </t>
  </si>
  <si>
    <t>Tallmadge Charter Township Township</t>
  </si>
  <si>
    <t xml:space="preserve">West Mi Enforcement Team-Wemet </t>
  </si>
  <si>
    <t xml:space="preserve">West Michigan Airport Authority </t>
  </si>
  <si>
    <t xml:space="preserve">Zeeland </t>
  </si>
  <si>
    <t>Zeeland Charter Township</t>
  </si>
  <si>
    <t>Bearinger Township</t>
  </si>
  <si>
    <t>Belknap Township</t>
  </si>
  <si>
    <t>Case Township</t>
  </si>
  <si>
    <t>Krakow Township</t>
  </si>
  <si>
    <t>Metz Township</t>
  </si>
  <si>
    <t>Millersburg Village</t>
  </si>
  <si>
    <t>North Allis Township</t>
  </si>
  <si>
    <t xml:space="preserve">Northeast Michigan Consortium </t>
  </si>
  <si>
    <t xml:space="preserve">Onaway </t>
  </si>
  <si>
    <t xml:space="preserve">Onaway Area Ambulance Service </t>
  </si>
  <si>
    <t>Posen Township</t>
  </si>
  <si>
    <t>Posen Village</t>
  </si>
  <si>
    <t xml:space="preserve">Posen Area Fire And Rescue </t>
  </si>
  <si>
    <t>Presque Isle County</t>
  </si>
  <si>
    <t>Presque Isle Township</t>
  </si>
  <si>
    <t xml:space="preserve">Presque Isle County Road Commission </t>
  </si>
  <si>
    <t xml:space="preserve">Presque Isle District Library </t>
  </si>
  <si>
    <t>Pulawski Township</t>
  </si>
  <si>
    <t>Rogers Township</t>
  </si>
  <si>
    <t xml:space="preserve">Rogers City </t>
  </si>
  <si>
    <t xml:space="preserve">Rogers City Area Ambulance Authority </t>
  </si>
  <si>
    <t xml:space="preserve">Rogers City Area Fire Authority </t>
  </si>
  <si>
    <t xml:space="preserve">Rogers City Housing Commission </t>
  </si>
  <si>
    <t>Backus Township</t>
  </si>
  <si>
    <t>Denton Township</t>
  </si>
  <si>
    <t>Gerrish Township</t>
  </si>
  <si>
    <t xml:space="preserve">Higgins Lake Utilities Authority </t>
  </si>
  <si>
    <t xml:space="preserve">Houghton Lake Ambulance Authority </t>
  </si>
  <si>
    <t xml:space="preserve">Houghton Lake Building Agency </t>
  </si>
  <si>
    <t xml:space="preserve">Houghton Lake Improvement Board </t>
  </si>
  <si>
    <t xml:space="preserve">Houghton Lake Public Library </t>
  </si>
  <si>
    <t xml:space="preserve">Houghton Lake Sewer Authority </t>
  </si>
  <si>
    <t xml:space="preserve">Kirtland Community College </t>
  </si>
  <si>
    <t>Lyon Township</t>
  </si>
  <si>
    <t>Markey Township</t>
  </si>
  <si>
    <t>Roscommon County</t>
  </si>
  <si>
    <t>Roscommon Township</t>
  </si>
  <si>
    <t>Roscommon Village</t>
  </si>
  <si>
    <t xml:space="preserve">Roscommon Area District Library </t>
  </si>
  <si>
    <t xml:space="preserve">Roscommon County Road Commission </t>
  </si>
  <si>
    <t xml:space="preserve">Roscommon County Transportation Authority </t>
  </si>
  <si>
    <t>Albee Township</t>
  </si>
  <si>
    <t>Birch Run Township</t>
  </si>
  <si>
    <t>Birch Run Village</t>
  </si>
  <si>
    <t xml:space="preserve">Blumfield-Reese Water Auth </t>
  </si>
  <si>
    <t>Brant Township</t>
  </si>
  <si>
    <t>Bridgeport Charter Township</t>
  </si>
  <si>
    <t xml:space="preserve">Bridgeport Public Library </t>
  </si>
  <si>
    <t>Buena Vista Charter Township</t>
  </si>
  <si>
    <t xml:space="preserve">Buena Vista Charter Township Dda </t>
  </si>
  <si>
    <t>Carrollton Township</t>
  </si>
  <si>
    <t>Chapin Township</t>
  </si>
  <si>
    <t>Chesaning Township</t>
  </si>
  <si>
    <t>Chesaning Village</t>
  </si>
  <si>
    <t xml:space="preserve">Chesaning-Brady Fire Administrative Board </t>
  </si>
  <si>
    <t xml:space="preserve">Chesaning-Brady Joint Building Authority </t>
  </si>
  <si>
    <t xml:space="preserve">Delta College </t>
  </si>
  <si>
    <t xml:space="preserve">Frankenmuth </t>
  </si>
  <si>
    <t>Frankenmuth Township</t>
  </si>
  <si>
    <t xml:space="preserve">Frankenmuth City-Township Commission </t>
  </si>
  <si>
    <t xml:space="preserve">Frankenmuth James E. Wickson Library </t>
  </si>
  <si>
    <t>Fremont Township</t>
  </si>
  <si>
    <t>James Township</t>
  </si>
  <si>
    <t>Jonesfield Township</t>
  </si>
  <si>
    <t xml:space="preserve">Jonesfield/Lakefield Fire District </t>
  </si>
  <si>
    <t>Kochville Township</t>
  </si>
  <si>
    <t xml:space="preserve">Mbs International Airport Commission </t>
  </si>
  <si>
    <t>Merrill Village</t>
  </si>
  <si>
    <t xml:space="preserve">Mid Michigan Waste Authority </t>
  </si>
  <si>
    <t xml:space="preserve">Northwest Utilities Authority </t>
  </si>
  <si>
    <t>Oakley Village</t>
  </si>
  <si>
    <t xml:space="preserve">Public Libraries Of Saginaw </t>
  </si>
  <si>
    <t xml:space="preserve">River Rapids District Library </t>
  </si>
  <si>
    <t xml:space="preserve">Saginaw </t>
  </si>
  <si>
    <t>Saginaw County</t>
  </si>
  <si>
    <t xml:space="preserve">Saginaw Area Gis Authority </t>
  </si>
  <si>
    <t xml:space="preserve">Saginaw Area Storm Water Authority </t>
  </si>
  <si>
    <t>Saginaw Charter Township</t>
  </si>
  <si>
    <t xml:space="preserve">Saginaw City Housing Commission </t>
  </si>
  <si>
    <t xml:space="preserve">Saginaw County 911 Communications Center Auth </t>
  </si>
  <si>
    <t xml:space="preserve">Saginaw County Community Mental Health Authority </t>
  </si>
  <si>
    <t xml:space="preserve">Saginaw County Road Commission </t>
  </si>
  <si>
    <t xml:space="preserve">Saginaw Transit Authority Regional Services </t>
  </si>
  <si>
    <t xml:space="preserve">Saginaw-Midland Municipal Water Supply Corporation </t>
  </si>
  <si>
    <t>Spaulding Township</t>
  </si>
  <si>
    <t>St Charles Township</t>
  </si>
  <si>
    <t>St Charles Village</t>
  </si>
  <si>
    <t xml:space="preserve">St Charles District Library </t>
  </si>
  <si>
    <t>Swan Creek Township</t>
  </si>
  <si>
    <t xml:space="preserve">Swan Creek/James Twps &amp; Vill St Charles Water Auth </t>
  </si>
  <si>
    <t>Taymouth Township</t>
  </si>
  <si>
    <t>Thomas Township</t>
  </si>
  <si>
    <t>Tittabawassee Township</t>
  </si>
  <si>
    <t xml:space="preserve">Tri-Twp Fire Dist/Swan Creek/St Charles/Brant Twps </t>
  </si>
  <si>
    <t xml:space="preserve">White Pine Library Cooperative </t>
  </si>
  <si>
    <t xml:space="preserve">Zilwaukee </t>
  </si>
  <si>
    <t xml:space="preserve">Algonac </t>
  </si>
  <si>
    <t xml:space="preserve">Algonac City Housing Commission </t>
  </si>
  <si>
    <t xml:space="preserve">Blue Water Area Transportation Commission </t>
  </si>
  <si>
    <t>Brockway Township</t>
  </si>
  <si>
    <t>Burtchville Township</t>
  </si>
  <si>
    <t>Capac Village</t>
  </si>
  <si>
    <t>China Charter Township</t>
  </si>
  <si>
    <t>Clay Township</t>
  </si>
  <si>
    <t>Cottrellville Township</t>
  </si>
  <si>
    <t>East China Charter Township</t>
  </si>
  <si>
    <t>Emmett Township</t>
  </si>
  <si>
    <t>Fort Gratiot Charter Township</t>
  </si>
  <si>
    <t>Ira Township</t>
  </si>
  <si>
    <t>Kenockee Township</t>
  </si>
  <si>
    <t>Kimball Township</t>
  </si>
  <si>
    <t>Lynn Township</t>
  </si>
  <si>
    <t xml:space="preserve">Marine City </t>
  </si>
  <si>
    <t xml:space="preserve">Marine City Fire Authority </t>
  </si>
  <si>
    <t xml:space="preserve">Marysville </t>
  </si>
  <si>
    <t xml:space="preserve">Marysville City Housing Commission </t>
  </si>
  <si>
    <t>Mussey Township</t>
  </si>
  <si>
    <t xml:space="preserve">Port Huron </t>
  </si>
  <si>
    <t>Port Huron Charter Township</t>
  </si>
  <si>
    <t xml:space="preserve">Port Huron City Housing Commission </t>
  </si>
  <si>
    <t xml:space="preserve">Region 10 </t>
  </si>
  <si>
    <t>Riley Township</t>
  </si>
  <si>
    <t xml:space="preserve">St Clair </t>
  </si>
  <si>
    <t>St Clair County</t>
  </si>
  <si>
    <t>St Clair Township</t>
  </si>
  <si>
    <t xml:space="preserve">St Clair Area Fire Authority </t>
  </si>
  <si>
    <t xml:space="preserve">St Clair County Community College </t>
  </si>
  <si>
    <t xml:space="preserve">St Clair County Community Mental Health Authority </t>
  </si>
  <si>
    <t xml:space="preserve">St Clair County Department Of Public Works </t>
  </si>
  <si>
    <t xml:space="preserve">St Clair County Road Commission </t>
  </si>
  <si>
    <t xml:space="preserve">St Clair River Sewer &amp; Water Authority </t>
  </si>
  <si>
    <t>Wales Township</t>
  </si>
  <si>
    <t xml:space="preserve">Yale </t>
  </si>
  <si>
    <t>Burr Oak Township</t>
  </si>
  <si>
    <t>Burr Oak Village</t>
  </si>
  <si>
    <t>Centreville Village</t>
  </si>
  <si>
    <t>Colon Township</t>
  </si>
  <si>
    <t>Colon Village</t>
  </si>
  <si>
    <t xml:space="preserve">Colon Community Fire And Rescue Department </t>
  </si>
  <si>
    <t>Constantine Township</t>
  </si>
  <si>
    <t>Fabius Township</t>
  </si>
  <si>
    <t xml:space="preserve">Fabius Park Twps Fire Department </t>
  </si>
  <si>
    <t>Fawn River Township</t>
  </si>
  <si>
    <t>Florence Township</t>
  </si>
  <si>
    <t>Flowerfield Township</t>
  </si>
  <si>
    <t xml:space="preserve">Glen Oaks Community College District </t>
  </si>
  <si>
    <t>Leonidas Township</t>
  </si>
  <si>
    <t>Mendon Village</t>
  </si>
  <si>
    <t xml:space="preserve">Mendon Village Downtown Development Authority </t>
  </si>
  <si>
    <t>Mottville Township</t>
  </si>
  <si>
    <t xml:space="preserve">Nottawa Township Library </t>
  </si>
  <si>
    <t xml:space="preserve">River Country Recreational Authority </t>
  </si>
  <si>
    <t>St Joseph County</t>
  </si>
  <si>
    <t xml:space="preserve">St Joseph Co Community Mental Health Services </t>
  </si>
  <si>
    <t xml:space="preserve">St Joseph Co Conservation District </t>
  </si>
  <si>
    <t xml:space="preserve">St Joseph Co Public Transportation Authority </t>
  </si>
  <si>
    <t xml:space="preserve">St Joseph County Road Commission </t>
  </si>
  <si>
    <t xml:space="preserve">Sturgis </t>
  </si>
  <si>
    <t>Sturgis Township</t>
  </si>
  <si>
    <t xml:space="preserve">Sturgis City Dda </t>
  </si>
  <si>
    <t xml:space="preserve">Sturgis City Housing Commission </t>
  </si>
  <si>
    <t xml:space="preserve">Sturgis District Library </t>
  </si>
  <si>
    <t xml:space="preserve">Three Rivers </t>
  </si>
  <si>
    <t xml:space="preserve">Tri-Township Fire Assoc/Sherman/Sturgis/Fawn River </t>
  </si>
  <si>
    <t>White Pigeon Township</t>
  </si>
  <si>
    <t>White Pigeon Village</t>
  </si>
  <si>
    <t xml:space="preserve">White Pigeon Sanitary System </t>
  </si>
  <si>
    <t xml:space="preserve">White Pigeon Township Library </t>
  </si>
  <si>
    <t xml:space="preserve">Aitkin Memorial District Library </t>
  </si>
  <si>
    <t xml:space="preserve">Brown City </t>
  </si>
  <si>
    <t xml:space="preserve">Brown City Area Fire Authority </t>
  </si>
  <si>
    <t xml:space="preserve">Brown City Public Library </t>
  </si>
  <si>
    <t>Buel Township</t>
  </si>
  <si>
    <t>Carsonville Village</t>
  </si>
  <si>
    <t xml:space="preserve">Croswell </t>
  </si>
  <si>
    <t>Deckerville Village</t>
  </si>
  <si>
    <t xml:space="preserve">Deckerville Public Library </t>
  </si>
  <si>
    <t>Delaware Township</t>
  </si>
  <si>
    <t>Forester Township</t>
  </si>
  <si>
    <t>Forestville Village</t>
  </si>
  <si>
    <t>Greenleaf Township</t>
  </si>
  <si>
    <t>Lamotte Township</t>
  </si>
  <si>
    <t>Lexington Township</t>
  </si>
  <si>
    <t>Lexington Village</t>
  </si>
  <si>
    <t>Maple Valley Township</t>
  </si>
  <si>
    <t xml:space="preserve">Marlette </t>
  </si>
  <si>
    <t>Marlette Township</t>
  </si>
  <si>
    <t xml:space="preserve">Marlette Community Fire Department </t>
  </si>
  <si>
    <t xml:space="preserve">Marlette District Library </t>
  </si>
  <si>
    <t>Minden Township</t>
  </si>
  <si>
    <t>Minden City Village</t>
  </si>
  <si>
    <t>Moore Township</t>
  </si>
  <si>
    <t xml:space="preserve">Moore Public Library </t>
  </si>
  <si>
    <t>Peck Village</t>
  </si>
  <si>
    <t>Port Sanilac Village</t>
  </si>
  <si>
    <t xml:space="preserve">Sandusky </t>
  </si>
  <si>
    <t xml:space="preserve">Sandusky Community Fire Department Assoc </t>
  </si>
  <si>
    <t xml:space="preserve">Sandusky District Library </t>
  </si>
  <si>
    <t>Sanilac County</t>
  </si>
  <si>
    <t xml:space="preserve">Sanilac Co Community Mental Health Authority </t>
  </si>
  <si>
    <t xml:space="preserve">Sanilac Co Road Commission </t>
  </si>
  <si>
    <t xml:space="preserve">Sanilac District Library </t>
  </si>
  <si>
    <t xml:space="preserve">Sanilac Transportation Corporation </t>
  </si>
  <si>
    <t>Speaker Township</t>
  </si>
  <si>
    <t xml:space="preserve">Thumb Area Employment &amp; Training Consortium </t>
  </si>
  <si>
    <t>Watertown Township</t>
  </si>
  <si>
    <t>Worth Township</t>
  </si>
  <si>
    <t>Germfask Township</t>
  </si>
  <si>
    <t>Hiawatha Township</t>
  </si>
  <si>
    <t xml:space="preserve">Hiawatha Community Behavioral Health Authority </t>
  </si>
  <si>
    <t>Inwood Township</t>
  </si>
  <si>
    <t xml:space="preserve">Manistique </t>
  </si>
  <si>
    <t>Manistique Township</t>
  </si>
  <si>
    <t xml:space="preserve">Manistique City Housing Commission </t>
  </si>
  <si>
    <t>Mueller Township</t>
  </si>
  <si>
    <t>Schoolcraft County</t>
  </si>
  <si>
    <t xml:space="preserve">Schoolcraft County Housing Commission </t>
  </si>
  <si>
    <t xml:space="preserve">Schoolcraft County Medical Care Facility </t>
  </si>
  <si>
    <t xml:space="preserve">Schoolcraft County Public Transit System </t>
  </si>
  <si>
    <t xml:space="preserve">Schoolcraft County Road Commission </t>
  </si>
  <si>
    <t>Thompson Township</t>
  </si>
  <si>
    <t>Bancroft Village</t>
  </si>
  <si>
    <t>Bennington Township</t>
  </si>
  <si>
    <t>Burns Township</t>
  </si>
  <si>
    <t>Byron Village</t>
  </si>
  <si>
    <t xml:space="preserve">Community District Library </t>
  </si>
  <si>
    <t xml:space="preserve">Corunna </t>
  </si>
  <si>
    <t xml:space="preserve">Durand </t>
  </si>
  <si>
    <t>Hazelton Township</t>
  </si>
  <si>
    <t xml:space="preserve">Laingsburg </t>
  </si>
  <si>
    <t xml:space="preserve">Laingsburg/Sciota/Woodhull Emergency Service Auth </t>
  </si>
  <si>
    <t>Lennon Village</t>
  </si>
  <si>
    <t>Middlebury Township</t>
  </si>
  <si>
    <t>Morrice Village</t>
  </si>
  <si>
    <t>New Lothrop Village</t>
  </si>
  <si>
    <t xml:space="preserve">Owosso </t>
  </si>
  <si>
    <t>Owosso Charter Township</t>
  </si>
  <si>
    <t xml:space="preserve">Owosso City Downtown Development Authority </t>
  </si>
  <si>
    <t xml:space="preserve">Owosso Twp-Caledonia Twp Utility Authority </t>
  </si>
  <si>
    <t xml:space="preserve">Perry </t>
  </si>
  <si>
    <t>Perry Township</t>
  </si>
  <si>
    <t xml:space="preserve">Perry Building Authority </t>
  </si>
  <si>
    <t>Rush Township</t>
  </si>
  <si>
    <t>Sciota Township</t>
  </si>
  <si>
    <t>Shiawassee County</t>
  </si>
  <si>
    <t>Shiawassee Township</t>
  </si>
  <si>
    <t xml:space="preserve">Shiawassee Area Transportation Agency </t>
  </si>
  <si>
    <t xml:space="preserve">Shiawassee Co Community Mental Health Authority </t>
  </si>
  <si>
    <t xml:space="preserve">Shiawassee Co Road Commission </t>
  </si>
  <si>
    <t xml:space="preserve">Shiawassee District Library </t>
  </si>
  <si>
    <t>Vernon Village</t>
  </si>
  <si>
    <t xml:space="preserve">Vernon District Public Library </t>
  </si>
  <si>
    <t>Woodhull Township</t>
  </si>
  <si>
    <t xml:space="preserve">Akron Fairgrove Wastewater System </t>
  </si>
  <si>
    <t xml:space="preserve">Akron,Columbia, Wisner Township And Village Of Unionville Fire Dept </t>
  </si>
  <si>
    <t>Almer Township</t>
  </si>
  <si>
    <t>Arbela Township</t>
  </si>
  <si>
    <t xml:space="preserve">Bullard Sanford Memorial Library </t>
  </si>
  <si>
    <t xml:space="preserve">Caro </t>
  </si>
  <si>
    <t xml:space="preserve">Caro Area District Library </t>
  </si>
  <si>
    <t xml:space="preserve">Caro Transit Authority </t>
  </si>
  <si>
    <t>Cass City Village</t>
  </si>
  <si>
    <t>Denmark Township</t>
  </si>
  <si>
    <t>Elkland Township</t>
  </si>
  <si>
    <t>Ellington Township</t>
  </si>
  <si>
    <t>Elmwood Township</t>
  </si>
  <si>
    <t>Fairgrove Township</t>
  </si>
  <si>
    <t xml:space="preserve">Fairgrove District Library </t>
  </si>
  <si>
    <t>Gilford Township</t>
  </si>
  <si>
    <t>Indianfields Township</t>
  </si>
  <si>
    <t>Juniata Township</t>
  </si>
  <si>
    <t>Kingston Township</t>
  </si>
  <si>
    <t>Koylton Township</t>
  </si>
  <si>
    <t xml:space="preserve">Mayville Area Ambulance Service </t>
  </si>
  <si>
    <t xml:space="preserve">Mayville District Public Library </t>
  </si>
  <si>
    <t>Millington Township</t>
  </si>
  <si>
    <t>Millington Village</t>
  </si>
  <si>
    <t xml:space="preserve">Millington Arbela District Library </t>
  </si>
  <si>
    <t>Novesta Township</t>
  </si>
  <si>
    <t xml:space="preserve">Rawson Memorial Library </t>
  </si>
  <si>
    <t>Reese Village</t>
  </si>
  <si>
    <t xml:space="preserve">Reese Unity District Library </t>
  </si>
  <si>
    <t xml:space="preserve">Southern Links Trailway Management Council </t>
  </si>
  <si>
    <t>Tuscola County</t>
  </si>
  <si>
    <t>Tuscola Township</t>
  </si>
  <si>
    <t xml:space="preserve">Tuscola Area Airport Authority </t>
  </si>
  <si>
    <t xml:space="preserve">Tuscola Co Road Commission </t>
  </si>
  <si>
    <t xml:space="preserve">Tuscola County Community Mental Health Authority </t>
  </si>
  <si>
    <t xml:space="preserve">Tuscola County Health Department </t>
  </si>
  <si>
    <t xml:space="preserve">Tuscola County Medical Care Facility </t>
  </si>
  <si>
    <t xml:space="preserve">Vassar </t>
  </si>
  <si>
    <t>Vassar Township</t>
  </si>
  <si>
    <t>Wisner Township</t>
  </si>
  <si>
    <t xml:space="preserve">Abb Joint Fire District </t>
  </si>
  <si>
    <t>Almena Township</t>
  </si>
  <si>
    <t>Antwerp Township</t>
  </si>
  <si>
    <t>Arlington Township</t>
  </si>
  <si>
    <t xml:space="preserve">Bangor </t>
  </si>
  <si>
    <t xml:space="preserve">Bangor City Housing Commission </t>
  </si>
  <si>
    <t>Bloomingdale Township</t>
  </si>
  <si>
    <t>Bloomingdale Village</t>
  </si>
  <si>
    <t>Breedsville Village</t>
  </si>
  <si>
    <t>Covert Township</t>
  </si>
  <si>
    <t xml:space="preserve">Covert Housing Commission </t>
  </si>
  <si>
    <t>Decatur Township</t>
  </si>
  <si>
    <t>Decatur Village</t>
  </si>
  <si>
    <t xml:space="preserve">Decatur-Hamilton Joint Fire Department </t>
  </si>
  <si>
    <t xml:space="preserve">Decatur-Hamilton Quick Response Unit </t>
  </si>
  <si>
    <t xml:space="preserve">Gobles </t>
  </si>
  <si>
    <t xml:space="preserve">Gobles/Pine Grove Fire Administrative Board </t>
  </si>
  <si>
    <t xml:space="preserve">Hartford </t>
  </si>
  <si>
    <t>Hartford Township</t>
  </si>
  <si>
    <t xml:space="preserve">Hartford Fire Board </t>
  </si>
  <si>
    <t xml:space="preserve">Hartford Public Library </t>
  </si>
  <si>
    <t>Keeler Township</t>
  </si>
  <si>
    <t xml:space="preserve">Lake Area Sewer Authority </t>
  </si>
  <si>
    <t>Lawrence Township</t>
  </si>
  <si>
    <t>Lawrence Village</t>
  </si>
  <si>
    <t>Lawton Village</t>
  </si>
  <si>
    <t xml:space="preserve">Lawton Fire Department </t>
  </si>
  <si>
    <t>Mattawan Village</t>
  </si>
  <si>
    <t>Paw Paw Township</t>
  </si>
  <si>
    <t>Paw Paw Village</t>
  </si>
  <si>
    <t xml:space="preserve">Paw Paw District Library </t>
  </si>
  <si>
    <t xml:space="preserve">Paw Paw Fire Department </t>
  </si>
  <si>
    <t xml:space="preserve">Paw Paw Lake Regional Joint Sewage Disposal Board </t>
  </si>
  <si>
    <t>Pine Grove Township</t>
  </si>
  <si>
    <t xml:space="preserve">South Haven </t>
  </si>
  <si>
    <t xml:space="preserve">South Haven Area Emergency Services Authority </t>
  </si>
  <si>
    <t xml:space="preserve">South Haven Area Recreational Authority </t>
  </si>
  <si>
    <t>South Haven Charter Township</t>
  </si>
  <si>
    <t xml:space="preserve">South Haven City Housing Commission </t>
  </si>
  <si>
    <t xml:space="preserve">South Haven Community Hospital Authority </t>
  </si>
  <si>
    <t xml:space="preserve">South Haven Memorial Library </t>
  </si>
  <si>
    <t xml:space="preserve">South Haven Regional Airport Authority </t>
  </si>
  <si>
    <t xml:space="preserve">Southwest Michigan Library Cooperative </t>
  </si>
  <si>
    <t>Van Buren County</t>
  </si>
  <si>
    <t xml:space="preserve">Van Buren Community Mental Health Authority </t>
  </si>
  <si>
    <t xml:space="preserve">Van Buren County Public Transit </t>
  </si>
  <si>
    <t xml:space="preserve">Van Buren County Road Commission </t>
  </si>
  <si>
    <t xml:space="preserve">Van Buren District Library </t>
  </si>
  <si>
    <t xml:space="preserve">Van Buren/Cass Co District Public Health Dept </t>
  </si>
  <si>
    <t xml:space="preserve">15Th District-Ann Arbor Court Agency Fund </t>
  </si>
  <si>
    <t xml:space="preserve">Ann Arbor </t>
  </si>
  <si>
    <t>Ann Arbor Charter Township</t>
  </si>
  <si>
    <t xml:space="preserve">Ann Arbor City Dda </t>
  </si>
  <si>
    <t xml:space="preserve">Ann Arbor City Employees Retirement System </t>
  </si>
  <si>
    <t xml:space="preserve">Ann Arbor City Housing Commission </t>
  </si>
  <si>
    <t xml:space="preserve">Ann Arbor District Library </t>
  </si>
  <si>
    <t xml:space="preserve">Ann Arbor Retiree Healthcare Benefits Plan/Trust </t>
  </si>
  <si>
    <t xml:space="preserve">Ann Arbor Transportation Authority </t>
  </si>
  <si>
    <t>Barton Hills Village</t>
  </si>
  <si>
    <t>Bridgewater Township</t>
  </si>
  <si>
    <t xml:space="preserve">Chelsea </t>
  </si>
  <si>
    <t xml:space="preserve">Chelsea Area Construction Agency </t>
  </si>
  <si>
    <t xml:space="preserve">Chelsea Area Fire Authority </t>
  </si>
  <si>
    <t xml:space="preserve">Chelsea District Library </t>
  </si>
  <si>
    <t xml:space="preserve">Community Mental Health Partnership Of Southeast Michigan </t>
  </si>
  <si>
    <t xml:space="preserve">Dexter </t>
  </si>
  <si>
    <t>Dexter Township</t>
  </si>
  <si>
    <t xml:space="preserve">Dexter Area Fire Department </t>
  </si>
  <si>
    <t xml:space="preserve">Dexter District Library </t>
  </si>
  <si>
    <t>Freedom Township</t>
  </si>
  <si>
    <t xml:space="preserve">Lawnet-Livingston And Washtenaw Narcotics Enforcement Team </t>
  </si>
  <si>
    <t>Lima Township</t>
  </si>
  <si>
    <t xml:space="preserve">Loch Alpine Sanitary Authority </t>
  </si>
  <si>
    <t>Lodi Township</t>
  </si>
  <si>
    <t>Lyndon Township</t>
  </si>
  <si>
    <t>Manchester Township</t>
  </si>
  <si>
    <t>Manchester Village</t>
  </si>
  <si>
    <t xml:space="preserve">Manchester District Library </t>
  </si>
  <si>
    <t xml:space="preserve">Milan </t>
  </si>
  <si>
    <t xml:space="preserve">Milan Area Fire Department </t>
  </si>
  <si>
    <t xml:space="preserve">Milan Public Library </t>
  </si>
  <si>
    <t xml:space="preserve">Multi-Lakes Sewer Authority </t>
  </si>
  <si>
    <t>Northfield Township</t>
  </si>
  <si>
    <t xml:space="preserve">Northfield Township Area Library </t>
  </si>
  <si>
    <t>Pittsfield Charter Township</t>
  </si>
  <si>
    <t xml:space="preserve">Portage-Base Lakes Area Water &amp; Sewer Authority </t>
  </si>
  <si>
    <t xml:space="preserve">Saline </t>
  </si>
  <si>
    <t>Saline Township</t>
  </si>
  <si>
    <t xml:space="preserve">Saline Area Fire Department </t>
  </si>
  <si>
    <t xml:space="preserve">Saline District Library </t>
  </si>
  <si>
    <t>Scio Township</t>
  </si>
  <si>
    <t>Sharon Township</t>
  </si>
  <si>
    <t>Superior Charter Township</t>
  </si>
  <si>
    <t xml:space="preserve">Sylvan Township Water And Sewer Authority </t>
  </si>
  <si>
    <t>Washtenaw County</t>
  </si>
  <si>
    <t xml:space="preserve">Washtenaw Area Transportation Study </t>
  </si>
  <si>
    <t xml:space="preserve">Washtenaw Co 800Mhz Communications Consortium </t>
  </si>
  <si>
    <t xml:space="preserve">Washtenaw Co Employees Retirement System </t>
  </si>
  <si>
    <t xml:space="preserve">Washtenaw Co Money Purchase Pension Plan </t>
  </si>
  <si>
    <t xml:space="preserve">Washtenaw Co Voluntary Employees Beneficiary Assoc </t>
  </si>
  <si>
    <t xml:space="preserve">Washtenaw Community College </t>
  </si>
  <si>
    <t xml:space="preserve">Washtenaw County Building Authority </t>
  </si>
  <si>
    <t xml:space="preserve">Washtenaw County Community Mental Health </t>
  </si>
  <si>
    <t xml:space="preserve">Washtenaw County Defined Contribution Plan </t>
  </si>
  <si>
    <t xml:space="preserve">Washtenaw County Dept Of Public Works </t>
  </si>
  <si>
    <t xml:space="preserve">Washtenaw County Retirement Health Savings Plan </t>
  </si>
  <si>
    <t xml:space="preserve">Washtenaw County Road Commission </t>
  </si>
  <si>
    <t xml:space="preserve">Washtenaw County Water Resources </t>
  </si>
  <si>
    <t>Webster Township</t>
  </si>
  <si>
    <t xml:space="preserve">Western Washtenaw Construction Authority </t>
  </si>
  <si>
    <t xml:space="preserve">Western Washtenaw Recycling Authority </t>
  </si>
  <si>
    <t>York Charter Township</t>
  </si>
  <si>
    <t xml:space="preserve">Ypsilanti </t>
  </si>
  <si>
    <t>Ypsilanti Charter Township</t>
  </si>
  <si>
    <t xml:space="preserve">Ypsilanti City Housing Commission </t>
  </si>
  <si>
    <t xml:space="preserve">Ypsilanti City Police And Fire Retirement System </t>
  </si>
  <si>
    <t xml:space="preserve">Ypsilanti Community Utilities Authority </t>
  </si>
  <si>
    <t xml:space="preserve">Ypsilanti District Library </t>
  </si>
  <si>
    <t xml:space="preserve">16Th District-Livonia </t>
  </si>
  <si>
    <t xml:space="preserve">17Th District-Redford Charter Township </t>
  </si>
  <si>
    <t xml:space="preserve">18Th District-Westland </t>
  </si>
  <si>
    <t xml:space="preserve">19Th District Court-Dearborn </t>
  </si>
  <si>
    <t xml:space="preserve">20Th District-Dearborn Heights </t>
  </si>
  <si>
    <t xml:space="preserve">21St District-Garden City </t>
  </si>
  <si>
    <t xml:space="preserve">23Rd District Court-Taylor </t>
  </si>
  <si>
    <t xml:space="preserve">24Th District Court-Allen Park </t>
  </si>
  <si>
    <t xml:space="preserve">28Th District Court-Southgate </t>
  </si>
  <si>
    <t xml:space="preserve">33Rd District Court-Woodhaven </t>
  </si>
  <si>
    <t xml:space="preserve">34Th District-Romulus </t>
  </si>
  <si>
    <t xml:space="preserve">35Th District-Plymouth </t>
  </si>
  <si>
    <t xml:space="preserve">Allen Park </t>
  </si>
  <si>
    <t xml:space="preserve">Allen Park City Housing Commission </t>
  </si>
  <si>
    <t xml:space="preserve">Bacon Memorial District Library </t>
  </si>
  <si>
    <t xml:space="preserve">Belleville </t>
  </si>
  <si>
    <t xml:space="preserve">Belleville Area District Library </t>
  </si>
  <si>
    <t>Brownstown Charter Township</t>
  </si>
  <si>
    <t>Canton Charter Township</t>
  </si>
  <si>
    <t xml:space="preserve">Canton Public Library </t>
  </si>
  <si>
    <t xml:space="preserve">Central Wayne County Sanitation Authority </t>
  </si>
  <si>
    <t xml:space="preserve">City Of Detroit General Retiree Health Care Trust </t>
  </si>
  <si>
    <t xml:space="preserve">City Of Detroit Local Deveopment Finance Authority </t>
  </si>
  <si>
    <t xml:space="preserve">City Of Detroit Police And Fire Retiree Health Care Trust </t>
  </si>
  <si>
    <t xml:space="preserve">Dearborn </t>
  </si>
  <si>
    <t xml:space="preserve">Dearborn City Housing Commission </t>
  </si>
  <si>
    <t xml:space="preserve">Dearborn Heights </t>
  </si>
  <si>
    <t xml:space="preserve">Dearborn Heights City Tax Increment Finance Author </t>
  </si>
  <si>
    <t xml:space="preserve">Detroit </t>
  </si>
  <si>
    <t xml:space="preserve">Detroit City Brownfield Redevelopment Authority </t>
  </si>
  <si>
    <t xml:space="preserve">Detroit City General Retirement System-Component Ii </t>
  </si>
  <si>
    <t xml:space="preserve">Detroit City Police And Fire Retirement System </t>
  </si>
  <si>
    <t xml:space="preserve">Detroit City Transportation Fund </t>
  </si>
  <si>
    <t xml:space="preserve">Detroit Downtown Development Authority </t>
  </si>
  <si>
    <t xml:space="preserve">Detroit Land Bank Authority </t>
  </si>
  <si>
    <t xml:space="preserve">Detroit Library Cooperative </t>
  </si>
  <si>
    <t xml:space="preserve">Detroit Public Library-Burton Endowment Fund </t>
  </si>
  <si>
    <t xml:space="preserve">Detroit Region Aerotropolis Development Corporatio </t>
  </si>
  <si>
    <t xml:space="preserve">Detroit Regional Convention Facility Authority </t>
  </si>
  <si>
    <t xml:space="preserve">Detroit Wayne County Health Authority </t>
  </si>
  <si>
    <t xml:space="preserve">Detroit-Wayne County Cmh Agency </t>
  </si>
  <si>
    <t xml:space="preserve">Detroit/Wayne County Port Authority </t>
  </si>
  <si>
    <t xml:space="preserve">Downriver Community Conference </t>
  </si>
  <si>
    <t xml:space="preserve">Downriver Mutual Aid (Dmaid) </t>
  </si>
  <si>
    <t xml:space="preserve">Economic Development Corporation Of The City Of Detroit </t>
  </si>
  <si>
    <t xml:space="preserve">Ecorse </t>
  </si>
  <si>
    <t xml:space="preserve">Ecorse City Housing Commission </t>
  </si>
  <si>
    <t xml:space="preserve">Eight Mile Woodward Cooridor Improvement Authority </t>
  </si>
  <si>
    <t xml:space="preserve">Flat Rock </t>
  </si>
  <si>
    <t xml:space="preserve">Garden City </t>
  </si>
  <si>
    <t xml:space="preserve">Gibraltar </t>
  </si>
  <si>
    <t xml:space="preserve">Great Lakes Water Authority </t>
  </si>
  <si>
    <t>Grosse Ile Township</t>
  </si>
  <si>
    <t xml:space="preserve">Grosse Pointe </t>
  </si>
  <si>
    <t xml:space="preserve">Grosse Pointe Farms </t>
  </si>
  <si>
    <t xml:space="preserve">Grosse Pointe Park </t>
  </si>
  <si>
    <t xml:space="preserve">Grosse Pointe Public Library </t>
  </si>
  <si>
    <t xml:space="preserve">Grosse Pointe Shores City Of The Village Of </t>
  </si>
  <si>
    <t xml:space="preserve">Grosse Pointe Woods </t>
  </si>
  <si>
    <t xml:space="preserve">Grosse Pointes-Clinton Refuse Disposal Authority </t>
  </si>
  <si>
    <t xml:space="preserve">Hamtramck </t>
  </si>
  <si>
    <t xml:space="preserve">Harper Woods </t>
  </si>
  <si>
    <t xml:space="preserve">Highland Park </t>
  </si>
  <si>
    <t xml:space="preserve">Highland Park City Housing Commission </t>
  </si>
  <si>
    <t xml:space="preserve">Highland Park Tifa </t>
  </si>
  <si>
    <t>Huron Charter Township</t>
  </si>
  <si>
    <t xml:space="preserve">Inkster </t>
  </si>
  <si>
    <t xml:space="preserve">Lincoln Park </t>
  </si>
  <si>
    <t xml:space="preserve">Lincoln Park City Housing Commission </t>
  </si>
  <si>
    <t xml:space="preserve">Livonia </t>
  </si>
  <si>
    <t xml:space="preserve">Livonia City Housing Commission </t>
  </si>
  <si>
    <t xml:space="preserve">Melvindale </t>
  </si>
  <si>
    <t xml:space="preserve">Melvindale Housing Commission </t>
  </si>
  <si>
    <t xml:space="preserve">Nankin Transit Commission </t>
  </si>
  <si>
    <t xml:space="preserve">Northville </t>
  </si>
  <si>
    <t>Northville Charter Township</t>
  </si>
  <si>
    <t xml:space="preserve">Northville City Downtown Development Authority </t>
  </si>
  <si>
    <t xml:space="preserve">Northville City Parks &amp; Recreation Commission </t>
  </si>
  <si>
    <t xml:space="preserve">Northville District Library </t>
  </si>
  <si>
    <t xml:space="preserve">Plymouth </t>
  </si>
  <si>
    <t>Plymouth Charter Township</t>
  </si>
  <si>
    <t xml:space="preserve">Plymouth District Library </t>
  </si>
  <si>
    <t xml:space="preserve">Public Lighting Authority </t>
  </si>
  <si>
    <t>Redford Charter Township</t>
  </si>
  <si>
    <t xml:space="preserve">Redford Township District Library </t>
  </si>
  <si>
    <t xml:space="preserve">Regional Transit Authority For Southeast Michigan </t>
  </si>
  <si>
    <t xml:space="preserve">River Rouge </t>
  </si>
  <si>
    <t xml:space="preserve">River Rouge City Housing Commission </t>
  </si>
  <si>
    <t xml:space="preserve">Riverview </t>
  </si>
  <si>
    <t xml:space="preserve">Rockwood </t>
  </si>
  <si>
    <t xml:space="preserve">Rockwood City Housing Commission </t>
  </si>
  <si>
    <t xml:space="preserve">Romulus </t>
  </si>
  <si>
    <t xml:space="preserve">Romulus City Housing Commission </t>
  </si>
  <si>
    <t xml:space="preserve">Schoolcraft Community College District </t>
  </si>
  <si>
    <t xml:space="preserve">South Huron Valley Utility Authority </t>
  </si>
  <si>
    <t xml:space="preserve">Southeast Mi Council Of Governments </t>
  </si>
  <si>
    <t xml:space="preserve">Southgate </t>
  </si>
  <si>
    <t xml:space="preserve">Suburban Mobility Auth For Regional Transportation </t>
  </si>
  <si>
    <t>Sumpter Township</t>
  </si>
  <si>
    <t xml:space="preserve">Taylor </t>
  </si>
  <si>
    <t xml:space="preserve">Taylor City Housing Commission </t>
  </si>
  <si>
    <t xml:space="preserve">The Library Network </t>
  </si>
  <si>
    <t xml:space="preserve">Trenton </t>
  </si>
  <si>
    <t>Van Buren Charter Township</t>
  </si>
  <si>
    <t xml:space="preserve">Van Buren Charter Township Downtown Development Au </t>
  </si>
  <si>
    <t xml:space="preserve">Van Buren Charter Township Ldfa </t>
  </si>
  <si>
    <t xml:space="preserve">Wayne </t>
  </si>
  <si>
    <t>Wayne County</t>
  </si>
  <si>
    <t xml:space="preserve">Wayne Co Bldg Auth </t>
  </si>
  <si>
    <t xml:space="preserve">Wayne Co Circuit Court Comm Bailiffs Ret System </t>
  </si>
  <si>
    <t xml:space="preserve">Wayne Co Employees Ret Sys Defined Contribut Plan </t>
  </si>
  <si>
    <t xml:space="preserve">Wayne Co Employees Ret System Defined Benefit Plan </t>
  </si>
  <si>
    <t xml:space="preserve">Wayne Co Zoological Authority </t>
  </si>
  <si>
    <t xml:space="preserve">Wayne County Airport Authority </t>
  </si>
  <si>
    <t xml:space="preserve">Wayne County Landbank Corporation </t>
  </si>
  <si>
    <t xml:space="preserve">Wayne County Sewage Disposal System </t>
  </si>
  <si>
    <t xml:space="preserve">Wayne Housing Commission </t>
  </si>
  <si>
    <t xml:space="preserve">Western Townships Utilities Authority </t>
  </si>
  <si>
    <t xml:space="preserve">Western Wayne Narcotics Unit-Wwnu </t>
  </si>
  <si>
    <t xml:space="preserve">Westland </t>
  </si>
  <si>
    <t xml:space="preserve">Westland City Housing Commission </t>
  </si>
  <si>
    <t xml:space="preserve">Woodhaven </t>
  </si>
  <si>
    <t xml:space="preserve">Wyandotte </t>
  </si>
  <si>
    <t xml:space="preserve">Wyandotte City Dept Of Municipal Service </t>
  </si>
  <si>
    <t>Boon Township</t>
  </si>
  <si>
    <t>Buckley Village</t>
  </si>
  <si>
    <t xml:space="preserve">Cadillac </t>
  </si>
  <si>
    <t xml:space="preserve">Cadillac City Housing Commission </t>
  </si>
  <si>
    <t xml:space="preserve">Cadillac Wexford Public Library </t>
  </si>
  <si>
    <t xml:space="preserve">Cadillac-Wexford Transit Authority </t>
  </si>
  <si>
    <t>Cherry Grove Township</t>
  </si>
  <si>
    <t>Clam Lake Township</t>
  </si>
  <si>
    <t>Haring Charter Township</t>
  </si>
  <si>
    <t>Harrietta Village</t>
  </si>
  <si>
    <t>Henderson Township</t>
  </si>
  <si>
    <t xml:space="preserve">Lake Mitchell Sewer Authority </t>
  </si>
  <si>
    <t xml:space="preserve">Manton </t>
  </si>
  <si>
    <t xml:space="preserve">Mid-Michigan Library League </t>
  </si>
  <si>
    <t>Selma Township</t>
  </si>
  <si>
    <t>Slagle Township</t>
  </si>
  <si>
    <t>Springville Township</t>
  </si>
  <si>
    <t>Wexford County</t>
  </si>
  <si>
    <t>Wexford Township</t>
  </si>
  <si>
    <t xml:space="preserve">Wexford County Airport Authority </t>
  </si>
  <si>
    <t xml:space="preserve">Wexford County Road Commission </t>
  </si>
  <si>
    <t>Entity</t>
  </si>
  <si>
    <t>Row</t>
  </si>
  <si>
    <t>Dupe</t>
  </si>
  <si>
    <t>Alcona</t>
  </si>
  <si>
    <t>Alger</t>
  </si>
  <si>
    <t>Allegan</t>
  </si>
  <si>
    <t>Alpena</t>
  </si>
  <si>
    <t>Antrim</t>
  </si>
  <si>
    <t>Arenac</t>
  </si>
  <si>
    <t>Baraga</t>
  </si>
  <si>
    <t>Barry</t>
  </si>
  <si>
    <t>Bay</t>
  </si>
  <si>
    <t>Benzie</t>
  </si>
  <si>
    <t>Berrien</t>
  </si>
  <si>
    <t>Branch</t>
  </si>
  <si>
    <t>Calhoun</t>
  </si>
  <si>
    <t>Cass</t>
  </si>
  <si>
    <t>Charlevoix</t>
  </si>
  <si>
    <t>Cheboygan</t>
  </si>
  <si>
    <t>Chippewa</t>
  </si>
  <si>
    <t>Clare</t>
  </si>
  <si>
    <t>Clinton</t>
  </si>
  <si>
    <t>Crawford</t>
  </si>
  <si>
    <t>Delta</t>
  </si>
  <si>
    <t>Dickinson</t>
  </si>
  <si>
    <t>Eaton</t>
  </si>
  <si>
    <t>Emmet</t>
  </si>
  <si>
    <t>Genesee</t>
  </si>
  <si>
    <t>Gladwin</t>
  </si>
  <si>
    <t>Gogebic</t>
  </si>
  <si>
    <t>Grand Traverse</t>
  </si>
  <si>
    <t>Gratiot</t>
  </si>
  <si>
    <t>Hillsdale</t>
  </si>
  <si>
    <t>Houghton</t>
  </si>
  <si>
    <t>Huron</t>
  </si>
  <si>
    <t>Ingham</t>
  </si>
  <si>
    <t>Ionia</t>
  </si>
  <si>
    <t>Iosco</t>
  </si>
  <si>
    <t>Iron</t>
  </si>
  <si>
    <t>Isabella</t>
  </si>
  <si>
    <t>Jackson</t>
  </si>
  <si>
    <t>Kalamazoo</t>
  </si>
  <si>
    <t>Kalkaska</t>
  </si>
  <si>
    <t>Kent</t>
  </si>
  <si>
    <t>Keweenaw</t>
  </si>
  <si>
    <t>Lake</t>
  </si>
  <si>
    <t>Lapeer</t>
  </si>
  <si>
    <t>Leelanau</t>
  </si>
  <si>
    <t>Lenawee</t>
  </si>
  <si>
    <t>Livingston</t>
  </si>
  <si>
    <t>Luce</t>
  </si>
  <si>
    <t>Mackinac</t>
  </si>
  <si>
    <t>Macomb</t>
  </si>
  <si>
    <t>Manistee</t>
  </si>
  <si>
    <t>Marquette</t>
  </si>
  <si>
    <t>Mason</t>
  </si>
  <si>
    <t>Mecosta</t>
  </si>
  <si>
    <t>Menominee</t>
  </si>
  <si>
    <t>Midland</t>
  </si>
  <si>
    <t>Missaukee</t>
  </si>
  <si>
    <t>Monroe</t>
  </si>
  <si>
    <t>Montcalm</t>
  </si>
  <si>
    <t>Montmorency</t>
  </si>
  <si>
    <t>Muskegon</t>
  </si>
  <si>
    <t>Newaygo</t>
  </si>
  <si>
    <t>Oakland</t>
  </si>
  <si>
    <t>Oceana</t>
  </si>
  <si>
    <t>Ogemaw</t>
  </si>
  <si>
    <t>Ontonagon</t>
  </si>
  <si>
    <t>Osceola</t>
  </si>
  <si>
    <t>Oscoda</t>
  </si>
  <si>
    <t>Otsego</t>
  </si>
  <si>
    <t>Ottawa</t>
  </si>
  <si>
    <t>Presque Isle</t>
  </si>
  <si>
    <t>Roscommon</t>
  </si>
  <si>
    <t>Saginaw</t>
  </si>
  <si>
    <t>St. Clair</t>
  </si>
  <si>
    <t>St. Joseph</t>
  </si>
  <si>
    <t>Sanilac</t>
  </si>
  <si>
    <t>Schoolcraft</t>
  </si>
  <si>
    <t>Shiawassee</t>
  </si>
  <si>
    <t>Tuscola</t>
  </si>
  <si>
    <t>Van Buren</t>
  </si>
  <si>
    <t>Washtenaw</t>
  </si>
  <si>
    <t>Wayne</t>
  </si>
  <si>
    <t>Wexford</t>
  </si>
  <si>
    <t>County 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</si>
</sst>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8"/>
      <color rgb="FFFFFFFF"/>
      <name val="Verdana"/>
      <family val="2"/>
    </font>
    <font>
      <sz val="8"/>
      <color rgb="FF000000"/>
      <name val="Verdana"/>
      <family val="2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5F5E5"/>
        <bgColor indexed="64"/>
      </patternFill>
    </fill>
    <fill>
      <patternFill patternType="solid">
        <fgColor rgb="FFE0E0A0"/>
        <bgColor indexed="64"/>
      </patternFill>
    </fill>
  </fills>
  <borders count="10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808080"/>
      </left>
      <right style="medium">
        <color rgb="FF000000"/>
      </right>
      <top style="thick">
        <color rgb="FF80808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808080"/>
      </top>
      <bottom style="medium">
        <color rgb="FF000000"/>
      </bottom>
      <diagonal/>
    </border>
    <border>
      <left style="medium">
        <color rgb="FF000000"/>
      </left>
      <right style="thick">
        <color rgb="FF808080"/>
      </right>
      <top style="thick">
        <color rgb="FF808080"/>
      </top>
      <bottom style="medium">
        <color rgb="FF000000"/>
      </bottom>
      <diagonal/>
    </border>
    <border>
      <left style="thick">
        <color rgb="FF80808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808080"/>
      </right>
      <top style="medium">
        <color rgb="FF000000"/>
      </top>
      <bottom style="medium">
        <color rgb="FF000000"/>
      </bottom>
      <diagonal/>
    </border>
    <border>
      <left style="thick">
        <color rgb="FF808080"/>
      </left>
      <right style="medium">
        <color rgb="FF000000"/>
      </right>
      <top style="medium">
        <color rgb="FF000000"/>
      </top>
      <bottom style="thick">
        <color rgb="FF80808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808080"/>
      </bottom>
      <diagonal/>
    </border>
    <border>
      <left style="medium">
        <color rgb="FF000000"/>
      </left>
      <right style="thick">
        <color rgb="FF808080"/>
      </right>
      <top style="medium">
        <color rgb="FF000000"/>
      </top>
      <bottom style="thick">
        <color rgb="FF808080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2">
    <xf numFmtId="0" fontId="0" fillId="0" borderId="0" xfId="0"/>
    <xf numFmtId="0" fontId="2" fillId="4" borderId="1" xfId="0" applyFont="1" applyFill="1" applyBorder="1" applyAlignment="1">
      <alignment horizontal="left" vertical="center" wrapText="1"/>
    </xf>
    <xf numFmtId="0" fontId="3" fillId="4" borderId="1" xfId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 wrapText="1"/>
    </xf>
    <xf numFmtId="0" fontId="3" fillId="5" borderId="1" xfId="1" applyFill="1" applyBorder="1" applyAlignment="1">
      <alignment horizontal="left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2" fillId="4" borderId="5" xfId="0" applyFont="1" applyFill="1" applyBorder="1" applyAlignment="1">
      <alignment horizontal="left" vertical="center" wrapText="1"/>
    </xf>
    <xf numFmtId="0" fontId="2" fillId="4" borderId="6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 wrapText="1"/>
    </xf>
    <xf numFmtId="0" fontId="2" fillId="5" borderId="6" xfId="0" applyFont="1" applyFill="1" applyBorder="1" applyAlignment="1">
      <alignment horizontal="left" vertical="center"/>
    </xf>
    <xf numFmtId="0" fontId="2" fillId="5" borderId="7" xfId="0" applyFont="1" applyFill="1" applyBorder="1" applyAlignment="1">
      <alignment horizontal="left" vertical="center" wrapText="1"/>
    </xf>
    <xf numFmtId="0" fontId="2" fillId="5" borderId="8" xfId="0" applyFont="1" applyFill="1" applyBorder="1" applyAlignment="1">
      <alignment horizontal="left" vertical="center" wrapText="1"/>
    </xf>
    <xf numFmtId="0" fontId="3" fillId="5" borderId="8" xfId="1" applyFill="1" applyBorder="1" applyAlignment="1">
      <alignment horizontal="left" vertical="center"/>
    </xf>
    <xf numFmtId="0" fontId="2" fillId="5" borderId="9" xfId="0" applyFont="1" applyFill="1" applyBorder="1" applyAlignment="1">
      <alignment horizontal="left" vertical="center"/>
    </xf>
    <xf numFmtId="0" fontId="2" fillId="4" borderId="7" xfId="0" applyFont="1" applyFill="1" applyBorder="1" applyAlignment="1">
      <alignment horizontal="left" vertical="center" wrapText="1"/>
    </xf>
    <xf numFmtId="0" fontId="2" fillId="4" borderId="8" xfId="0" applyFont="1" applyFill="1" applyBorder="1" applyAlignment="1">
      <alignment horizontal="left" vertical="center" wrapText="1"/>
    </xf>
    <xf numFmtId="0" fontId="3" fillId="4" borderId="8" xfId="1" applyFill="1" applyBorder="1" applyAlignment="1">
      <alignment horizontal="left" vertical="center"/>
    </xf>
    <xf numFmtId="0" fontId="2" fillId="4" borderId="9" xfId="0" applyFont="1" applyFill="1" applyBorder="1" applyAlignment="1">
      <alignment horizontal="left" vertical="center"/>
    </xf>
    <xf numFmtId="0" fontId="3" fillId="2" borderId="0" xfId="1" applyFill="1" applyAlignment="1">
      <alignment vertical="center" wrapText="1"/>
    </xf>
    <xf numFmtId="0" fontId="0" fillId="2" borderId="0" xfId="0" applyFill="1" applyAlignment="1">
      <alignment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treas-secure.state.mi.us/LAFDocSearch/tl41R01.aspx?&amp;lu_id=2939&amp;doc_yr=2016&amp;doc_code=AUD" TargetMode="External"/><Relationship Id="rId1827" Type="http://schemas.openxmlformats.org/officeDocument/2006/relationships/hyperlink" Target="https://treas-secure.state.mi.us/LAFDocSearch/tl41R01.aspx?&amp;lu_id=3606&amp;doc_yr=2016&amp;doc_code=AUD" TargetMode="External"/><Relationship Id="rId21" Type="http://schemas.openxmlformats.org/officeDocument/2006/relationships/hyperlink" Target="https://treas-secure.state.mi.us/LAFDocSearch/tl41R01.aspx?&amp;lu_id=31&amp;doc_yr=2016&amp;doc_code=AUD" TargetMode="External"/><Relationship Id="rId2089" Type="http://schemas.openxmlformats.org/officeDocument/2006/relationships/hyperlink" Target="https://treas-secure.state.mi.us/LAFDocSearch/tl41R01.aspx?&amp;lu_id=4292&amp;doc_yr=2016&amp;doc_code=AUD" TargetMode="External"/><Relationship Id="rId170" Type="http://schemas.openxmlformats.org/officeDocument/2006/relationships/hyperlink" Target="https://treas-secure.state.mi.us/LAFDocSearch/tl41R01.aspx?&amp;lu_id=310&amp;doc_yr=2016&amp;doc_code=AUD" TargetMode="External"/><Relationship Id="rId2296" Type="http://schemas.openxmlformats.org/officeDocument/2006/relationships/hyperlink" Target="https://treas-secure.state.mi.us/LAFDocSearch/tl41R01.aspx?&amp;lu_id=4611&amp;doc_yr=2016&amp;doc_code=AUD" TargetMode="External"/><Relationship Id="rId268" Type="http://schemas.openxmlformats.org/officeDocument/2006/relationships/hyperlink" Target="https://treas-secure.state.mi.us/LAFDocSearch/tl41R01.aspx?&amp;lu_id=458&amp;doc_yr=2016&amp;doc_code=AUD" TargetMode="External"/><Relationship Id="rId475" Type="http://schemas.openxmlformats.org/officeDocument/2006/relationships/hyperlink" Target="https://treas-secure.state.mi.us/LAFDocSearch/tl41R01.aspx?&amp;lu_id=797&amp;doc_yr=2016&amp;doc_code=AUD" TargetMode="External"/><Relationship Id="rId682" Type="http://schemas.openxmlformats.org/officeDocument/2006/relationships/hyperlink" Target="https://treas-secure.state.mi.us/LAFDocSearch/tl41R01.aspx?&amp;lu_id=1306&amp;doc_yr=2016&amp;doc_code=AUD" TargetMode="External"/><Relationship Id="rId2156" Type="http://schemas.openxmlformats.org/officeDocument/2006/relationships/hyperlink" Target="https://treas-secure.state.mi.us/LAFDocSearch/tl41R01.aspx?&amp;lu_id=4408&amp;doc_yr=2016&amp;doc_code=AUD" TargetMode="External"/><Relationship Id="rId2363" Type="http://schemas.openxmlformats.org/officeDocument/2006/relationships/hyperlink" Target="https://treas-secure.state.mi.us/LAFDocSearch/tl41R01.aspx?&amp;lu_id=4849&amp;doc_yr=2016&amp;doc_code=AUD" TargetMode="External"/><Relationship Id="rId2570" Type="http://schemas.openxmlformats.org/officeDocument/2006/relationships/hyperlink" Target="https://treas-secure.state.mi.us/LAFDocSearch/tl41R01.aspx?&amp;lu_id=5177&amp;doc_yr=2016&amp;doc_code=AUD" TargetMode="External"/><Relationship Id="rId128" Type="http://schemas.openxmlformats.org/officeDocument/2006/relationships/hyperlink" Target="https://treas-secure.state.mi.us/LAFDocSearch/tl41R01.aspx?&amp;lu_id=215&amp;doc_yr=2016&amp;doc_code=AUD" TargetMode="External"/><Relationship Id="rId335" Type="http://schemas.openxmlformats.org/officeDocument/2006/relationships/hyperlink" Target="https://treas-secure.state.mi.us/LAFDocSearch/tl41R01.aspx?&amp;lu_id=562&amp;doc_yr=2016&amp;doc_code=AUD" TargetMode="External"/><Relationship Id="rId542" Type="http://schemas.openxmlformats.org/officeDocument/2006/relationships/hyperlink" Target="https://treas-secure.state.mi.us/LAFDocSearch/tl41R01.aspx?&amp;lu_id=985&amp;doc_yr=2016&amp;doc_code=AUD" TargetMode="External"/><Relationship Id="rId987" Type="http://schemas.openxmlformats.org/officeDocument/2006/relationships/hyperlink" Target="https://treas-secure.state.mi.us/LAFDocSearch/tl41R01.aspx?&amp;lu_id=2043&amp;doc_yr=2016&amp;doc_code=AUD" TargetMode="External"/><Relationship Id="rId1172" Type="http://schemas.openxmlformats.org/officeDocument/2006/relationships/hyperlink" Target="https://treas-secure.state.mi.us/LAFDocSearch/tl41R01.aspx?&amp;lu_id=2325&amp;doc_yr=2016&amp;doc_code=AUD" TargetMode="External"/><Relationship Id="rId2016" Type="http://schemas.openxmlformats.org/officeDocument/2006/relationships/hyperlink" Target="https://treas-secure.state.mi.us/LAFDocSearch/tl41R01.aspx?&amp;lu_id=3869&amp;doc_yr=2016&amp;doc_code=AUD" TargetMode="External"/><Relationship Id="rId2223" Type="http://schemas.openxmlformats.org/officeDocument/2006/relationships/hyperlink" Target="https://treas-secure.state.mi.us/LAFDocSearch/tl41R01.aspx?&amp;lu_id=4527&amp;doc_yr=2016&amp;doc_code=AUD" TargetMode="External"/><Relationship Id="rId2430" Type="http://schemas.openxmlformats.org/officeDocument/2006/relationships/hyperlink" Target="https://treas-secure.state.mi.us/LAFDocSearch/tl41R01.aspx?&amp;lu_id=4994&amp;doc_yr=2016&amp;doc_code=AUD" TargetMode="External"/><Relationship Id="rId2668" Type="http://schemas.openxmlformats.org/officeDocument/2006/relationships/hyperlink" Target="https://treas-secure.state.mi.us/LAFDocSearch/tl41R01.aspx?&amp;lu_id=5697&amp;doc_yr=2016&amp;doc_code=AUD" TargetMode="External"/><Relationship Id="rId402" Type="http://schemas.openxmlformats.org/officeDocument/2006/relationships/hyperlink" Target="https://treas-secure.state.mi.us/LAFDocSearch/tl41R01.aspx?&amp;lu_id=691&amp;doc_yr=2016&amp;doc_code=AUD" TargetMode="External"/><Relationship Id="rId847" Type="http://schemas.openxmlformats.org/officeDocument/2006/relationships/hyperlink" Target="https://treas-secure.state.mi.us/LAFDocSearch/tl41R01.aspx?&amp;lu_id=1594&amp;doc_yr=2016&amp;doc_code=AUD" TargetMode="External"/><Relationship Id="rId1032" Type="http://schemas.openxmlformats.org/officeDocument/2006/relationships/hyperlink" Target="https://treas-secure.state.mi.us/LAFDocSearch/tl41R01.aspx?&amp;lu_id=1918&amp;doc_yr=2016&amp;doc_code=AUD" TargetMode="External"/><Relationship Id="rId1477" Type="http://schemas.openxmlformats.org/officeDocument/2006/relationships/hyperlink" Target="https://treas-secure.state.mi.us/LAFDocSearch/tl41R01.aspx?&amp;lu_id=2920&amp;doc_yr=2016&amp;doc_code=AUD" TargetMode="External"/><Relationship Id="rId1684" Type="http://schemas.openxmlformats.org/officeDocument/2006/relationships/hyperlink" Target="https://treas-secure.state.mi.us/LAFDocSearch/tl41R01.aspx?&amp;lu_id=3391&amp;doc_yr=2016&amp;doc_code=AUD" TargetMode="External"/><Relationship Id="rId1891" Type="http://schemas.openxmlformats.org/officeDocument/2006/relationships/hyperlink" Target="https://treas-secure.state.mi.us/LAFDocSearch/tl41R01.aspx?&amp;lu_id=3713&amp;doc_yr=2016&amp;doc_code=AUD" TargetMode="External"/><Relationship Id="rId2528" Type="http://schemas.openxmlformats.org/officeDocument/2006/relationships/hyperlink" Target="https://treas-secure.state.mi.us/LAFDocSearch/tl41R01.aspx?&amp;lu_id=5197&amp;doc_yr=2016&amp;doc_code=AUD" TargetMode="External"/><Relationship Id="rId2735" Type="http://schemas.openxmlformats.org/officeDocument/2006/relationships/hyperlink" Target="https://treas-secure.state.mi.us/LAFDocSearch/tl41R01.aspx?&amp;lu_id=5815&amp;doc_yr=2016&amp;doc_code=AUD" TargetMode="External"/><Relationship Id="rId707" Type="http://schemas.openxmlformats.org/officeDocument/2006/relationships/hyperlink" Target="https://treas-secure.state.mi.us/LAFDocSearch/tl41R01.aspx?&amp;lu_id=1461&amp;doc_yr=2016&amp;doc_code=AUD" TargetMode="External"/><Relationship Id="rId914" Type="http://schemas.openxmlformats.org/officeDocument/2006/relationships/hyperlink" Target="https://treas-secure.state.mi.us/LAFDocSearch/tl41R01.aspx?&amp;lu_id=1765&amp;doc_yr=2016&amp;doc_code=AUD" TargetMode="External"/><Relationship Id="rId1337" Type="http://schemas.openxmlformats.org/officeDocument/2006/relationships/hyperlink" Target="https://treas-secure.state.mi.us/LAFDocSearch/tl41R01.aspx?&amp;lu_id=2480&amp;doc_yr=2016&amp;doc_code=AUD" TargetMode="External"/><Relationship Id="rId1544" Type="http://schemas.openxmlformats.org/officeDocument/2006/relationships/hyperlink" Target="https://treas-secure.state.mi.us/LAFDocSearch/tl41R01.aspx?&amp;lu_id=3159&amp;doc_yr=2016&amp;doc_code=AUD" TargetMode="External"/><Relationship Id="rId1751" Type="http://schemas.openxmlformats.org/officeDocument/2006/relationships/hyperlink" Target="https://treas-secure.state.mi.us/LAFDocSearch/tl41R01.aspx?&amp;lu_id=3495&amp;doc_yr=2016&amp;doc_code=AUD" TargetMode="External"/><Relationship Id="rId1989" Type="http://schemas.openxmlformats.org/officeDocument/2006/relationships/hyperlink" Target="https://treas-secure.state.mi.us/LAFDocSearch/tl41R01.aspx?&amp;lu_id=4154&amp;doc_yr=2016&amp;doc_code=AUD" TargetMode="External"/><Relationship Id="rId43" Type="http://schemas.openxmlformats.org/officeDocument/2006/relationships/hyperlink" Target="https://treas-secure.state.mi.us/LAFDocSearch/tl41R01.aspx?&amp;lu_id=122&amp;doc_yr=2016&amp;doc_code=AUD" TargetMode="External"/><Relationship Id="rId1404" Type="http://schemas.openxmlformats.org/officeDocument/2006/relationships/hyperlink" Target="https://treas-secure.state.mi.us/LAFDocSearch/tl41R01.aspx?&amp;lu_id=2699&amp;doc_yr=2016&amp;doc_code=AUD" TargetMode="External"/><Relationship Id="rId1611" Type="http://schemas.openxmlformats.org/officeDocument/2006/relationships/hyperlink" Target="https://treas-secure.state.mi.us/LAFDocSearch/tl41R01.aspx?&amp;lu_id=3243&amp;doc_yr=2016&amp;doc_code=AUD" TargetMode="External"/><Relationship Id="rId1849" Type="http://schemas.openxmlformats.org/officeDocument/2006/relationships/hyperlink" Target="https://treas-secure.state.mi.us/LAFDocSearch/tl41R01.aspx?&amp;lu_id=3669&amp;doc_yr=2016&amp;doc_code=AUD" TargetMode="External"/><Relationship Id="rId192" Type="http://schemas.openxmlformats.org/officeDocument/2006/relationships/hyperlink" Target="https://treas-secure.state.mi.us/LAFDocSearch/tl41R01.aspx?&amp;lu_id=324&amp;doc_yr=2016&amp;doc_code=AUD" TargetMode="External"/><Relationship Id="rId1709" Type="http://schemas.openxmlformats.org/officeDocument/2006/relationships/hyperlink" Target="https://treas-secure.state.mi.us/LAFDocSearch/tl41R01.aspx?&amp;lu_id=3414&amp;doc_yr=2016&amp;doc_code=AUD" TargetMode="External"/><Relationship Id="rId1916" Type="http://schemas.openxmlformats.org/officeDocument/2006/relationships/hyperlink" Target="https://treas-secure.state.mi.us/LAFDocSearch/tl41R01.aspx?&amp;lu_id=7061&amp;doc_yr=2016&amp;doc_code=AUD" TargetMode="External"/><Relationship Id="rId497" Type="http://schemas.openxmlformats.org/officeDocument/2006/relationships/hyperlink" Target="https://treas-secure.state.mi.us/LAFDocSearch/tl41R01.aspx?&amp;lu_id=871&amp;doc_yr=2016&amp;doc_code=AUD" TargetMode="External"/><Relationship Id="rId2080" Type="http://schemas.openxmlformats.org/officeDocument/2006/relationships/hyperlink" Target="https://treas-secure.state.mi.us/LAFDocSearch/tl41R01.aspx?&amp;lu_id=4291&amp;doc_yr=2016&amp;doc_code=AUD" TargetMode="External"/><Relationship Id="rId2178" Type="http://schemas.openxmlformats.org/officeDocument/2006/relationships/hyperlink" Target="https://treas-secure.state.mi.us/LAFDocSearch/tl41R01.aspx?&amp;lu_id=4423&amp;doc_yr=2016&amp;doc_code=AUD" TargetMode="External"/><Relationship Id="rId2385" Type="http://schemas.openxmlformats.org/officeDocument/2006/relationships/hyperlink" Target="https://treas-secure.state.mi.us/LAFDocSearch/tl41R01.aspx?&amp;lu_id=4938&amp;doc_yr=2016&amp;doc_code=AUD" TargetMode="External"/><Relationship Id="rId357" Type="http://schemas.openxmlformats.org/officeDocument/2006/relationships/hyperlink" Target="https://treas-secure.state.mi.us/LAFDocSearch/tl41R01.aspx?&amp;lu_id=620&amp;doc_yr=2016&amp;doc_code=AUD" TargetMode="External"/><Relationship Id="rId1194" Type="http://schemas.openxmlformats.org/officeDocument/2006/relationships/hyperlink" Target="https://treas-secure.state.mi.us/LAFDocSearch/tl41R01.aspx?&amp;lu_id=2286&amp;doc_yr=2016&amp;doc_code=AUD" TargetMode="External"/><Relationship Id="rId2038" Type="http://schemas.openxmlformats.org/officeDocument/2006/relationships/hyperlink" Target="https://treas-secure.state.mi.us/LAFDocSearch/tl41R01.aspx?&amp;lu_id=3846&amp;doc_yr=2016&amp;doc_code=AUD" TargetMode="External"/><Relationship Id="rId2592" Type="http://schemas.openxmlformats.org/officeDocument/2006/relationships/hyperlink" Target="https://treas-secure.state.mi.us/LAFDocSearch/tl41R01.aspx?&amp;lu_id=7575&amp;doc_yr=2016&amp;doc_code=AUD" TargetMode="External"/><Relationship Id="rId217" Type="http://schemas.openxmlformats.org/officeDocument/2006/relationships/hyperlink" Target="https://treas-secure.state.mi.us/LAFDocSearch/tl41R01.aspx?&amp;lu_id=374&amp;doc_yr=2016&amp;doc_code=AUD" TargetMode="External"/><Relationship Id="rId564" Type="http://schemas.openxmlformats.org/officeDocument/2006/relationships/hyperlink" Target="https://treas-secure.state.mi.us/LAFDocSearch/tl41R01.aspx?&amp;lu_id=938&amp;doc_yr=2016&amp;doc_code=AUD" TargetMode="External"/><Relationship Id="rId771" Type="http://schemas.openxmlformats.org/officeDocument/2006/relationships/hyperlink" Target="https://treas-secure.state.mi.us/LAFDocSearch/tl41R01.aspx?&amp;lu_id=1501&amp;doc_yr=2016&amp;doc_code=AUD" TargetMode="External"/><Relationship Id="rId869" Type="http://schemas.openxmlformats.org/officeDocument/2006/relationships/hyperlink" Target="https://treas-secure.state.mi.us/LAFDocSearch/tl41R01.aspx?&amp;lu_id=1656&amp;doc_yr=2016&amp;doc_code=AUD" TargetMode="External"/><Relationship Id="rId1499" Type="http://schemas.openxmlformats.org/officeDocument/2006/relationships/hyperlink" Target="https://treas-secure.state.mi.us/LAFDocSearch/tl41R01.aspx?&amp;lu_id=2922&amp;doc_yr=2016&amp;doc_code=AUD" TargetMode="External"/><Relationship Id="rId2245" Type="http://schemas.openxmlformats.org/officeDocument/2006/relationships/hyperlink" Target="https://treas-secure.state.mi.us/LAFDocSearch/tl41R01.aspx?&amp;lu_id=4568&amp;doc_yr=2016&amp;doc_code=AUD" TargetMode="External"/><Relationship Id="rId2452" Type="http://schemas.openxmlformats.org/officeDocument/2006/relationships/hyperlink" Target="https://treas-secure.state.mi.us/LAFDocSearch/tl41R01.aspx?&amp;lu_id=5020&amp;doc_yr=2016&amp;doc_code=AUD" TargetMode="External"/><Relationship Id="rId424" Type="http://schemas.openxmlformats.org/officeDocument/2006/relationships/hyperlink" Target="https://treas-secure.state.mi.us/LAFDocSearch/tl41R01.aspx?&amp;lu_id=702&amp;doc_yr=2016&amp;doc_code=AUD" TargetMode="External"/><Relationship Id="rId631" Type="http://schemas.openxmlformats.org/officeDocument/2006/relationships/hyperlink" Target="https://treas-secure.state.mi.us/LAFDocSearch/tl41R01.aspx?&amp;lu_id=1091&amp;doc_yr=2016&amp;doc_code=AUD" TargetMode="External"/><Relationship Id="rId729" Type="http://schemas.openxmlformats.org/officeDocument/2006/relationships/hyperlink" Target="https://treas-secure.state.mi.us/LAFDocSearch/tl41R01.aspx?&amp;lu_id=1450&amp;doc_yr=2016&amp;doc_code=AUD" TargetMode="External"/><Relationship Id="rId1054" Type="http://schemas.openxmlformats.org/officeDocument/2006/relationships/hyperlink" Target="https://treas-secure.state.mi.us/LAFDocSearch/tl41R01.aspx?&amp;lu_id=2071&amp;doc_yr=2016&amp;doc_code=AUD" TargetMode="External"/><Relationship Id="rId1261" Type="http://schemas.openxmlformats.org/officeDocument/2006/relationships/hyperlink" Target="https://treas-secure.state.mi.us/LAFDocSearch/tl41R01.aspx?&amp;lu_id=2435&amp;doc_yr=2016&amp;doc_code=AUD" TargetMode="External"/><Relationship Id="rId1359" Type="http://schemas.openxmlformats.org/officeDocument/2006/relationships/hyperlink" Target="https://treas-secure.state.mi.us/LAFDocSearch/tl41R01.aspx?&amp;lu_id=2618&amp;doc_yr=2016&amp;doc_code=AUD" TargetMode="External"/><Relationship Id="rId2105" Type="http://schemas.openxmlformats.org/officeDocument/2006/relationships/hyperlink" Target="https://treas-secure.state.mi.us/LAFDocSearch/tl41R01.aspx?&amp;lu_id=4308&amp;doc_yr=2016&amp;doc_code=AUD" TargetMode="External"/><Relationship Id="rId2312" Type="http://schemas.openxmlformats.org/officeDocument/2006/relationships/hyperlink" Target="https://treas-secure.state.mi.us/LAFDocSearch/tl41R01.aspx?&amp;lu_id=4728&amp;doc_yr=2016&amp;doc_code=AUD" TargetMode="External"/><Relationship Id="rId2757" Type="http://schemas.openxmlformats.org/officeDocument/2006/relationships/hyperlink" Target="https://treas-secure.state.mi.us/LAFDocSearch/tl41R01.aspx?&amp;lu_id=5840&amp;doc_yr=2016&amp;doc_code=AUD" TargetMode="External"/><Relationship Id="rId936" Type="http://schemas.openxmlformats.org/officeDocument/2006/relationships/hyperlink" Target="https://treas-secure.state.mi.us/LAFDocSearch/tl41R01.aspx?&amp;lu_id=1786&amp;doc_yr=2016&amp;doc_code=AUD" TargetMode="External"/><Relationship Id="rId1121" Type="http://schemas.openxmlformats.org/officeDocument/2006/relationships/hyperlink" Target="https://treas-secure.state.mi.us/LAFDocSearch/tl41R01.aspx?&amp;lu_id=2181&amp;doc_yr=2016&amp;doc_code=AUD" TargetMode="External"/><Relationship Id="rId1219" Type="http://schemas.openxmlformats.org/officeDocument/2006/relationships/hyperlink" Target="https://treas-secure.state.mi.us/LAFDocSearch/tl41R01.aspx?&amp;lu_id=2405&amp;doc_yr=2016&amp;doc_code=AUD" TargetMode="External"/><Relationship Id="rId1566" Type="http://schemas.openxmlformats.org/officeDocument/2006/relationships/hyperlink" Target="https://treas-secure.state.mi.us/LAFDocSearch/tl41R01.aspx?&amp;lu_id=2982&amp;doc_yr=2016&amp;doc_code=AUD" TargetMode="External"/><Relationship Id="rId1773" Type="http://schemas.openxmlformats.org/officeDocument/2006/relationships/hyperlink" Target="https://treas-secure.state.mi.us/LAFDocSearch/tl41R01.aspx?&amp;lu_id=3528&amp;doc_yr=2016&amp;doc_code=AUD" TargetMode="External"/><Relationship Id="rId1980" Type="http://schemas.openxmlformats.org/officeDocument/2006/relationships/hyperlink" Target="https://treas-secure.state.mi.us/LAFDocSearch/tl41R01.aspx?&amp;lu_id=3860&amp;doc_yr=2016&amp;doc_code=AUD" TargetMode="External"/><Relationship Id="rId2617" Type="http://schemas.openxmlformats.org/officeDocument/2006/relationships/hyperlink" Target="https://treas-secure.state.mi.us/LAFDocSearch/tl41R01.aspx?&amp;lu_id=5388&amp;doc_yr=2016&amp;doc_code=AUD" TargetMode="External"/><Relationship Id="rId65" Type="http://schemas.openxmlformats.org/officeDocument/2006/relationships/hyperlink" Target="https://treas-secure.state.mi.us/LAFDocSearch/tl41R01.aspx?&amp;lu_id=64&amp;doc_yr=2016&amp;doc_code=AUD" TargetMode="External"/><Relationship Id="rId1426" Type="http://schemas.openxmlformats.org/officeDocument/2006/relationships/hyperlink" Target="https://treas-secure.state.mi.us/LAFDocSearch/tl41R01.aspx?&amp;lu_id=2755&amp;doc_yr=2016&amp;doc_code=AUD" TargetMode="External"/><Relationship Id="rId1633" Type="http://schemas.openxmlformats.org/officeDocument/2006/relationships/hyperlink" Target="https://treas-secure.state.mi.us/LAFDocSearch/tl41R01.aspx?&amp;lu_id=3296&amp;doc_yr=2016&amp;doc_code=AUD" TargetMode="External"/><Relationship Id="rId1840" Type="http://schemas.openxmlformats.org/officeDocument/2006/relationships/hyperlink" Target="https://treas-secure.state.mi.us/LAFDocSearch/tl41R01.aspx?&amp;lu_id=3611&amp;doc_yr=2016&amp;doc_code=AUD" TargetMode="External"/><Relationship Id="rId1700" Type="http://schemas.openxmlformats.org/officeDocument/2006/relationships/hyperlink" Target="https://treas-secure.state.mi.us/LAFDocSearch/tl41R01.aspx?&amp;lu_id=3371&amp;doc_yr=2016&amp;doc_code=AUD" TargetMode="External"/><Relationship Id="rId1938" Type="http://schemas.openxmlformats.org/officeDocument/2006/relationships/hyperlink" Target="https://treas-secure.state.mi.us/LAFDocSearch/tl41R01.aspx?&amp;lu_id=3815&amp;doc_yr=2016&amp;doc_code=AUD" TargetMode="External"/><Relationship Id="rId281" Type="http://schemas.openxmlformats.org/officeDocument/2006/relationships/hyperlink" Target="https://treas-secure.state.mi.us/LAFDocSearch/tl41R01.aspx?&amp;lu_id=542&amp;doc_yr=2016&amp;doc_code=AUD" TargetMode="External"/><Relationship Id="rId141" Type="http://schemas.openxmlformats.org/officeDocument/2006/relationships/hyperlink" Target="https://treas-secure.state.mi.us/LAFDocSearch/tl41R01.aspx?&amp;lu_id=222&amp;doc_yr=2016&amp;doc_code=AUD" TargetMode="External"/><Relationship Id="rId379" Type="http://schemas.openxmlformats.org/officeDocument/2006/relationships/hyperlink" Target="https://treas-secure.state.mi.us/LAFDocSearch/tl41R01.aspx?&amp;lu_id=666&amp;doc_yr=2016&amp;doc_code=AUD" TargetMode="External"/><Relationship Id="rId586" Type="http://schemas.openxmlformats.org/officeDocument/2006/relationships/hyperlink" Target="https://treas-secure.state.mi.us/LAFDocSearch/tl41R01.aspx?&amp;lu_id=1011&amp;doc_yr=2016&amp;doc_code=AUD" TargetMode="External"/><Relationship Id="rId793" Type="http://schemas.openxmlformats.org/officeDocument/2006/relationships/hyperlink" Target="https://treas-secure.state.mi.us/LAFDocSearch/tl41R01.aspx?&amp;lu_id=1511&amp;doc_yr=2016&amp;doc_code=AUD" TargetMode="External"/><Relationship Id="rId2267" Type="http://schemas.openxmlformats.org/officeDocument/2006/relationships/hyperlink" Target="https://treas-secure.state.mi.us/LAFDocSearch/tl41R01.aspx?&amp;lu_id=4588&amp;doc_yr=2016&amp;doc_code=AUD" TargetMode="External"/><Relationship Id="rId2474" Type="http://schemas.openxmlformats.org/officeDocument/2006/relationships/hyperlink" Target="https://treas-secure.state.mi.us/LAFDocSearch/tl41R01.aspx?&amp;lu_id=5084&amp;doc_yr=2016&amp;doc_code=AUD" TargetMode="External"/><Relationship Id="rId2681" Type="http://schemas.openxmlformats.org/officeDocument/2006/relationships/hyperlink" Target="https://treas-secure.state.mi.us/LAFDocSearch/tl41R01.aspx?&amp;lu_id=5713&amp;doc_yr=2016&amp;doc_code=AUD" TargetMode="External"/><Relationship Id="rId7" Type="http://schemas.openxmlformats.org/officeDocument/2006/relationships/hyperlink" Target="https://treas-secure.state.mi.us/LAFDocSearch/tl41R01.aspx?&amp;lu_id=21&amp;doc_yr=2016&amp;doc_code=AUD" TargetMode="External"/><Relationship Id="rId239" Type="http://schemas.openxmlformats.org/officeDocument/2006/relationships/hyperlink" Target="https://treas-secure.state.mi.us/LAFDocSearch/tl41R01.aspx?&amp;lu_id=404&amp;doc_yr=2016&amp;doc_code=AUD" TargetMode="External"/><Relationship Id="rId446" Type="http://schemas.openxmlformats.org/officeDocument/2006/relationships/hyperlink" Target="https://treas-secure.state.mi.us/LAFDocSearch/tl41R01.aspx?&amp;lu_id=776&amp;doc_yr=2016&amp;doc_code=AUD" TargetMode="External"/><Relationship Id="rId653" Type="http://schemas.openxmlformats.org/officeDocument/2006/relationships/hyperlink" Target="https://treas-secure.state.mi.us/LAFDocSearch/tl41R01.aspx?&amp;lu_id=1113&amp;doc_yr=2016&amp;doc_code=AUD" TargetMode="External"/><Relationship Id="rId1076" Type="http://schemas.openxmlformats.org/officeDocument/2006/relationships/hyperlink" Target="https://treas-secure.state.mi.us/LAFDocSearch/tl41R01.aspx?&amp;lu_id=2065&amp;doc_yr=2016&amp;doc_code=AUD" TargetMode="External"/><Relationship Id="rId1283" Type="http://schemas.openxmlformats.org/officeDocument/2006/relationships/hyperlink" Target="https://treas-secure.state.mi.us/LAFDocSearch/tl41R01.aspx?&amp;lu_id=6097&amp;doc_yr=2016&amp;doc_code=AUD" TargetMode="External"/><Relationship Id="rId1490" Type="http://schemas.openxmlformats.org/officeDocument/2006/relationships/hyperlink" Target="https://treas-secure.state.mi.us/LAFDocSearch/tl41R01.aspx?&amp;lu_id=2921&amp;doc_yr=2016&amp;doc_code=AUD" TargetMode="External"/><Relationship Id="rId2127" Type="http://schemas.openxmlformats.org/officeDocument/2006/relationships/hyperlink" Target="https://treas-secure.state.mi.us/LAFDocSearch/tl41R01.aspx?&amp;lu_id=4341&amp;doc_yr=2016&amp;doc_code=AUD" TargetMode="External"/><Relationship Id="rId2334" Type="http://schemas.openxmlformats.org/officeDocument/2006/relationships/hyperlink" Target="https://treas-secure.state.mi.us/LAFDocSearch/tl41R01.aspx?&amp;lu_id=7567&amp;doc_yr=2016&amp;doc_code=AUD" TargetMode="External"/><Relationship Id="rId2779" Type="http://schemas.openxmlformats.org/officeDocument/2006/relationships/hyperlink" Target="https://treas-secure.state.mi.us/LAFDocSearch/tl41R01.aspx?&amp;lu_id=5880&amp;doc_yr=2016&amp;doc_code=AUD" TargetMode="External"/><Relationship Id="rId306" Type="http://schemas.openxmlformats.org/officeDocument/2006/relationships/hyperlink" Target="https://treas-secure.state.mi.us/LAFDocSearch/tl41R01.aspx?&amp;lu_id=506&amp;doc_yr=2016&amp;doc_code=AUD" TargetMode="External"/><Relationship Id="rId860" Type="http://schemas.openxmlformats.org/officeDocument/2006/relationships/hyperlink" Target="https://treas-secure.state.mi.us/LAFDocSearch/tl41R01.aspx?&amp;lu_id=1639&amp;doc_yr=2016&amp;doc_code=AUD" TargetMode="External"/><Relationship Id="rId958" Type="http://schemas.openxmlformats.org/officeDocument/2006/relationships/hyperlink" Target="https://treas-secure.state.mi.us/LAFDocSearch/tl41R01.aspx?&amp;lu_id=1886&amp;doc_yr=2016&amp;doc_code=AUD" TargetMode="External"/><Relationship Id="rId1143" Type="http://schemas.openxmlformats.org/officeDocument/2006/relationships/hyperlink" Target="https://treas-secure.state.mi.us/LAFDocSearch/tl41R01.aspx?&amp;lu_id=2261&amp;doc_yr=2016&amp;doc_code=AUD" TargetMode="External"/><Relationship Id="rId1588" Type="http://schemas.openxmlformats.org/officeDocument/2006/relationships/hyperlink" Target="https://treas-secure.state.mi.us/LAFDocSearch/tl41R01.aspx?&amp;lu_id=3163&amp;doc_yr=2016&amp;doc_code=AUD" TargetMode="External"/><Relationship Id="rId1795" Type="http://schemas.openxmlformats.org/officeDocument/2006/relationships/hyperlink" Target="https://treas-secure.state.mi.us/LAFDocSearch/tl41R01.aspx?&amp;lu_id=3575&amp;doc_yr=2016&amp;doc_code=AUD" TargetMode="External"/><Relationship Id="rId2541" Type="http://schemas.openxmlformats.org/officeDocument/2006/relationships/hyperlink" Target="https://treas-secure.state.mi.us/LAFDocSearch/tl41R01.aspx?&amp;lu_id=5198&amp;doc_yr=2016&amp;doc_code=AUD" TargetMode="External"/><Relationship Id="rId2639" Type="http://schemas.openxmlformats.org/officeDocument/2006/relationships/hyperlink" Target="https://treas-secure.state.mi.us/LAFDocSearch/tl41R01.aspx?&amp;lu_id=5372&amp;doc_yr=2016&amp;doc_code=AUD" TargetMode="External"/><Relationship Id="rId87" Type="http://schemas.openxmlformats.org/officeDocument/2006/relationships/hyperlink" Target="https://treas-secure.state.mi.us/LAFDocSearch/tl41R01.aspx?&amp;lu_id=143&amp;doc_yr=2016&amp;doc_code=AUD" TargetMode="External"/><Relationship Id="rId513" Type="http://schemas.openxmlformats.org/officeDocument/2006/relationships/hyperlink" Target="https://treas-secure.state.mi.us/LAFDocSearch/tl41R01.aspx?&amp;lu_id=915&amp;doc_yr=2016&amp;doc_code=AUD" TargetMode="External"/><Relationship Id="rId720" Type="http://schemas.openxmlformats.org/officeDocument/2006/relationships/hyperlink" Target="https://treas-secure.state.mi.us/LAFDocSearch/tl41R01.aspx?&amp;lu_id=1350&amp;doc_yr=2016&amp;doc_code=AUD" TargetMode="External"/><Relationship Id="rId818" Type="http://schemas.openxmlformats.org/officeDocument/2006/relationships/hyperlink" Target="https://treas-secure.state.mi.us/LAFDocSearch/tl41R01.aspx?&amp;lu_id=1546&amp;doc_yr=2016&amp;doc_code=AUD" TargetMode="External"/><Relationship Id="rId1350" Type="http://schemas.openxmlformats.org/officeDocument/2006/relationships/hyperlink" Target="https://treas-secure.state.mi.us/LAFDocSearch/tl41R01.aspx?&amp;lu_id=2611&amp;doc_yr=2016&amp;doc_code=AUD" TargetMode="External"/><Relationship Id="rId1448" Type="http://schemas.openxmlformats.org/officeDocument/2006/relationships/hyperlink" Target="https://treas-secure.state.mi.us/LAFDocSearch/tl41R01.aspx?&amp;lu_id=2742&amp;doc_yr=2016&amp;doc_code=AUD" TargetMode="External"/><Relationship Id="rId1655" Type="http://schemas.openxmlformats.org/officeDocument/2006/relationships/hyperlink" Target="https://treas-secure.state.mi.us/LAFDocSearch/tl41R01.aspx?&amp;lu_id=3263&amp;doc_yr=2016&amp;doc_code=AUD" TargetMode="External"/><Relationship Id="rId2401" Type="http://schemas.openxmlformats.org/officeDocument/2006/relationships/hyperlink" Target="https://treas-secure.state.mi.us/LAFDocSearch/tl41R01.aspx?&amp;lu_id=4924&amp;doc_yr=2016&amp;doc_code=AUD" TargetMode="External"/><Relationship Id="rId2706" Type="http://schemas.openxmlformats.org/officeDocument/2006/relationships/hyperlink" Target="https://treas-secure.state.mi.us/LAFDocSearch/tl41R01.aspx?&amp;lu_id=5440&amp;doc_yr=2016&amp;doc_code=AUD" TargetMode="External"/><Relationship Id="rId1003" Type="http://schemas.openxmlformats.org/officeDocument/2006/relationships/hyperlink" Target="https://treas-secure.state.mi.us/LAFDocSearch/tl41R01.aspx?&amp;lu_id=2032&amp;doc_yr=2016&amp;doc_code=AUD" TargetMode="External"/><Relationship Id="rId1210" Type="http://schemas.openxmlformats.org/officeDocument/2006/relationships/hyperlink" Target="https://treas-secure.state.mi.us/LAFDocSearch/tl41R01.aspx?&amp;lu_id=2362&amp;doc_yr=2016&amp;doc_code=AUD" TargetMode="External"/><Relationship Id="rId1308" Type="http://schemas.openxmlformats.org/officeDocument/2006/relationships/hyperlink" Target="https://treas-secure.state.mi.us/LAFDocSearch/tl41R01.aspx?&amp;lu_id=2573&amp;doc_yr=2016&amp;doc_code=AUD" TargetMode="External"/><Relationship Id="rId1862" Type="http://schemas.openxmlformats.org/officeDocument/2006/relationships/hyperlink" Target="https://treas-secure.state.mi.us/LAFDocSearch/tl41R01.aspx?&amp;lu_id=3710&amp;doc_yr=2016&amp;doc_code=AUD" TargetMode="External"/><Relationship Id="rId1515" Type="http://schemas.openxmlformats.org/officeDocument/2006/relationships/hyperlink" Target="https://treas-secure.state.mi.us/LAFDocSearch/tl41R01.aspx?&amp;lu_id=6182&amp;doc_yr=2016&amp;doc_code=AUD" TargetMode="External"/><Relationship Id="rId1722" Type="http://schemas.openxmlformats.org/officeDocument/2006/relationships/hyperlink" Target="https://treas-secure.state.mi.us/LAFDocSearch/tl41R01.aspx?&amp;lu_id=3420&amp;doc_yr=2016&amp;doc_code=AUD" TargetMode="External"/><Relationship Id="rId14" Type="http://schemas.openxmlformats.org/officeDocument/2006/relationships/hyperlink" Target="https://treas-secure.state.mi.us/LAFDocSearch/tl41R01.aspx?&amp;lu_id=17&amp;doc_yr=2016&amp;doc_code=AUD" TargetMode="External"/><Relationship Id="rId2191" Type="http://schemas.openxmlformats.org/officeDocument/2006/relationships/hyperlink" Target="https://treas-secure.state.mi.us/LAFDocSearch/tl41R01.aspx?&amp;lu_id=4470&amp;doc_yr=2016&amp;doc_code=AUD" TargetMode="External"/><Relationship Id="rId163" Type="http://schemas.openxmlformats.org/officeDocument/2006/relationships/hyperlink" Target="https://treas-secure.state.mi.us/LAFDocSearch/tl41R01.aspx?&amp;lu_id=278&amp;doc_yr=2016&amp;doc_code=AUD" TargetMode="External"/><Relationship Id="rId370" Type="http://schemas.openxmlformats.org/officeDocument/2006/relationships/hyperlink" Target="https://treas-secure.state.mi.us/LAFDocSearch/tl41R01.aspx?&amp;lu_id=667&amp;doc_yr=2016&amp;doc_code=AUD" TargetMode="External"/><Relationship Id="rId2051" Type="http://schemas.openxmlformats.org/officeDocument/2006/relationships/hyperlink" Target="https://treas-secure.state.mi.us/LAFDocSearch/tl41R01.aspx?&amp;lu_id=4230&amp;doc_yr=2016&amp;doc_code=AUD" TargetMode="External"/><Relationship Id="rId2289" Type="http://schemas.openxmlformats.org/officeDocument/2006/relationships/hyperlink" Target="https://treas-secure.state.mi.us/LAFDocSearch/tl41R01.aspx?&amp;lu_id=4686&amp;doc_yr=2016&amp;doc_code=AUD" TargetMode="External"/><Relationship Id="rId2496" Type="http://schemas.openxmlformats.org/officeDocument/2006/relationships/hyperlink" Target="https://treas-secure.state.mi.us/LAFDocSearch/tl41R01.aspx?&amp;lu_id=5103&amp;doc_yr=2016&amp;doc_code=AUD" TargetMode="External"/><Relationship Id="rId230" Type="http://schemas.openxmlformats.org/officeDocument/2006/relationships/hyperlink" Target="https://treas-secure.state.mi.us/LAFDocSearch/tl41R01.aspx?&amp;lu_id=418&amp;doc_yr=2016&amp;doc_code=AUD" TargetMode="External"/><Relationship Id="rId468" Type="http://schemas.openxmlformats.org/officeDocument/2006/relationships/hyperlink" Target="https://treas-secure.state.mi.us/LAFDocSearch/tl41R01.aspx?&amp;lu_id=788&amp;doc_yr=2016&amp;doc_code=AUD" TargetMode="External"/><Relationship Id="rId675" Type="http://schemas.openxmlformats.org/officeDocument/2006/relationships/hyperlink" Target="https://treas-secure.state.mi.us/LAFDocSearch/tl41R01.aspx?&amp;lu_id=1274&amp;doc_yr=2016&amp;doc_code=AUD" TargetMode="External"/><Relationship Id="rId882" Type="http://schemas.openxmlformats.org/officeDocument/2006/relationships/hyperlink" Target="https://treas-secure.state.mi.us/LAFDocSearch/tl41R01.aspx?&amp;lu_id=1661&amp;doc_yr=2016&amp;doc_code=AUD" TargetMode="External"/><Relationship Id="rId1098" Type="http://schemas.openxmlformats.org/officeDocument/2006/relationships/hyperlink" Target="https://treas-secure.state.mi.us/LAFDocSearch/tl41R01.aspx?&amp;lu_id=2138&amp;doc_yr=2016&amp;doc_code=AUD" TargetMode="External"/><Relationship Id="rId2149" Type="http://schemas.openxmlformats.org/officeDocument/2006/relationships/hyperlink" Target="https://treas-secure.state.mi.us/LAFDocSearch/tl41R01.aspx?&amp;lu_id=4393&amp;doc_yr=2016&amp;doc_code=AUD" TargetMode="External"/><Relationship Id="rId2356" Type="http://schemas.openxmlformats.org/officeDocument/2006/relationships/hyperlink" Target="https://treas-secure.state.mi.us/LAFDocSearch/tl41R01.aspx?&amp;lu_id=4843&amp;doc_yr=2016&amp;doc_code=AUD" TargetMode="External"/><Relationship Id="rId2563" Type="http://schemas.openxmlformats.org/officeDocument/2006/relationships/hyperlink" Target="https://treas-secure.state.mi.us/LAFDocSearch/tl41R01.aspx?&amp;lu_id=6095&amp;doc_yr=2016&amp;doc_code=AUD" TargetMode="External"/><Relationship Id="rId2770" Type="http://schemas.openxmlformats.org/officeDocument/2006/relationships/hyperlink" Target="https://treas-secure.state.mi.us/LAFDocSearch/tl41R01.aspx?&amp;lu_id=5460&amp;doc_yr=2016&amp;doc_code=AUD" TargetMode="External"/><Relationship Id="rId328" Type="http://schemas.openxmlformats.org/officeDocument/2006/relationships/hyperlink" Target="https://treas-secure.state.mi.us/LAFDocSearch/tl41R01.aspx?&amp;lu_id=591&amp;doc_yr=2016&amp;doc_code=AUD" TargetMode="External"/><Relationship Id="rId535" Type="http://schemas.openxmlformats.org/officeDocument/2006/relationships/hyperlink" Target="https://treas-secure.state.mi.us/LAFDocSearch/tl41R01.aspx?&amp;lu_id=927&amp;doc_yr=2016&amp;doc_code=AUD" TargetMode="External"/><Relationship Id="rId742" Type="http://schemas.openxmlformats.org/officeDocument/2006/relationships/hyperlink" Target="https://treas-secure.state.mi.us/LAFDocSearch/tl41R01.aspx?&amp;lu_id=1355&amp;doc_yr=2016&amp;doc_code=AUD" TargetMode="External"/><Relationship Id="rId1165" Type="http://schemas.openxmlformats.org/officeDocument/2006/relationships/hyperlink" Target="https://treas-secure.state.mi.us/LAFDocSearch/tl41R01.aspx?&amp;lu_id=2294&amp;doc_yr=2016&amp;doc_code=AUD" TargetMode="External"/><Relationship Id="rId1372" Type="http://schemas.openxmlformats.org/officeDocument/2006/relationships/hyperlink" Target="https://treas-secure.state.mi.us/LAFDocSearch/tl41R01.aspx?&amp;lu_id=2644&amp;doc_yr=2016&amp;doc_code=AUD" TargetMode="External"/><Relationship Id="rId2009" Type="http://schemas.openxmlformats.org/officeDocument/2006/relationships/hyperlink" Target="https://treas-secure.state.mi.us/LAFDocSearch/tl41R01.aspx?&amp;lu_id=4145&amp;doc_yr=2016&amp;doc_code=AUD" TargetMode="External"/><Relationship Id="rId2216" Type="http://schemas.openxmlformats.org/officeDocument/2006/relationships/hyperlink" Target="https://treas-secure.state.mi.us/LAFDocSearch/tl41R01.aspx?&amp;lu_id=4537&amp;doc_yr=2016&amp;doc_code=AUD" TargetMode="External"/><Relationship Id="rId2423" Type="http://schemas.openxmlformats.org/officeDocument/2006/relationships/hyperlink" Target="https://treas-secure.state.mi.us/LAFDocSearch/tl41R01.aspx?&amp;lu_id=4982&amp;doc_yr=2016&amp;doc_code=AUD" TargetMode="External"/><Relationship Id="rId2630" Type="http://schemas.openxmlformats.org/officeDocument/2006/relationships/hyperlink" Target="https://treas-secure.state.mi.us/LAFDocSearch/tl41R01.aspx?&amp;lu_id=5315&amp;doc_yr=2016&amp;doc_code=AUD" TargetMode="External"/><Relationship Id="rId602" Type="http://schemas.openxmlformats.org/officeDocument/2006/relationships/hyperlink" Target="https://treas-secure.state.mi.us/LAFDocSearch/tl41R01.aspx?&amp;lu_id=1044&amp;doc_yr=2016&amp;doc_code=AUD" TargetMode="External"/><Relationship Id="rId1025" Type="http://schemas.openxmlformats.org/officeDocument/2006/relationships/hyperlink" Target="https://treas-secure.state.mi.us/LAFDocSearch/tl41R01.aspx?&amp;lu_id=1915&amp;doc_yr=2016&amp;doc_code=AUD" TargetMode="External"/><Relationship Id="rId1232" Type="http://schemas.openxmlformats.org/officeDocument/2006/relationships/hyperlink" Target="https://treas-secure.state.mi.us/LAFDocSearch/tl41R01.aspx?&amp;lu_id=2354&amp;doc_yr=2016&amp;doc_code=AUD" TargetMode="External"/><Relationship Id="rId1677" Type="http://schemas.openxmlformats.org/officeDocument/2006/relationships/hyperlink" Target="https://treas-secure.state.mi.us/LAFDocSearch/tl41R01.aspx?&amp;lu_id=3330&amp;doc_yr=2016&amp;doc_code=AUD" TargetMode="External"/><Relationship Id="rId1884" Type="http://schemas.openxmlformats.org/officeDocument/2006/relationships/hyperlink" Target="https://treas-secure.state.mi.us/LAFDocSearch/tl41R01.aspx?&amp;lu_id=3732&amp;doc_yr=2016&amp;doc_code=AUD" TargetMode="External"/><Relationship Id="rId2728" Type="http://schemas.openxmlformats.org/officeDocument/2006/relationships/hyperlink" Target="https://treas-secure.state.mi.us/LAFDocSearch/tl41R01.aspx?&amp;lu_id=5423&amp;doc_yr=2016&amp;doc_code=AUD" TargetMode="External"/><Relationship Id="rId907" Type="http://schemas.openxmlformats.org/officeDocument/2006/relationships/hyperlink" Target="https://treas-secure.state.mi.us/LAFDocSearch/tl41R01.aspx?&amp;lu_id=1725&amp;doc_yr=2016&amp;doc_code=AUD" TargetMode="External"/><Relationship Id="rId1537" Type="http://schemas.openxmlformats.org/officeDocument/2006/relationships/hyperlink" Target="https://treas-secure.state.mi.us/LAFDocSearch/tl41R01.aspx?&amp;lu_id=2975&amp;doc_yr=2016&amp;doc_code=AUD" TargetMode="External"/><Relationship Id="rId1744" Type="http://schemas.openxmlformats.org/officeDocument/2006/relationships/hyperlink" Target="https://treas-secure.state.mi.us/LAFDocSearch/tl41R01.aspx?&amp;lu_id=3463&amp;doc_yr=2016&amp;doc_code=AUD" TargetMode="External"/><Relationship Id="rId1951" Type="http://schemas.openxmlformats.org/officeDocument/2006/relationships/hyperlink" Target="https://treas-secure.state.mi.us/LAFDocSearch/tl41R01.aspx?&amp;lu_id=4144&amp;doc_yr=2016&amp;doc_code=AUD" TargetMode="External"/><Relationship Id="rId36" Type="http://schemas.openxmlformats.org/officeDocument/2006/relationships/hyperlink" Target="https://treas-secure.state.mi.us/LAFDocSearch/tl41R01.aspx?&amp;lu_id=50&amp;doc_yr=2016&amp;doc_code=AUD" TargetMode="External"/><Relationship Id="rId1604" Type="http://schemas.openxmlformats.org/officeDocument/2006/relationships/hyperlink" Target="https://treas-secure.state.mi.us/LAFDocSearch/tl41R01.aspx?&amp;lu_id=3214&amp;doc_yr=2016&amp;doc_code=AUD" TargetMode="External"/><Relationship Id="rId185" Type="http://schemas.openxmlformats.org/officeDocument/2006/relationships/hyperlink" Target="https://treas-secure.state.mi.us/LAFDocSearch/tl41R01.aspx?&amp;lu_id=287&amp;doc_yr=2016&amp;doc_code=AUD" TargetMode="External"/><Relationship Id="rId1811" Type="http://schemas.openxmlformats.org/officeDocument/2006/relationships/hyperlink" Target="https://treas-secure.state.mi.us/LAFDocSearch/tl41R01.aspx?&amp;lu_id=3540&amp;doc_yr=2016&amp;doc_code=AUD" TargetMode="External"/><Relationship Id="rId1909" Type="http://schemas.openxmlformats.org/officeDocument/2006/relationships/hyperlink" Target="https://treas-secure.state.mi.us/LAFDocSearch/tl41R01.aspx?&amp;lu_id=3812&amp;doc_yr=2016&amp;doc_code=AUD" TargetMode="External"/><Relationship Id="rId392" Type="http://schemas.openxmlformats.org/officeDocument/2006/relationships/hyperlink" Target="https://treas-secure.state.mi.us/LAFDocSearch/tl41R01.aspx?&amp;lu_id=668&amp;doc_yr=2016&amp;doc_code=AUD" TargetMode="External"/><Relationship Id="rId697" Type="http://schemas.openxmlformats.org/officeDocument/2006/relationships/hyperlink" Target="https://treas-secure.state.mi.us/LAFDocSearch/tl41R01.aspx?&amp;lu_id=1289&amp;doc_yr=2016&amp;doc_code=AUD" TargetMode="External"/><Relationship Id="rId2073" Type="http://schemas.openxmlformats.org/officeDocument/2006/relationships/hyperlink" Target="https://treas-secure.state.mi.us/LAFDocSearch/tl41R01.aspx?&amp;lu_id=4266&amp;doc_yr=2016&amp;doc_code=AUD" TargetMode="External"/><Relationship Id="rId2280" Type="http://schemas.openxmlformats.org/officeDocument/2006/relationships/hyperlink" Target="https://treas-secure.state.mi.us/LAFDocSearch/tl41R01.aspx?&amp;lu_id=4711&amp;doc_yr=2016&amp;doc_code=AUD" TargetMode="External"/><Relationship Id="rId2378" Type="http://schemas.openxmlformats.org/officeDocument/2006/relationships/hyperlink" Target="https://treas-secure.state.mi.us/LAFDocSearch/tl41R01.aspx?&amp;lu_id=4892&amp;doc_yr=2016&amp;doc_code=AUD" TargetMode="External"/><Relationship Id="rId252" Type="http://schemas.openxmlformats.org/officeDocument/2006/relationships/hyperlink" Target="https://treas-secure.state.mi.us/LAFDocSearch/tl41R01.aspx?&amp;lu_id=457&amp;doc_yr=2016&amp;doc_code=AUD" TargetMode="External"/><Relationship Id="rId1187" Type="http://schemas.openxmlformats.org/officeDocument/2006/relationships/hyperlink" Target="https://treas-secure.state.mi.us/LAFDocSearch/tl41R01.aspx?&amp;lu_id=2295&amp;doc_yr=2016&amp;doc_code=AUD" TargetMode="External"/><Relationship Id="rId2140" Type="http://schemas.openxmlformats.org/officeDocument/2006/relationships/hyperlink" Target="https://treas-secure.state.mi.us/LAFDocSearch/tl41R01.aspx?&amp;lu_id=4386&amp;doc_yr=2016&amp;doc_code=AUD" TargetMode="External"/><Relationship Id="rId2585" Type="http://schemas.openxmlformats.org/officeDocument/2006/relationships/hyperlink" Target="https://treas-secure.state.mi.us/LAFDocSearch/tl41R01.aspx?&amp;lu_id=5394&amp;doc_yr=2016&amp;doc_code=AUD" TargetMode="External"/><Relationship Id="rId2792" Type="http://schemas.openxmlformats.org/officeDocument/2006/relationships/hyperlink" Target="https://treas-secure.state.mi.us/LAFDocSearch/tl41R01.aspx?&amp;lu_id=5891&amp;doc_yr=2016&amp;doc_code=AUD" TargetMode="External"/><Relationship Id="rId112" Type="http://schemas.openxmlformats.org/officeDocument/2006/relationships/hyperlink" Target="https://treas-secure.state.mi.us/LAFDocSearch/tl41R01.aspx?&amp;lu_id=181&amp;doc_yr=2016&amp;doc_code=AUD" TargetMode="External"/><Relationship Id="rId557" Type="http://schemas.openxmlformats.org/officeDocument/2006/relationships/hyperlink" Target="https://treas-secure.state.mi.us/LAFDocSearch/tl41R01.aspx?&amp;lu_id=988&amp;doc_yr=2016&amp;doc_code=AUD" TargetMode="External"/><Relationship Id="rId764" Type="http://schemas.openxmlformats.org/officeDocument/2006/relationships/hyperlink" Target="https://treas-secure.state.mi.us/LAFDocSearch/tl41R01.aspx?&amp;lu_id=1498&amp;doc_yr=2016&amp;doc_code=AUD" TargetMode="External"/><Relationship Id="rId971" Type="http://schemas.openxmlformats.org/officeDocument/2006/relationships/hyperlink" Target="https://treas-secure.state.mi.us/LAFDocSearch/tl41R01.aspx?&amp;lu_id=1820&amp;doc_yr=2016&amp;doc_code=AUD" TargetMode="External"/><Relationship Id="rId1394" Type="http://schemas.openxmlformats.org/officeDocument/2006/relationships/hyperlink" Target="https://treas-secure.state.mi.us/LAFDocSearch/tl41R01.aspx?&amp;lu_id=2700&amp;doc_yr=2016&amp;doc_code=AUD" TargetMode="External"/><Relationship Id="rId1699" Type="http://schemas.openxmlformats.org/officeDocument/2006/relationships/hyperlink" Target="https://treas-secure.state.mi.us/LAFDocSearch/tl41R01.aspx?&amp;lu_id=3398&amp;doc_yr=2016&amp;doc_code=AUD" TargetMode="External"/><Relationship Id="rId2000" Type="http://schemas.openxmlformats.org/officeDocument/2006/relationships/hyperlink" Target="https://treas-secure.state.mi.us/LAFDocSearch/tl41R01.aspx?&amp;lu_id=4141&amp;doc_yr=2016&amp;doc_code=AUD" TargetMode="External"/><Relationship Id="rId2238" Type="http://schemas.openxmlformats.org/officeDocument/2006/relationships/hyperlink" Target="https://treas-secure.state.mi.us/LAFDocSearch/tl41R01.aspx?&amp;lu_id=4553&amp;doc_yr=2016&amp;doc_code=AUD" TargetMode="External"/><Relationship Id="rId2445" Type="http://schemas.openxmlformats.org/officeDocument/2006/relationships/hyperlink" Target="https://treas-secure.state.mi.us/LAFDocSearch/tl41R01.aspx?&amp;lu_id=5016&amp;doc_yr=2016&amp;doc_code=AUD" TargetMode="External"/><Relationship Id="rId2652" Type="http://schemas.openxmlformats.org/officeDocument/2006/relationships/hyperlink" Target="https://treas-secure.state.mi.us/LAFDocSearch/tl41R01.aspx?&amp;lu_id=5786&amp;doc_yr=2016&amp;doc_code=AUD" TargetMode="External"/><Relationship Id="rId417" Type="http://schemas.openxmlformats.org/officeDocument/2006/relationships/hyperlink" Target="https://treas-secure.state.mi.us/LAFDocSearch/tl41R01.aspx?&amp;lu_id=710&amp;doc_yr=2016&amp;doc_code=AUD" TargetMode="External"/><Relationship Id="rId624" Type="http://schemas.openxmlformats.org/officeDocument/2006/relationships/hyperlink" Target="https://treas-secure.state.mi.us/LAFDocSearch/tl41R01.aspx?&amp;lu_id=1062&amp;doc_yr=2016&amp;doc_code=AUD" TargetMode="External"/><Relationship Id="rId831" Type="http://schemas.openxmlformats.org/officeDocument/2006/relationships/hyperlink" Target="https://treas-secure.state.mi.us/LAFDocSearch/tl41R01.aspx?&amp;lu_id=1590&amp;doc_yr=2016&amp;doc_code=AUD" TargetMode="External"/><Relationship Id="rId1047" Type="http://schemas.openxmlformats.org/officeDocument/2006/relationships/hyperlink" Target="https://treas-secure.state.mi.us/LAFDocSearch/tl41R01.aspx?&amp;lu_id=2055&amp;doc_yr=2016&amp;doc_code=AUD" TargetMode="External"/><Relationship Id="rId1254" Type="http://schemas.openxmlformats.org/officeDocument/2006/relationships/hyperlink" Target="https://treas-secure.state.mi.us/LAFDocSearch/tl41R01.aspx?&amp;lu_id=2430&amp;doc_yr=2016&amp;doc_code=AUD" TargetMode="External"/><Relationship Id="rId1461" Type="http://schemas.openxmlformats.org/officeDocument/2006/relationships/hyperlink" Target="https://treas-secure.state.mi.us/LAFDocSearch/tl41R01.aspx?&amp;lu_id=2758&amp;doc_yr=2016&amp;doc_code=AUD" TargetMode="External"/><Relationship Id="rId2305" Type="http://schemas.openxmlformats.org/officeDocument/2006/relationships/hyperlink" Target="https://treas-secure.state.mi.us/LAFDocSearch/tl41R01.aspx?&amp;lu_id=4606&amp;doc_yr=2016&amp;doc_code=AUD" TargetMode="External"/><Relationship Id="rId2512" Type="http://schemas.openxmlformats.org/officeDocument/2006/relationships/hyperlink" Target="https://treas-secure.state.mi.us/LAFDocSearch/tl41R01.aspx?&amp;lu_id=5091&amp;doc_yr=2016&amp;doc_code=AUD" TargetMode="External"/><Relationship Id="rId929" Type="http://schemas.openxmlformats.org/officeDocument/2006/relationships/hyperlink" Target="https://treas-secure.state.mi.us/LAFDocSearch/tl41R01.aspx?&amp;lu_id=1732&amp;doc_yr=2016&amp;doc_code=AUD" TargetMode="External"/><Relationship Id="rId1114" Type="http://schemas.openxmlformats.org/officeDocument/2006/relationships/hyperlink" Target="https://treas-secure.state.mi.us/LAFDocSearch/tl41R01.aspx?&amp;lu_id=2201&amp;doc_yr=2016&amp;doc_code=AUD" TargetMode="External"/><Relationship Id="rId1321" Type="http://schemas.openxmlformats.org/officeDocument/2006/relationships/hyperlink" Target="https://treas-secure.state.mi.us/LAFDocSearch/tl41R01.aspx?&amp;lu_id=2580&amp;doc_yr=2016&amp;doc_code=AUD" TargetMode="External"/><Relationship Id="rId1559" Type="http://schemas.openxmlformats.org/officeDocument/2006/relationships/hyperlink" Target="https://treas-secure.state.mi.us/LAFDocSearch/tl41R01.aspx?&amp;lu_id=6058&amp;doc_yr=2016&amp;doc_code=AUD" TargetMode="External"/><Relationship Id="rId1766" Type="http://schemas.openxmlformats.org/officeDocument/2006/relationships/hyperlink" Target="https://treas-secure.state.mi.us/LAFDocSearch/tl41R01.aspx?&amp;lu_id=3504&amp;doc_yr=2016&amp;doc_code=AUD" TargetMode="External"/><Relationship Id="rId1973" Type="http://schemas.openxmlformats.org/officeDocument/2006/relationships/hyperlink" Target="https://treas-secure.state.mi.us/LAFDocSearch/tl41R01.aspx?&amp;lu_id=4177&amp;doc_yr=2016&amp;doc_code=AUD" TargetMode="External"/><Relationship Id="rId58" Type="http://schemas.openxmlformats.org/officeDocument/2006/relationships/hyperlink" Target="https://treas-secure.state.mi.us/LAFDocSearch/tl41R01.aspx?&amp;lu_id=60&amp;doc_yr=2016&amp;doc_code=AUD" TargetMode="External"/><Relationship Id="rId1419" Type="http://schemas.openxmlformats.org/officeDocument/2006/relationships/hyperlink" Target="https://treas-secure.state.mi.us/LAFDocSearch/tl41R01.aspx?&amp;lu_id=2718&amp;doc_yr=2016&amp;doc_code=AUD" TargetMode="External"/><Relationship Id="rId1626" Type="http://schemas.openxmlformats.org/officeDocument/2006/relationships/hyperlink" Target="https://treas-secure.state.mi.us/LAFDocSearch/tl41R01.aspx?&amp;lu_id=3300&amp;doc_yr=2016&amp;doc_code=AUD" TargetMode="External"/><Relationship Id="rId1833" Type="http://schemas.openxmlformats.org/officeDocument/2006/relationships/hyperlink" Target="https://treas-secure.state.mi.us/LAFDocSearch/tl41R01.aspx?&amp;lu_id=3593&amp;doc_yr=2016&amp;doc_code=AUD" TargetMode="External"/><Relationship Id="rId1900" Type="http://schemas.openxmlformats.org/officeDocument/2006/relationships/hyperlink" Target="https://treas-secure.state.mi.us/LAFDocSearch/tl41R01.aspx?&amp;lu_id=3702&amp;doc_yr=2016&amp;doc_code=AUD" TargetMode="External"/><Relationship Id="rId2095" Type="http://schemas.openxmlformats.org/officeDocument/2006/relationships/hyperlink" Target="https://treas-secure.state.mi.us/LAFDocSearch/tl41R01.aspx?&amp;lu_id=4299&amp;doc_yr=2016&amp;doc_code=AUD" TargetMode="External"/><Relationship Id="rId274" Type="http://schemas.openxmlformats.org/officeDocument/2006/relationships/hyperlink" Target="https://treas-secure.state.mi.us/LAFDocSearch/tl41R01.aspx?&amp;lu_id=432&amp;doc_yr=2016&amp;doc_code=AUD" TargetMode="External"/><Relationship Id="rId481" Type="http://schemas.openxmlformats.org/officeDocument/2006/relationships/hyperlink" Target="https://treas-secure.state.mi.us/LAFDocSearch/tl41R01.aspx?&amp;lu_id=804&amp;doc_yr=2016&amp;doc_code=AUD" TargetMode="External"/><Relationship Id="rId2162" Type="http://schemas.openxmlformats.org/officeDocument/2006/relationships/hyperlink" Target="https://treas-secure.state.mi.us/LAFDocSearch/tl41R01.aspx?&amp;lu_id=4488&amp;doc_yr=2016&amp;doc_code=AUD" TargetMode="External"/><Relationship Id="rId134" Type="http://schemas.openxmlformats.org/officeDocument/2006/relationships/hyperlink" Target="https://treas-secure.state.mi.us/LAFDocSearch/tl41R01.aspx?&amp;lu_id=225&amp;doc_yr=2016&amp;doc_code=AUD" TargetMode="External"/><Relationship Id="rId579" Type="http://schemas.openxmlformats.org/officeDocument/2006/relationships/hyperlink" Target="https://treas-secure.state.mi.us/LAFDocSearch/tl41R01.aspx?&amp;lu_id=995&amp;doc_yr=2016&amp;doc_code=AUD" TargetMode="External"/><Relationship Id="rId786" Type="http://schemas.openxmlformats.org/officeDocument/2006/relationships/hyperlink" Target="https://treas-secure.state.mi.us/LAFDocSearch/tl41R01.aspx?&amp;lu_id=1502&amp;doc_yr=2016&amp;doc_code=AUD" TargetMode="External"/><Relationship Id="rId993" Type="http://schemas.openxmlformats.org/officeDocument/2006/relationships/hyperlink" Target="https://treas-secure.state.mi.us/LAFDocSearch/tl41R01.aspx?&amp;lu_id=1920&amp;doc_yr=2016&amp;doc_code=AUD" TargetMode="External"/><Relationship Id="rId2467" Type="http://schemas.openxmlformats.org/officeDocument/2006/relationships/hyperlink" Target="https://treas-secure.state.mi.us/LAFDocSearch/tl41R01.aspx?&amp;lu_id=5025&amp;doc_yr=2016&amp;doc_code=AUD" TargetMode="External"/><Relationship Id="rId2674" Type="http://schemas.openxmlformats.org/officeDocument/2006/relationships/hyperlink" Target="https://treas-secure.state.mi.us/LAFDocSearch/tl41R01.aspx?&amp;lu_id=5430&amp;doc_yr=2016&amp;doc_code=AUD" TargetMode="External"/><Relationship Id="rId341" Type="http://schemas.openxmlformats.org/officeDocument/2006/relationships/hyperlink" Target="https://treas-secure.state.mi.us/LAFDocSearch/tl41R01.aspx?&amp;lu_id=567&amp;doc_yr=2016&amp;doc_code=AUD" TargetMode="External"/><Relationship Id="rId439" Type="http://schemas.openxmlformats.org/officeDocument/2006/relationships/hyperlink" Target="https://treas-secure.state.mi.us/LAFDocSearch/tl41R01.aspx?&amp;lu_id=743&amp;doc_yr=2016&amp;doc_code=AUD" TargetMode="External"/><Relationship Id="rId646" Type="http://schemas.openxmlformats.org/officeDocument/2006/relationships/hyperlink" Target="https://treas-secure.state.mi.us/LAFDocSearch/tl41R01.aspx?&amp;lu_id=1107&amp;doc_yr=2016&amp;doc_code=AUD" TargetMode="External"/><Relationship Id="rId1069" Type="http://schemas.openxmlformats.org/officeDocument/2006/relationships/hyperlink" Target="https://treas-secure.state.mi.us/LAFDocSearch/tl41R01.aspx?&amp;lu_id=7007&amp;doc_yr=2016&amp;doc_code=AUD" TargetMode="External"/><Relationship Id="rId1276" Type="http://schemas.openxmlformats.org/officeDocument/2006/relationships/hyperlink" Target="https://treas-secure.state.mi.us/LAFDocSearch/tl41R01.aspx?&amp;lu_id=2565&amp;doc_yr=2016&amp;doc_code=AUD" TargetMode="External"/><Relationship Id="rId1483" Type="http://schemas.openxmlformats.org/officeDocument/2006/relationships/hyperlink" Target="https://treas-secure.state.mi.us/LAFDocSearch/tl41R01.aspx?&amp;lu_id=2834&amp;doc_yr=2016&amp;doc_code=AUD" TargetMode="External"/><Relationship Id="rId2022" Type="http://schemas.openxmlformats.org/officeDocument/2006/relationships/hyperlink" Target="https://treas-secure.state.mi.us/LAFDocSearch/tl41R01.aspx?&amp;lu_id=3871&amp;doc_yr=2016&amp;doc_code=AUD" TargetMode="External"/><Relationship Id="rId2327" Type="http://schemas.openxmlformats.org/officeDocument/2006/relationships/hyperlink" Target="https://treas-secure.state.mi.us/LAFDocSearch/tl41R01.aspx?&amp;lu_id=6067&amp;doc_yr=2016&amp;doc_code=AUD" TargetMode="External"/><Relationship Id="rId201" Type="http://schemas.openxmlformats.org/officeDocument/2006/relationships/hyperlink" Target="https://treas-secure.state.mi.us/LAFDocSearch/tl41R01.aspx?&amp;lu_id=377&amp;doc_yr=2016&amp;doc_code=AUD" TargetMode="External"/><Relationship Id="rId506" Type="http://schemas.openxmlformats.org/officeDocument/2006/relationships/hyperlink" Target="https://treas-secure.state.mi.us/LAFDocSearch/tl41R01.aspx?&amp;lu_id=843&amp;doc_yr=2016&amp;doc_code=AUD" TargetMode="External"/><Relationship Id="rId853" Type="http://schemas.openxmlformats.org/officeDocument/2006/relationships/hyperlink" Target="https://treas-secure.state.mi.us/LAFDocSearch/tl41R01.aspx?&amp;lu_id=1603&amp;doc_yr=2016&amp;doc_code=AUD" TargetMode="External"/><Relationship Id="rId1136" Type="http://schemas.openxmlformats.org/officeDocument/2006/relationships/hyperlink" Target="https://treas-secure.state.mi.us/LAFDocSearch/tl41R01.aspx?&amp;lu_id=2220&amp;doc_yr=2016&amp;doc_code=AUD" TargetMode="External"/><Relationship Id="rId1690" Type="http://schemas.openxmlformats.org/officeDocument/2006/relationships/hyperlink" Target="https://treas-secure.state.mi.us/LAFDocSearch/tl41R01.aspx?&amp;lu_id=3366&amp;doc_yr=2016&amp;doc_code=AUD" TargetMode="External"/><Relationship Id="rId1788" Type="http://schemas.openxmlformats.org/officeDocument/2006/relationships/hyperlink" Target="https://treas-secure.state.mi.us/LAFDocSearch/tl41R01.aspx?&amp;lu_id=3583&amp;doc_yr=2016&amp;doc_code=AUD" TargetMode="External"/><Relationship Id="rId1995" Type="http://schemas.openxmlformats.org/officeDocument/2006/relationships/hyperlink" Target="https://treas-secure.state.mi.us/LAFDocSearch/tl41R01.aspx?&amp;lu_id=4156&amp;doc_yr=2016&amp;doc_code=AUD" TargetMode="External"/><Relationship Id="rId2534" Type="http://schemas.openxmlformats.org/officeDocument/2006/relationships/hyperlink" Target="https://treas-secure.state.mi.us/LAFDocSearch/tl41R01.aspx?&amp;lu_id=5185&amp;doc_yr=2016&amp;doc_code=AUD" TargetMode="External"/><Relationship Id="rId2741" Type="http://schemas.openxmlformats.org/officeDocument/2006/relationships/hyperlink" Target="https://treas-secure.state.mi.us/LAFDocSearch/tl41R01.aspx?&amp;lu_id=5597&amp;doc_yr=2016&amp;doc_code=AUD" TargetMode="External"/><Relationship Id="rId713" Type="http://schemas.openxmlformats.org/officeDocument/2006/relationships/hyperlink" Target="https://treas-secure.state.mi.us/LAFDocSearch/tl41R01.aspx?&amp;lu_id=1332&amp;doc_yr=2016&amp;doc_code=AUD" TargetMode="External"/><Relationship Id="rId920" Type="http://schemas.openxmlformats.org/officeDocument/2006/relationships/hyperlink" Target="https://treas-secure.state.mi.us/LAFDocSearch/tl41R01.aspx?&amp;lu_id=1771&amp;doc_yr=2016&amp;doc_code=AUD" TargetMode="External"/><Relationship Id="rId1343" Type="http://schemas.openxmlformats.org/officeDocument/2006/relationships/hyperlink" Target="https://treas-secure.state.mi.us/LAFDocSearch/tl41R01.aspx?&amp;lu_id=2602&amp;doc_yr=2016&amp;doc_code=AUD" TargetMode="External"/><Relationship Id="rId1550" Type="http://schemas.openxmlformats.org/officeDocument/2006/relationships/hyperlink" Target="https://treas-secure.state.mi.us/LAFDocSearch/tl41R01.aspx?&amp;lu_id=3146&amp;doc_yr=2016&amp;doc_code=AUD" TargetMode="External"/><Relationship Id="rId1648" Type="http://schemas.openxmlformats.org/officeDocument/2006/relationships/hyperlink" Target="https://treas-secure.state.mi.us/LAFDocSearch/tl41R01.aspx?&amp;lu_id=3258&amp;doc_yr=2016&amp;doc_code=AUD" TargetMode="External"/><Relationship Id="rId2601" Type="http://schemas.openxmlformats.org/officeDocument/2006/relationships/hyperlink" Target="https://treas-secure.state.mi.us/LAFDocSearch/tl41R01.aspx?&amp;lu_id=5274&amp;doc_yr=2016&amp;doc_code=AUD" TargetMode="External"/><Relationship Id="rId1203" Type="http://schemas.openxmlformats.org/officeDocument/2006/relationships/hyperlink" Target="https://treas-secure.state.mi.us/LAFDocSearch/tl41R01.aspx?&amp;lu_id=2348&amp;doc_yr=2016&amp;doc_code=AUD" TargetMode="External"/><Relationship Id="rId1410" Type="http://schemas.openxmlformats.org/officeDocument/2006/relationships/hyperlink" Target="https://treas-secure.state.mi.us/LAFDocSearch/tl41R01.aspx?&amp;lu_id=2709&amp;doc_yr=2016&amp;doc_code=AUD" TargetMode="External"/><Relationship Id="rId1508" Type="http://schemas.openxmlformats.org/officeDocument/2006/relationships/hyperlink" Target="https://treas-secure.state.mi.us/LAFDocSearch/tl41R01.aspx?&amp;lu_id=2935&amp;doc_yr=2016&amp;doc_code=AUD" TargetMode="External"/><Relationship Id="rId1855" Type="http://schemas.openxmlformats.org/officeDocument/2006/relationships/hyperlink" Target="https://treas-secure.state.mi.us/LAFDocSearch/tl41R01.aspx?&amp;lu_id=3666&amp;doc_yr=2016&amp;doc_code=AUD" TargetMode="External"/><Relationship Id="rId1715" Type="http://schemas.openxmlformats.org/officeDocument/2006/relationships/hyperlink" Target="https://treas-secure.state.mi.us/LAFDocSearch/tl41R01.aspx?&amp;lu_id=3444&amp;doc_yr=2016&amp;doc_code=AUD" TargetMode="External"/><Relationship Id="rId1922" Type="http://schemas.openxmlformats.org/officeDocument/2006/relationships/hyperlink" Target="https://treas-secure.state.mi.us/LAFDocSearch/tl41R01.aspx?&amp;lu_id=3782&amp;doc_yr=2016&amp;doc_code=AUD" TargetMode="External"/><Relationship Id="rId296" Type="http://schemas.openxmlformats.org/officeDocument/2006/relationships/hyperlink" Target="https://treas-secure.state.mi.us/LAFDocSearch/tl41R01.aspx?&amp;lu_id=439&amp;doc_yr=2016&amp;doc_code=AUD" TargetMode="External"/><Relationship Id="rId2184" Type="http://schemas.openxmlformats.org/officeDocument/2006/relationships/hyperlink" Target="https://treas-secure.state.mi.us/LAFDocSearch/tl41R01.aspx?&amp;lu_id=4424&amp;doc_yr=2016&amp;doc_code=AUD" TargetMode="External"/><Relationship Id="rId2391" Type="http://schemas.openxmlformats.org/officeDocument/2006/relationships/hyperlink" Target="https://treas-secure.state.mi.us/LAFDocSearch/tl41R01.aspx?&amp;lu_id=4916&amp;doc_yr=2016&amp;doc_code=AUD" TargetMode="External"/><Relationship Id="rId156" Type="http://schemas.openxmlformats.org/officeDocument/2006/relationships/hyperlink" Target="https://treas-secure.state.mi.us/LAFDocSearch/tl41R01.aspx?&amp;lu_id=272&amp;doc_yr=2016&amp;doc_code=AUD" TargetMode="External"/><Relationship Id="rId363" Type="http://schemas.openxmlformats.org/officeDocument/2006/relationships/hyperlink" Target="https://treas-secure.state.mi.us/LAFDocSearch/tl41R01.aspx?&amp;lu_id=671&amp;doc_yr=2016&amp;doc_code=AUD" TargetMode="External"/><Relationship Id="rId570" Type="http://schemas.openxmlformats.org/officeDocument/2006/relationships/hyperlink" Target="https://treas-secure.state.mi.us/LAFDocSearch/tl41R01.aspx?&amp;lu_id=941&amp;doc_yr=2016&amp;doc_code=AUD" TargetMode="External"/><Relationship Id="rId2044" Type="http://schemas.openxmlformats.org/officeDocument/2006/relationships/hyperlink" Target="https://treas-secure.state.mi.us/LAFDocSearch/tl41R01.aspx?&amp;lu_id=3877&amp;doc_yr=2016&amp;doc_code=AUD" TargetMode="External"/><Relationship Id="rId2251" Type="http://schemas.openxmlformats.org/officeDocument/2006/relationships/hyperlink" Target="https://treas-secure.state.mi.us/LAFDocSearch/tl41R01.aspx?&amp;lu_id=4581&amp;doc_yr=2016&amp;doc_code=AUD" TargetMode="External"/><Relationship Id="rId2489" Type="http://schemas.openxmlformats.org/officeDocument/2006/relationships/hyperlink" Target="https://treas-secure.state.mi.us/LAFDocSearch/tl41R01.aspx?&amp;lu_id=5097&amp;doc_yr=2016&amp;doc_code=AUD" TargetMode="External"/><Relationship Id="rId2696" Type="http://schemas.openxmlformats.org/officeDocument/2006/relationships/hyperlink" Target="https://treas-secure.state.mi.us/LAFDocSearch/tl41R01.aspx?&amp;lu_id=5433&amp;doc_yr=2016&amp;doc_code=AUD" TargetMode="External"/><Relationship Id="rId223" Type="http://schemas.openxmlformats.org/officeDocument/2006/relationships/hyperlink" Target="https://treas-secure.state.mi.us/LAFDocSearch/tl41R01.aspx?&amp;lu_id=376&amp;doc_yr=2016&amp;doc_code=AUD" TargetMode="External"/><Relationship Id="rId430" Type="http://schemas.openxmlformats.org/officeDocument/2006/relationships/hyperlink" Target="https://treas-secure.state.mi.us/LAFDocSearch/tl41R01.aspx?&amp;lu_id=711&amp;doc_yr=2016&amp;doc_code=AUD" TargetMode="External"/><Relationship Id="rId668" Type="http://schemas.openxmlformats.org/officeDocument/2006/relationships/hyperlink" Target="https://treas-secure.state.mi.us/LAFDocSearch/tl41R01.aspx?&amp;lu_id=1322&amp;doc_yr=2016&amp;doc_code=AUD" TargetMode="External"/><Relationship Id="rId875" Type="http://schemas.openxmlformats.org/officeDocument/2006/relationships/hyperlink" Target="https://treas-secure.state.mi.us/LAFDocSearch/tl41R01.aspx?&amp;lu_id=1704&amp;doc_yr=2016&amp;doc_code=AUD" TargetMode="External"/><Relationship Id="rId1060" Type="http://schemas.openxmlformats.org/officeDocument/2006/relationships/hyperlink" Target="https://treas-secure.state.mi.us/LAFDocSearch/tl41R01.aspx?&amp;lu_id=2118&amp;doc_yr=2016&amp;doc_code=AUD" TargetMode="External"/><Relationship Id="rId1298" Type="http://schemas.openxmlformats.org/officeDocument/2006/relationships/hyperlink" Target="https://treas-secure.state.mi.us/LAFDocSearch/tl41R01.aspx?&amp;lu_id=2568&amp;doc_yr=2016&amp;doc_code=AUD" TargetMode="External"/><Relationship Id="rId2111" Type="http://schemas.openxmlformats.org/officeDocument/2006/relationships/hyperlink" Target="https://treas-secure.state.mi.us/LAFDocSearch/tl41R01.aspx?&amp;lu_id=4366&amp;doc_yr=2016&amp;doc_code=AUD" TargetMode="External"/><Relationship Id="rId2349" Type="http://schemas.openxmlformats.org/officeDocument/2006/relationships/hyperlink" Target="https://treas-secure.state.mi.us/LAFDocSearch/tl41R01.aspx?&amp;lu_id=4858&amp;doc_yr=2016&amp;doc_code=AUD" TargetMode="External"/><Relationship Id="rId2556" Type="http://schemas.openxmlformats.org/officeDocument/2006/relationships/hyperlink" Target="https://treas-secure.state.mi.us/LAFDocSearch/tl41R01.aspx?&amp;lu_id=5207&amp;doc_yr=2016&amp;doc_code=AUD" TargetMode="External"/><Relationship Id="rId2763" Type="http://schemas.openxmlformats.org/officeDocument/2006/relationships/hyperlink" Target="https://treas-secure.state.mi.us/LAFDocSearch/tl41R01.aspx?&amp;lu_id=5973&amp;doc_yr=2016&amp;doc_code=AUD" TargetMode="External"/><Relationship Id="rId528" Type="http://schemas.openxmlformats.org/officeDocument/2006/relationships/hyperlink" Target="https://treas-secure.state.mi.us/LAFDocSearch/tl41R01.aspx?&amp;lu_id=918&amp;doc_yr=2016&amp;doc_code=AUD" TargetMode="External"/><Relationship Id="rId735" Type="http://schemas.openxmlformats.org/officeDocument/2006/relationships/hyperlink" Target="https://treas-secure.state.mi.us/LAFDocSearch/tl41R01.aspx?&amp;lu_id=1458&amp;doc_yr=2016&amp;doc_code=AUD" TargetMode="External"/><Relationship Id="rId942" Type="http://schemas.openxmlformats.org/officeDocument/2006/relationships/hyperlink" Target="https://treas-secure.state.mi.us/LAFDocSearch/tl41R01.aspx?&amp;lu_id=1889&amp;doc_yr=2016&amp;doc_code=AUD" TargetMode="External"/><Relationship Id="rId1158" Type="http://schemas.openxmlformats.org/officeDocument/2006/relationships/hyperlink" Target="https://treas-secure.state.mi.us/LAFDocSearch/tl41R01.aspx?&amp;lu_id=2271&amp;doc_yr=2016&amp;doc_code=AUD" TargetMode="External"/><Relationship Id="rId1365" Type="http://schemas.openxmlformats.org/officeDocument/2006/relationships/hyperlink" Target="https://treas-secure.state.mi.us/LAFDocSearch/tl41R01.aspx?&amp;lu_id=2639&amp;doc_yr=2016&amp;doc_code=AUD" TargetMode="External"/><Relationship Id="rId1572" Type="http://schemas.openxmlformats.org/officeDocument/2006/relationships/hyperlink" Target="https://treas-secure.state.mi.us/LAFDocSearch/tl41R01.aspx?&amp;lu_id=3000&amp;doc_yr=2016&amp;doc_code=AUD" TargetMode="External"/><Relationship Id="rId2209" Type="http://schemas.openxmlformats.org/officeDocument/2006/relationships/hyperlink" Target="https://treas-secure.state.mi.us/LAFDocSearch/tl41R01.aspx?&amp;lu_id=4528&amp;doc_yr=2016&amp;doc_code=AUD" TargetMode="External"/><Relationship Id="rId2416" Type="http://schemas.openxmlformats.org/officeDocument/2006/relationships/hyperlink" Target="https://treas-secure.state.mi.us/LAFDocSearch/tl41R01.aspx?&amp;lu_id=4941&amp;doc_yr=2016&amp;doc_code=AUD" TargetMode="External"/><Relationship Id="rId2623" Type="http://schemas.openxmlformats.org/officeDocument/2006/relationships/hyperlink" Target="https://treas-secure.state.mi.us/LAFDocSearch/tl41R01.aspx?&amp;lu_id=5401&amp;doc_yr=2016&amp;doc_code=AUD" TargetMode="External"/><Relationship Id="rId1018" Type="http://schemas.openxmlformats.org/officeDocument/2006/relationships/hyperlink" Target="https://treas-secure.state.mi.us/LAFDocSearch/tl41R01.aspx?&amp;lu_id=1913&amp;doc_yr=2016&amp;doc_code=AUD" TargetMode="External"/><Relationship Id="rId1225" Type="http://schemas.openxmlformats.org/officeDocument/2006/relationships/hyperlink" Target="https://treas-secure.state.mi.us/LAFDocSearch/tl41R01.aspx?&amp;lu_id=7916&amp;doc_yr=2016&amp;doc_code=AUD" TargetMode="External"/><Relationship Id="rId1432" Type="http://schemas.openxmlformats.org/officeDocument/2006/relationships/hyperlink" Target="https://treas-secure.state.mi.us/LAFDocSearch/tl41R01.aspx?&amp;lu_id=2735&amp;doc_yr=2016&amp;doc_code=AUD" TargetMode="External"/><Relationship Id="rId1877" Type="http://schemas.openxmlformats.org/officeDocument/2006/relationships/hyperlink" Target="https://treas-secure.state.mi.us/LAFDocSearch/tl41R01.aspx?&amp;lu_id=3754&amp;doc_yr=2016&amp;doc_code=AUD" TargetMode="External"/><Relationship Id="rId71" Type="http://schemas.openxmlformats.org/officeDocument/2006/relationships/hyperlink" Target="https://treas-secure.state.mi.us/LAFDocSearch/tl41R01.aspx?&amp;lu_id=67&amp;doc_yr=2016&amp;doc_code=AUD" TargetMode="External"/><Relationship Id="rId802" Type="http://schemas.openxmlformats.org/officeDocument/2006/relationships/hyperlink" Target="https://treas-secure.state.mi.us/LAFDocSearch/tl41R01.aspx?&amp;lu_id=1529&amp;doc_yr=2016&amp;doc_code=AUD" TargetMode="External"/><Relationship Id="rId1737" Type="http://schemas.openxmlformats.org/officeDocument/2006/relationships/hyperlink" Target="https://treas-secure.state.mi.us/LAFDocSearch/tl41R01.aspx?&amp;lu_id=3468&amp;doc_yr=2016&amp;doc_code=AUD" TargetMode="External"/><Relationship Id="rId1944" Type="http://schemas.openxmlformats.org/officeDocument/2006/relationships/hyperlink" Target="https://treas-secure.state.mi.us/LAFDocSearch/tl41R01.aspx?&amp;lu_id=3849&amp;doc_yr=2016&amp;doc_code=AUD" TargetMode="External"/><Relationship Id="rId29" Type="http://schemas.openxmlformats.org/officeDocument/2006/relationships/hyperlink" Target="https://treas-secure.state.mi.us/LAFDocSearch/tl41R01.aspx?&amp;lu_id=47&amp;doc_yr=2016&amp;doc_code=AUD" TargetMode="External"/><Relationship Id="rId178" Type="http://schemas.openxmlformats.org/officeDocument/2006/relationships/hyperlink" Target="https://treas-secure.state.mi.us/LAFDocSearch/tl41R01.aspx?&amp;lu_id=311&amp;doc_yr=2016&amp;doc_code=AUD" TargetMode="External"/><Relationship Id="rId1804" Type="http://schemas.openxmlformats.org/officeDocument/2006/relationships/hyperlink" Target="https://treas-secure.state.mi.us/LAFDocSearch/tl41R01.aspx?&amp;lu_id=3590&amp;doc_yr=2016&amp;doc_code=AUD" TargetMode="External"/><Relationship Id="rId385" Type="http://schemas.openxmlformats.org/officeDocument/2006/relationships/hyperlink" Target="https://treas-secure.state.mi.us/LAFDocSearch/tl41R01.aspx?&amp;lu_id=621&amp;doc_yr=2016&amp;doc_code=AUD" TargetMode="External"/><Relationship Id="rId592" Type="http://schemas.openxmlformats.org/officeDocument/2006/relationships/hyperlink" Target="https://treas-secure.state.mi.us/LAFDocSearch/tl41R01.aspx?&amp;lu_id=1049&amp;doc_yr=2016&amp;doc_code=AUD" TargetMode="External"/><Relationship Id="rId2066" Type="http://schemas.openxmlformats.org/officeDocument/2006/relationships/hyperlink" Target="https://treas-secure.state.mi.us/LAFDocSearch/tl41R01.aspx?&amp;lu_id=4258&amp;doc_yr=2016&amp;doc_code=AUD" TargetMode="External"/><Relationship Id="rId2273" Type="http://schemas.openxmlformats.org/officeDocument/2006/relationships/hyperlink" Target="https://treas-secure.state.mi.us/LAFDocSearch/tl41R01.aspx?&amp;lu_id=4593&amp;doc_yr=2016&amp;doc_code=AUD" TargetMode="External"/><Relationship Id="rId2480" Type="http://schemas.openxmlformats.org/officeDocument/2006/relationships/hyperlink" Target="https://treas-secure.state.mi.us/LAFDocSearch/tl41R01.aspx?&amp;lu_id=5160&amp;doc_yr=2016&amp;doc_code=AUD" TargetMode="External"/><Relationship Id="rId245" Type="http://schemas.openxmlformats.org/officeDocument/2006/relationships/hyperlink" Target="https://treas-secure.state.mi.us/LAFDocSearch/tl41R01.aspx?&amp;lu_id=401&amp;doc_yr=2016&amp;doc_code=AUD" TargetMode="External"/><Relationship Id="rId452" Type="http://schemas.openxmlformats.org/officeDocument/2006/relationships/hyperlink" Target="https://treas-secure.state.mi.us/LAFDocSearch/tl41R01.aspx?&amp;lu_id=747&amp;doc_yr=2016&amp;doc_code=AUD" TargetMode="External"/><Relationship Id="rId897" Type="http://schemas.openxmlformats.org/officeDocument/2006/relationships/hyperlink" Target="https://treas-secure.state.mi.us/LAFDocSearch/tl41R01.aspx?&amp;lu_id=1679&amp;doc_yr=2016&amp;doc_code=AUD" TargetMode="External"/><Relationship Id="rId1082" Type="http://schemas.openxmlformats.org/officeDocument/2006/relationships/hyperlink" Target="https://treas-secure.state.mi.us/LAFDocSearch/tl41R01.aspx?&amp;lu_id=2137&amp;doc_yr=2016&amp;doc_code=AUD" TargetMode="External"/><Relationship Id="rId2133" Type="http://schemas.openxmlformats.org/officeDocument/2006/relationships/hyperlink" Target="https://treas-secure.state.mi.us/LAFDocSearch/tl41R01.aspx?&amp;lu_id=4373&amp;doc_yr=2016&amp;doc_code=AUD" TargetMode="External"/><Relationship Id="rId2340" Type="http://schemas.openxmlformats.org/officeDocument/2006/relationships/hyperlink" Target="https://treas-secure.state.mi.us/LAFDocSearch/tl41R01.aspx?&amp;lu_id=4775&amp;doc_yr=2016&amp;doc_code=AUD" TargetMode="External"/><Relationship Id="rId2578" Type="http://schemas.openxmlformats.org/officeDocument/2006/relationships/hyperlink" Target="https://treas-secure.state.mi.us/LAFDocSearch/tl41R01.aspx?&amp;lu_id=5288&amp;doc_yr=2016&amp;doc_code=AUD" TargetMode="External"/><Relationship Id="rId2785" Type="http://schemas.openxmlformats.org/officeDocument/2006/relationships/hyperlink" Target="https://treas-secure.state.mi.us/LAFDocSearch/tl41R01.aspx?&amp;lu_id=7836&amp;doc_yr=2016&amp;doc_code=AUD" TargetMode="External"/><Relationship Id="rId105" Type="http://schemas.openxmlformats.org/officeDocument/2006/relationships/hyperlink" Target="https://treas-secure.state.mi.us/LAFDocSearch/tl41R01.aspx?&amp;lu_id=197&amp;doc_yr=2016&amp;doc_code=AUD" TargetMode="External"/><Relationship Id="rId312" Type="http://schemas.openxmlformats.org/officeDocument/2006/relationships/hyperlink" Target="https://treas-secure.state.mi.us/LAFDocSearch/tl41R01.aspx?&amp;lu_id=455&amp;doc_yr=2016&amp;doc_code=AUD" TargetMode="External"/><Relationship Id="rId757" Type="http://schemas.openxmlformats.org/officeDocument/2006/relationships/hyperlink" Target="https://treas-secure.state.mi.us/LAFDocSearch/tl41R01.aspx?&amp;lu_id=1344&amp;doc_yr=2016&amp;doc_code=AUD" TargetMode="External"/><Relationship Id="rId964" Type="http://schemas.openxmlformats.org/officeDocument/2006/relationships/hyperlink" Target="https://treas-secure.state.mi.us/LAFDocSearch/tl41R01.aspx?&amp;lu_id=1796&amp;doc_yr=2016&amp;doc_code=AUD" TargetMode="External"/><Relationship Id="rId1387" Type="http://schemas.openxmlformats.org/officeDocument/2006/relationships/hyperlink" Target="https://treas-secure.state.mi.us/LAFDocSearch/tl41R01.aspx?&amp;lu_id=2694&amp;doc_yr=2016&amp;doc_code=AUD" TargetMode="External"/><Relationship Id="rId1594" Type="http://schemas.openxmlformats.org/officeDocument/2006/relationships/hyperlink" Target="https://treas-secure.state.mi.us/LAFDocSearch/tl41R01.aspx?&amp;lu_id=2985&amp;doc_yr=2016&amp;doc_code=AUD" TargetMode="External"/><Relationship Id="rId2200" Type="http://schemas.openxmlformats.org/officeDocument/2006/relationships/hyperlink" Target="https://treas-secure.state.mi.us/LAFDocSearch/tl41R01.aspx?&amp;lu_id=4496&amp;doc_yr=2016&amp;doc_code=AUD" TargetMode="External"/><Relationship Id="rId2438" Type="http://schemas.openxmlformats.org/officeDocument/2006/relationships/hyperlink" Target="https://treas-secure.state.mi.us/LAFDocSearch/tl41R01.aspx?&amp;lu_id=4991&amp;doc_yr=2016&amp;doc_code=AUD" TargetMode="External"/><Relationship Id="rId2645" Type="http://schemas.openxmlformats.org/officeDocument/2006/relationships/hyperlink" Target="https://treas-secure.state.mi.us/LAFDocSearch/tl41R01.aspx?&amp;lu_id=5403&amp;doc_yr=2016&amp;doc_code=AUD" TargetMode="External"/><Relationship Id="rId93" Type="http://schemas.openxmlformats.org/officeDocument/2006/relationships/hyperlink" Target="https://treas-secure.state.mi.us/LAFDocSearch/tl41R01.aspx?&amp;lu_id=195&amp;doc_yr=2016&amp;doc_code=AUD" TargetMode="External"/><Relationship Id="rId617" Type="http://schemas.openxmlformats.org/officeDocument/2006/relationships/hyperlink" Target="https://treas-secure.state.mi.us/LAFDocSearch/tl41R01.aspx?&amp;lu_id=1080&amp;doc_yr=2016&amp;doc_code=AUD" TargetMode="External"/><Relationship Id="rId824" Type="http://schemas.openxmlformats.org/officeDocument/2006/relationships/hyperlink" Target="https://treas-secure.state.mi.us/LAFDocSearch/tl41R01.aspx?&amp;lu_id=1578&amp;doc_yr=2016&amp;doc_code=AUD" TargetMode="External"/><Relationship Id="rId1247" Type="http://schemas.openxmlformats.org/officeDocument/2006/relationships/hyperlink" Target="https://treas-secure.state.mi.us/LAFDocSearch/tl41R01.aspx?&amp;lu_id=7585&amp;doc_yr=2016&amp;doc_code=AUD" TargetMode="External"/><Relationship Id="rId1454" Type="http://schemas.openxmlformats.org/officeDocument/2006/relationships/hyperlink" Target="https://treas-secure.state.mi.us/LAFDocSearch/tl41R01.aspx?&amp;lu_id=2746&amp;doc_yr=2016&amp;doc_code=AUD" TargetMode="External"/><Relationship Id="rId1661" Type="http://schemas.openxmlformats.org/officeDocument/2006/relationships/hyperlink" Target="https://treas-secure.state.mi.us/LAFDocSearch/tl41R01.aspx?&amp;lu_id=3320&amp;doc_yr=2016&amp;doc_code=AUD" TargetMode="External"/><Relationship Id="rId1899" Type="http://schemas.openxmlformats.org/officeDocument/2006/relationships/hyperlink" Target="https://treas-secure.state.mi.us/LAFDocSearch/tl41R01.aspx?&amp;lu_id=3752&amp;doc_yr=2016&amp;doc_code=AUD" TargetMode="External"/><Relationship Id="rId2505" Type="http://schemas.openxmlformats.org/officeDocument/2006/relationships/hyperlink" Target="https://treas-secure.state.mi.us/LAFDocSearch/tl41R01.aspx?&amp;lu_id=5124&amp;doc_yr=2016&amp;doc_code=AUD" TargetMode="External"/><Relationship Id="rId2712" Type="http://schemas.openxmlformats.org/officeDocument/2006/relationships/hyperlink" Target="https://treas-secure.state.mi.us/LAFDocSearch/tl41R01.aspx?&amp;lu_id=6154&amp;doc_yr=2016&amp;doc_code=AUD" TargetMode="External"/><Relationship Id="rId1107" Type="http://schemas.openxmlformats.org/officeDocument/2006/relationships/hyperlink" Target="https://treas-secure.state.mi.us/LAFDocSearch/tl41R01.aspx?&amp;lu_id=2184&amp;doc_yr=2016&amp;doc_code=AUD" TargetMode="External"/><Relationship Id="rId1314" Type="http://schemas.openxmlformats.org/officeDocument/2006/relationships/hyperlink" Target="https://treas-secure.state.mi.us/LAFDocSearch/tl41R01.aspx?&amp;lu_id=2596&amp;doc_yr=2016&amp;doc_code=AUD" TargetMode="External"/><Relationship Id="rId1521" Type="http://schemas.openxmlformats.org/officeDocument/2006/relationships/hyperlink" Target="https://treas-secure.state.mi.us/LAFDocSearch/tl41R01.aspx?&amp;lu_id=2946&amp;doc_yr=2016&amp;doc_code=AUD" TargetMode="External"/><Relationship Id="rId1759" Type="http://schemas.openxmlformats.org/officeDocument/2006/relationships/hyperlink" Target="https://treas-secure.state.mi.us/LAFDocSearch/tl41R01.aspx?&amp;lu_id=3509&amp;doc_yr=2016&amp;doc_code=AUD" TargetMode="External"/><Relationship Id="rId1966" Type="http://schemas.openxmlformats.org/officeDocument/2006/relationships/hyperlink" Target="https://treas-secure.state.mi.us/LAFDocSearch/tl41R01.aspx?&amp;lu_id=3856&amp;doc_yr=2016&amp;doc_code=AUD" TargetMode="External"/><Relationship Id="rId1619" Type="http://schemas.openxmlformats.org/officeDocument/2006/relationships/hyperlink" Target="https://treas-secure.state.mi.us/LAFDocSearch/tl41R01.aspx?&amp;lu_id=3237&amp;doc_yr=2016&amp;doc_code=AUD" TargetMode="External"/><Relationship Id="rId1826" Type="http://schemas.openxmlformats.org/officeDocument/2006/relationships/hyperlink" Target="https://treas-secure.state.mi.us/LAFDocSearch/tl41R01.aspx?&amp;lu_id=3651&amp;doc_yr=2016&amp;doc_code=AUD" TargetMode="External"/><Relationship Id="rId20" Type="http://schemas.openxmlformats.org/officeDocument/2006/relationships/hyperlink" Target="https://treas-secure.state.mi.us/LAFDocSearch/tl41R01.aspx?&amp;lu_id=36&amp;doc_yr=2016&amp;doc_code=AUD" TargetMode="External"/><Relationship Id="rId2088" Type="http://schemas.openxmlformats.org/officeDocument/2006/relationships/hyperlink" Target="https://treas-secure.state.mi.us/LAFDocSearch/tl41R01.aspx?&amp;lu_id=4290&amp;doc_yr=2016&amp;doc_code=AUD" TargetMode="External"/><Relationship Id="rId2295" Type="http://schemas.openxmlformats.org/officeDocument/2006/relationships/hyperlink" Target="https://treas-secure.state.mi.us/LAFDocSearch/tl41R01.aspx?&amp;lu_id=4597&amp;doc_yr=2016&amp;doc_code=AUD" TargetMode="External"/><Relationship Id="rId267" Type="http://schemas.openxmlformats.org/officeDocument/2006/relationships/hyperlink" Target="https://treas-secure.state.mi.us/LAFDocSearch/tl41R01.aspx?&amp;lu_id=521&amp;doc_yr=2016&amp;doc_code=AUD" TargetMode="External"/><Relationship Id="rId474" Type="http://schemas.openxmlformats.org/officeDocument/2006/relationships/hyperlink" Target="https://treas-secure.state.mi.us/LAFDocSearch/tl41R01.aspx?&amp;lu_id=796&amp;doc_yr=2016&amp;doc_code=AUD" TargetMode="External"/><Relationship Id="rId2155" Type="http://schemas.openxmlformats.org/officeDocument/2006/relationships/hyperlink" Target="https://treas-secure.state.mi.us/LAFDocSearch/tl41R01.aspx?&amp;lu_id=4396&amp;doc_yr=2016&amp;doc_code=AUD" TargetMode="External"/><Relationship Id="rId127" Type="http://schemas.openxmlformats.org/officeDocument/2006/relationships/hyperlink" Target="https://treas-secure.state.mi.us/LAFDocSearch/tl41R01.aspx?&amp;lu_id=242&amp;doc_yr=2016&amp;doc_code=AUD" TargetMode="External"/><Relationship Id="rId681" Type="http://schemas.openxmlformats.org/officeDocument/2006/relationships/hyperlink" Target="https://treas-secure.state.mi.us/LAFDocSearch/tl41R01.aspx?&amp;lu_id=1305&amp;doc_yr=2016&amp;doc_code=AUD" TargetMode="External"/><Relationship Id="rId779" Type="http://schemas.openxmlformats.org/officeDocument/2006/relationships/hyperlink" Target="https://treas-secure.state.mi.us/LAFDocSearch/tl41R01.aspx?&amp;lu_id=1481&amp;doc_yr=2016&amp;doc_code=AUD" TargetMode="External"/><Relationship Id="rId986" Type="http://schemas.openxmlformats.org/officeDocument/2006/relationships/hyperlink" Target="https://treas-secure.state.mi.us/LAFDocSearch/tl41R01.aspx?&amp;lu_id=1906&amp;doc_yr=2016&amp;doc_code=AUD" TargetMode="External"/><Relationship Id="rId2362" Type="http://schemas.openxmlformats.org/officeDocument/2006/relationships/hyperlink" Target="https://treas-secure.state.mi.us/LAFDocSearch/tl41R01.aspx?&amp;lu_id=4889&amp;doc_yr=2016&amp;doc_code=AUD" TargetMode="External"/><Relationship Id="rId2667" Type="http://schemas.openxmlformats.org/officeDocument/2006/relationships/hyperlink" Target="https://treas-secure.state.mi.us/LAFDocSearch/tl41R01.aspx?&amp;lu_id=5854&amp;doc_yr=2016&amp;doc_code=AUD" TargetMode="External"/><Relationship Id="rId334" Type="http://schemas.openxmlformats.org/officeDocument/2006/relationships/hyperlink" Target="https://treas-secure.state.mi.us/LAFDocSearch/tl41R01.aspx?&amp;lu_id=593&amp;doc_yr=2016&amp;doc_code=AUD" TargetMode="External"/><Relationship Id="rId541" Type="http://schemas.openxmlformats.org/officeDocument/2006/relationships/hyperlink" Target="https://treas-secure.state.mi.us/LAFDocSearch/tl41R01.aspx?&amp;lu_id=986&amp;doc_yr=2016&amp;doc_code=AUD" TargetMode="External"/><Relationship Id="rId639" Type="http://schemas.openxmlformats.org/officeDocument/2006/relationships/hyperlink" Target="https://treas-secure.state.mi.us/LAFDocSearch/tl41R01.aspx?&amp;lu_id=1112&amp;doc_yr=2016&amp;doc_code=AUD" TargetMode="External"/><Relationship Id="rId1171" Type="http://schemas.openxmlformats.org/officeDocument/2006/relationships/hyperlink" Target="https://treas-secure.state.mi.us/LAFDocSearch/tl41R01.aspx?&amp;lu_id=2322&amp;doc_yr=2016&amp;doc_code=AUD" TargetMode="External"/><Relationship Id="rId1269" Type="http://schemas.openxmlformats.org/officeDocument/2006/relationships/hyperlink" Target="https://treas-secure.state.mi.us/LAFDocSearch/tl41R01.aspx?&amp;lu_id=2439&amp;doc_yr=2016&amp;doc_code=AUD" TargetMode="External"/><Relationship Id="rId1476" Type="http://schemas.openxmlformats.org/officeDocument/2006/relationships/hyperlink" Target="https://treas-secure.state.mi.us/LAFDocSearch/tl41R01.aspx?&amp;lu_id=2912&amp;doc_yr=2016&amp;doc_code=AUD" TargetMode="External"/><Relationship Id="rId2015" Type="http://schemas.openxmlformats.org/officeDocument/2006/relationships/hyperlink" Target="https://treas-secure.state.mi.us/LAFDocSearch/tl41R01.aspx?&amp;lu_id=4136&amp;doc_yr=2016&amp;doc_code=AUD" TargetMode="External"/><Relationship Id="rId2222" Type="http://schemas.openxmlformats.org/officeDocument/2006/relationships/hyperlink" Target="https://treas-secure.state.mi.us/LAFDocSearch/tl41R01.aspx?&amp;lu_id=4525&amp;doc_yr=2016&amp;doc_code=AUD" TargetMode="External"/><Relationship Id="rId401" Type="http://schemas.openxmlformats.org/officeDocument/2006/relationships/hyperlink" Target="https://treas-secure.state.mi.us/LAFDocSearch/tl41R01.aspx?&amp;lu_id=734&amp;doc_yr=2016&amp;doc_code=AUD" TargetMode="External"/><Relationship Id="rId846" Type="http://schemas.openxmlformats.org/officeDocument/2006/relationships/hyperlink" Target="https://treas-secure.state.mi.us/LAFDocSearch/tl41R01.aspx?&amp;lu_id=1641&amp;doc_yr=2016&amp;doc_code=AUD" TargetMode="External"/><Relationship Id="rId1031" Type="http://schemas.openxmlformats.org/officeDocument/2006/relationships/hyperlink" Target="https://treas-secure.state.mi.us/LAFDocSearch/tl41R01.aspx?&amp;lu_id=1917&amp;doc_yr=2016&amp;doc_code=AUD" TargetMode="External"/><Relationship Id="rId1129" Type="http://schemas.openxmlformats.org/officeDocument/2006/relationships/hyperlink" Target="https://treas-secure.state.mi.us/LAFDocSearch/tl41R01.aspx?&amp;lu_id=2214&amp;doc_yr=2016&amp;doc_code=AUD" TargetMode="External"/><Relationship Id="rId1683" Type="http://schemas.openxmlformats.org/officeDocument/2006/relationships/hyperlink" Target="https://treas-secure.state.mi.us/LAFDocSearch/tl41R01.aspx?&amp;lu_id=3360&amp;doc_yr=2016&amp;doc_code=AUD" TargetMode="External"/><Relationship Id="rId1890" Type="http://schemas.openxmlformats.org/officeDocument/2006/relationships/hyperlink" Target="https://treas-secure.state.mi.us/LAFDocSearch/tl41R01.aspx?&amp;lu_id=3699&amp;doc_yr=2016&amp;doc_code=AUD" TargetMode="External"/><Relationship Id="rId1988" Type="http://schemas.openxmlformats.org/officeDocument/2006/relationships/hyperlink" Target="https://treas-secure.state.mi.us/LAFDocSearch/tl41R01.aspx?&amp;lu_id=4151&amp;doc_yr=2016&amp;doc_code=AUD" TargetMode="External"/><Relationship Id="rId2527" Type="http://schemas.openxmlformats.org/officeDocument/2006/relationships/hyperlink" Target="https://treas-secure.state.mi.us/LAFDocSearch/tl41R01.aspx?&amp;lu_id=5181&amp;doc_yr=2016&amp;doc_code=AUD" TargetMode="External"/><Relationship Id="rId2734" Type="http://schemas.openxmlformats.org/officeDocument/2006/relationships/hyperlink" Target="https://treas-secure.state.mi.us/LAFDocSearch/tl41R01.aspx?&amp;lu_id=5450&amp;doc_yr=2016&amp;doc_code=AUD" TargetMode="External"/><Relationship Id="rId706" Type="http://schemas.openxmlformats.org/officeDocument/2006/relationships/hyperlink" Target="https://treas-secure.state.mi.us/LAFDocSearch/tl41R01.aspx?&amp;lu_id=1443&amp;doc_yr=2016&amp;doc_code=AUD" TargetMode="External"/><Relationship Id="rId913" Type="http://schemas.openxmlformats.org/officeDocument/2006/relationships/hyperlink" Target="https://treas-secure.state.mi.us/LAFDocSearch/tl41R01.aspx?&amp;lu_id=1718&amp;doc_yr=2016&amp;doc_code=AUD" TargetMode="External"/><Relationship Id="rId1336" Type="http://schemas.openxmlformats.org/officeDocument/2006/relationships/hyperlink" Target="https://treas-secure.state.mi.us/LAFDocSearch/tl41R01.aspx?&amp;lu_id=2472&amp;doc_yr=2016&amp;doc_code=AUD" TargetMode="External"/><Relationship Id="rId1543" Type="http://schemas.openxmlformats.org/officeDocument/2006/relationships/hyperlink" Target="https://treas-secure.state.mi.us/LAFDocSearch/tl41R01.aspx?&amp;lu_id=3178&amp;doc_yr=2016&amp;doc_code=AUD" TargetMode="External"/><Relationship Id="rId1750" Type="http://schemas.openxmlformats.org/officeDocument/2006/relationships/hyperlink" Target="https://treas-secure.state.mi.us/LAFDocSearch/tl41R01.aspx?&amp;lu_id=3494&amp;doc_yr=2016&amp;doc_code=AUD" TargetMode="External"/><Relationship Id="rId42" Type="http://schemas.openxmlformats.org/officeDocument/2006/relationships/hyperlink" Target="https://treas-secure.state.mi.us/LAFDocSearch/tl41R01.aspx?&amp;lu_id=74&amp;doc_yr=2016&amp;doc_code=AUD" TargetMode="External"/><Relationship Id="rId1403" Type="http://schemas.openxmlformats.org/officeDocument/2006/relationships/hyperlink" Target="https://treas-secure.state.mi.us/LAFDocSearch/tl41R01.aspx?&amp;lu_id=2656&amp;doc_yr=2016&amp;doc_code=AUD" TargetMode="External"/><Relationship Id="rId1610" Type="http://schemas.openxmlformats.org/officeDocument/2006/relationships/hyperlink" Target="https://treas-secure.state.mi.us/LAFDocSearch/tl41R01.aspx?&amp;lu_id=3234&amp;doc_yr=2016&amp;doc_code=AUD" TargetMode="External"/><Relationship Id="rId1848" Type="http://schemas.openxmlformats.org/officeDocument/2006/relationships/hyperlink" Target="https://treas-secure.state.mi.us/LAFDocSearch/tl41R01.aspx?&amp;lu_id=3667&amp;doc_yr=2016&amp;doc_code=AUD" TargetMode="External"/><Relationship Id="rId191" Type="http://schemas.openxmlformats.org/officeDocument/2006/relationships/hyperlink" Target="https://treas-secure.state.mi.us/LAFDocSearch/tl41R01.aspx?&amp;lu_id=375&amp;doc_yr=2016&amp;doc_code=AUD" TargetMode="External"/><Relationship Id="rId1708" Type="http://schemas.openxmlformats.org/officeDocument/2006/relationships/hyperlink" Target="https://treas-secure.state.mi.us/LAFDocSearch/tl41R01.aspx?&amp;lu_id=3413&amp;doc_yr=2016&amp;doc_code=AUD" TargetMode="External"/><Relationship Id="rId1915" Type="http://schemas.openxmlformats.org/officeDocument/2006/relationships/hyperlink" Target="https://treas-secure.state.mi.us/LAFDocSearch/tl41R01.aspx?&amp;lu_id=3820&amp;doc_yr=2016&amp;doc_code=AUD" TargetMode="External"/><Relationship Id="rId289" Type="http://schemas.openxmlformats.org/officeDocument/2006/relationships/hyperlink" Target="https://treas-secure.state.mi.us/LAFDocSearch/tl41R01.aspx?&amp;lu_id=437&amp;doc_yr=2016&amp;doc_code=AUD" TargetMode="External"/><Relationship Id="rId496" Type="http://schemas.openxmlformats.org/officeDocument/2006/relationships/hyperlink" Target="https://treas-secure.state.mi.us/LAFDocSearch/tl41R01.aspx?&amp;lu_id=849&amp;doc_yr=2016&amp;doc_code=AUD" TargetMode="External"/><Relationship Id="rId2177" Type="http://schemas.openxmlformats.org/officeDocument/2006/relationships/hyperlink" Target="https://treas-secure.state.mi.us/LAFDocSearch/tl41R01.aspx?&amp;lu_id=4437&amp;doc_yr=2016&amp;doc_code=AUD" TargetMode="External"/><Relationship Id="rId2384" Type="http://schemas.openxmlformats.org/officeDocument/2006/relationships/hyperlink" Target="https://treas-secure.state.mi.us/LAFDocSearch/tl41R01.aspx?&amp;lu_id=4913&amp;doc_yr=2016&amp;doc_code=AUD" TargetMode="External"/><Relationship Id="rId2591" Type="http://schemas.openxmlformats.org/officeDocument/2006/relationships/hyperlink" Target="https://treas-secure.state.mi.us/LAFDocSearch/tl41R01.aspx?&amp;lu_id=5407&amp;doc_yr=2016&amp;doc_code=AUD" TargetMode="External"/><Relationship Id="rId149" Type="http://schemas.openxmlformats.org/officeDocument/2006/relationships/hyperlink" Target="https://treas-secure.state.mi.us/LAFDocSearch/tl41R01.aspx?&amp;lu_id=252&amp;doc_yr=2016&amp;doc_code=AUD" TargetMode="External"/><Relationship Id="rId356" Type="http://schemas.openxmlformats.org/officeDocument/2006/relationships/hyperlink" Target="https://treas-secure.state.mi.us/LAFDocSearch/tl41R01.aspx?&amp;lu_id=623&amp;doc_yr=2016&amp;doc_code=AUD" TargetMode="External"/><Relationship Id="rId563" Type="http://schemas.openxmlformats.org/officeDocument/2006/relationships/hyperlink" Target="https://treas-secure.state.mi.us/LAFDocSearch/tl41R01.aspx?&amp;lu_id=7630&amp;doc_yr=2016&amp;doc_code=AUD" TargetMode="External"/><Relationship Id="rId770" Type="http://schemas.openxmlformats.org/officeDocument/2006/relationships/hyperlink" Target="https://treas-secure.state.mi.us/LAFDocSearch/tl41R01.aspx?&amp;lu_id=1467&amp;doc_yr=2016&amp;doc_code=AUD" TargetMode="External"/><Relationship Id="rId1193" Type="http://schemas.openxmlformats.org/officeDocument/2006/relationships/hyperlink" Target="https://treas-secure.state.mi.us/LAFDocSearch/tl41R01.aspx?&amp;lu_id=2285&amp;doc_yr=2016&amp;doc_code=AUD" TargetMode="External"/><Relationship Id="rId2037" Type="http://schemas.openxmlformats.org/officeDocument/2006/relationships/hyperlink" Target="https://treas-secure.state.mi.us/LAFDocSearch/tl41R01.aspx?&amp;lu_id=3876&amp;doc_yr=2016&amp;doc_code=AUD" TargetMode="External"/><Relationship Id="rId2244" Type="http://schemas.openxmlformats.org/officeDocument/2006/relationships/hyperlink" Target="https://treas-secure.state.mi.us/LAFDocSearch/tl41R01.aspx?&amp;lu_id=4545&amp;doc_yr=2016&amp;doc_code=AUD" TargetMode="External"/><Relationship Id="rId2451" Type="http://schemas.openxmlformats.org/officeDocument/2006/relationships/hyperlink" Target="https://treas-secure.state.mi.us/LAFDocSearch/tl41R01.aspx?&amp;lu_id=5019&amp;doc_yr=2016&amp;doc_code=AUD" TargetMode="External"/><Relationship Id="rId2689" Type="http://schemas.openxmlformats.org/officeDocument/2006/relationships/hyperlink" Target="https://treas-secure.state.mi.us/LAFDocSearch/tl41R01.aspx?&amp;lu_id=5780&amp;doc_yr=2016&amp;doc_code=AUD" TargetMode="External"/><Relationship Id="rId216" Type="http://schemas.openxmlformats.org/officeDocument/2006/relationships/hyperlink" Target="https://treas-secure.state.mi.us/LAFDocSearch/tl41R01.aspx?&amp;lu_id=333&amp;doc_yr=2016&amp;doc_code=AUD" TargetMode="External"/><Relationship Id="rId423" Type="http://schemas.openxmlformats.org/officeDocument/2006/relationships/hyperlink" Target="https://treas-secure.state.mi.us/LAFDocSearch/tl41R01.aspx?&amp;lu_id=725&amp;doc_yr=2016&amp;doc_code=AUD" TargetMode="External"/><Relationship Id="rId868" Type="http://schemas.openxmlformats.org/officeDocument/2006/relationships/hyperlink" Target="https://treas-secure.state.mi.us/LAFDocSearch/tl41R01.aspx?&amp;lu_id=1655&amp;doc_yr=2016&amp;doc_code=AUD" TargetMode="External"/><Relationship Id="rId1053" Type="http://schemas.openxmlformats.org/officeDocument/2006/relationships/hyperlink" Target="https://treas-secure.state.mi.us/LAFDocSearch/tl41R01.aspx?&amp;lu_id=2056&amp;doc_yr=2016&amp;doc_code=AUD" TargetMode="External"/><Relationship Id="rId1260" Type="http://schemas.openxmlformats.org/officeDocument/2006/relationships/hyperlink" Target="https://treas-secure.state.mi.us/LAFDocSearch/tl41R01.aspx?&amp;lu_id=2426&amp;doc_yr=2016&amp;doc_code=AUD" TargetMode="External"/><Relationship Id="rId1498" Type="http://schemas.openxmlformats.org/officeDocument/2006/relationships/hyperlink" Target="https://treas-secure.state.mi.us/LAFDocSearch/tl41R01.aspx?&amp;lu_id=2846&amp;doc_yr=2016&amp;doc_code=AUD" TargetMode="External"/><Relationship Id="rId2104" Type="http://schemas.openxmlformats.org/officeDocument/2006/relationships/hyperlink" Target="https://treas-secure.state.mi.us/LAFDocSearch/tl41R01.aspx?&amp;lu_id=4320&amp;doc_yr=2016&amp;doc_code=AUD" TargetMode="External"/><Relationship Id="rId2549" Type="http://schemas.openxmlformats.org/officeDocument/2006/relationships/hyperlink" Target="https://treas-secure.state.mi.us/LAFDocSearch/tl41R01.aspx?&amp;lu_id=6141&amp;doc_yr=2016&amp;doc_code=AUD" TargetMode="External"/><Relationship Id="rId2756" Type="http://schemas.openxmlformats.org/officeDocument/2006/relationships/hyperlink" Target="https://treas-secure.state.mi.us/LAFDocSearch/tl41R01.aspx?&amp;lu_id=5710&amp;doc_yr=2016&amp;doc_code=AUD" TargetMode="External"/><Relationship Id="rId630" Type="http://schemas.openxmlformats.org/officeDocument/2006/relationships/hyperlink" Target="https://treas-secure.state.mi.us/LAFDocSearch/tl41R01.aspx?&amp;lu_id=1256&amp;doc_yr=2016&amp;doc_code=AUD" TargetMode="External"/><Relationship Id="rId728" Type="http://schemas.openxmlformats.org/officeDocument/2006/relationships/hyperlink" Target="https://treas-secure.state.mi.us/LAFDocSearch/tl41R01.aspx?&amp;lu_id=6066&amp;doc_yr=2016&amp;doc_code=AUD" TargetMode="External"/><Relationship Id="rId935" Type="http://schemas.openxmlformats.org/officeDocument/2006/relationships/hyperlink" Target="https://treas-secure.state.mi.us/LAFDocSearch/tl41R01.aspx?&amp;lu_id=1880&amp;doc_yr=2016&amp;doc_code=AUD" TargetMode="External"/><Relationship Id="rId1358" Type="http://schemas.openxmlformats.org/officeDocument/2006/relationships/hyperlink" Target="https://treas-secure.state.mi.us/LAFDocSearch/tl41R01.aspx?&amp;lu_id=2617&amp;doc_yr=2016&amp;doc_code=AUD" TargetMode="External"/><Relationship Id="rId1565" Type="http://schemas.openxmlformats.org/officeDocument/2006/relationships/hyperlink" Target="https://treas-secure.state.mi.us/LAFDocSearch/tl41R01.aspx?&amp;lu_id=2991&amp;doc_yr=2016&amp;doc_code=AUD" TargetMode="External"/><Relationship Id="rId1772" Type="http://schemas.openxmlformats.org/officeDocument/2006/relationships/hyperlink" Target="https://treas-secure.state.mi.us/LAFDocSearch/tl41R01.aspx?&amp;lu_id=3585&amp;doc_yr=2016&amp;doc_code=AUD" TargetMode="External"/><Relationship Id="rId2311" Type="http://schemas.openxmlformats.org/officeDocument/2006/relationships/hyperlink" Target="https://treas-secure.state.mi.us/LAFDocSearch/tl41R01.aspx?&amp;lu_id=4754&amp;doc_yr=2016&amp;doc_code=AUD" TargetMode="External"/><Relationship Id="rId2409" Type="http://schemas.openxmlformats.org/officeDocument/2006/relationships/hyperlink" Target="https://treas-secure.state.mi.us/LAFDocSearch/tl41R01.aspx?&amp;lu_id=4983&amp;doc_yr=2016&amp;doc_code=AUD" TargetMode="External"/><Relationship Id="rId2616" Type="http://schemas.openxmlformats.org/officeDocument/2006/relationships/hyperlink" Target="https://treas-secure.state.mi.us/LAFDocSearch/tl41R01.aspx?&amp;lu_id=5280&amp;doc_yr=2016&amp;doc_code=AUD" TargetMode="External"/><Relationship Id="rId64" Type="http://schemas.openxmlformats.org/officeDocument/2006/relationships/hyperlink" Target="https://treas-secure.state.mi.us/LAFDocSearch/tl41R01.aspx?&amp;lu_id=75&amp;doc_yr=2016&amp;doc_code=AUD" TargetMode="External"/><Relationship Id="rId1120" Type="http://schemas.openxmlformats.org/officeDocument/2006/relationships/hyperlink" Target="https://treas-secure.state.mi.us/LAFDocSearch/tl41R01.aspx?&amp;lu_id=2180&amp;doc_yr=2016&amp;doc_code=AUD" TargetMode="External"/><Relationship Id="rId1218" Type="http://schemas.openxmlformats.org/officeDocument/2006/relationships/hyperlink" Target="https://treas-secure.state.mi.us/LAFDocSearch/tl41R01.aspx?&amp;lu_id=2404&amp;doc_yr=2016&amp;doc_code=AUD" TargetMode="External"/><Relationship Id="rId1425" Type="http://schemas.openxmlformats.org/officeDocument/2006/relationships/hyperlink" Target="https://treas-secure.state.mi.us/LAFDocSearch/tl41R01.aspx?&amp;lu_id=2808&amp;doc_yr=2016&amp;doc_code=AUD" TargetMode="External"/><Relationship Id="rId1632" Type="http://schemas.openxmlformats.org/officeDocument/2006/relationships/hyperlink" Target="https://treas-secure.state.mi.us/LAFDocSearch/tl41R01.aspx?&amp;lu_id=3295&amp;doc_yr=2016&amp;doc_code=AUD" TargetMode="External"/><Relationship Id="rId1937" Type="http://schemas.openxmlformats.org/officeDocument/2006/relationships/hyperlink" Target="https://treas-secure.state.mi.us/LAFDocSearch/tl41R01.aspx?&amp;lu_id=3823&amp;doc_yr=2016&amp;doc_code=AUD" TargetMode="External"/><Relationship Id="rId2199" Type="http://schemas.openxmlformats.org/officeDocument/2006/relationships/hyperlink" Target="https://treas-secure.state.mi.us/LAFDocSearch/tl41R01.aspx?&amp;lu_id=4492&amp;doc_yr=2016&amp;doc_code=AUD" TargetMode="External"/><Relationship Id="rId280" Type="http://schemas.openxmlformats.org/officeDocument/2006/relationships/hyperlink" Target="https://treas-secure.state.mi.us/LAFDocSearch/tl41R01.aspx?&amp;lu_id=526&amp;doc_yr=2016&amp;doc_code=AUD" TargetMode="External"/><Relationship Id="rId140" Type="http://schemas.openxmlformats.org/officeDocument/2006/relationships/hyperlink" Target="https://treas-secure.state.mi.us/LAFDocSearch/tl41R01.aspx?&amp;lu_id=244&amp;doc_yr=2016&amp;doc_code=AUD" TargetMode="External"/><Relationship Id="rId378" Type="http://schemas.openxmlformats.org/officeDocument/2006/relationships/hyperlink" Target="https://treas-secure.state.mi.us/LAFDocSearch/tl41R01.aspx?&amp;lu_id=6011&amp;doc_yr=2016&amp;doc_code=AUD" TargetMode="External"/><Relationship Id="rId585" Type="http://schemas.openxmlformats.org/officeDocument/2006/relationships/hyperlink" Target="https://treas-secure.state.mi.us/LAFDocSearch/tl41R01.aspx?&amp;lu_id=1009&amp;doc_yr=2016&amp;doc_code=AUD" TargetMode="External"/><Relationship Id="rId792" Type="http://schemas.openxmlformats.org/officeDocument/2006/relationships/hyperlink" Target="https://treas-secure.state.mi.us/LAFDocSearch/tl41R01.aspx?&amp;lu_id=1523&amp;doc_yr=2016&amp;doc_code=AUD" TargetMode="External"/><Relationship Id="rId2059" Type="http://schemas.openxmlformats.org/officeDocument/2006/relationships/hyperlink" Target="https://treas-secure.state.mi.us/LAFDocSearch/tl41R01.aspx?&amp;lu_id=4255&amp;doc_yr=2016&amp;doc_code=AUD" TargetMode="External"/><Relationship Id="rId2266" Type="http://schemas.openxmlformats.org/officeDocument/2006/relationships/hyperlink" Target="https://treas-secure.state.mi.us/LAFDocSearch/tl41R01.aspx?&amp;lu_id=4717&amp;doc_yr=2016&amp;doc_code=AUD" TargetMode="External"/><Relationship Id="rId2473" Type="http://schemas.openxmlformats.org/officeDocument/2006/relationships/hyperlink" Target="https://treas-secure.state.mi.us/LAFDocSearch/tl41R01.aspx?&amp;lu_id=5014&amp;doc_yr=2016&amp;doc_code=AUD" TargetMode="External"/><Relationship Id="rId2680" Type="http://schemas.openxmlformats.org/officeDocument/2006/relationships/hyperlink" Target="https://treas-secure.state.mi.us/LAFDocSearch/tl41R01.aspx?&amp;lu_id=5823&amp;doc_yr=2016&amp;doc_code=AUD" TargetMode="External"/><Relationship Id="rId6" Type="http://schemas.openxmlformats.org/officeDocument/2006/relationships/hyperlink" Target="https://treas-secure.state.mi.us/LAFDocSearch/tl41R01.aspx?&amp;lu_id=14&amp;doc_yr=2016&amp;doc_code=AUD" TargetMode="External"/><Relationship Id="rId238" Type="http://schemas.openxmlformats.org/officeDocument/2006/relationships/hyperlink" Target="https://treas-secure.state.mi.us/LAFDocSearch/tl41R01.aspx?&amp;lu_id=407&amp;doc_yr=2016&amp;doc_code=AUD" TargetMode="External"/><Relationship Id="rId445" Type="http://schemas.openxmlformats.org/officeDocument/2006/relationships/hyperlink" Target="https://treas-secure.state.mi.us/LAFDocSearch/tl41R01.aspx?&amp;lu_id=741&amp;doc_yr=2016&amp;doc_code=AUD" TargetMode="External"/><Relationship Id="rId652" Type="http://schemas.openxmlformats.org/officeDocument/2006/relationships/hyperlink" Target="https://treas-secure.state.mi.us/LAFDocSearch/tl41R01.aspx?&amp;lu_id=1099&amp;doc_yr=2016&amp;doc_code=AUD" TargetMode="External"/><Relationship Id="rId1075" Type="http://schemas.openxmlformats.org/officeDocument/2006/relationships/hyperlink" Target="https://treas-secure.state.mi.us/LAFDocSearch/tl41R01.aspx?&amp;lu_id=2101&amp;doc_yr=2016&amp;doc_code=AUD" TargetMode="External"/><Relationship Id="rId1282" Type="http://schemas.openxmlformats.org/officeDocument/2006/relationships/hyperlink" Target="https://treas-secure.state.mi.us/LAFDocSearch/tl41R01.aspx?&amp;lu_id=2564&amp;doc_yr=2016&amp;doc_code=AUD" TargetMode="External"/><Relationship Id="rId2126" Type="http://schemas.openxmlformats.org/officeDocument/2006/relationships/hyperlink" Target="https://treas-secure.state.mi.us/LAFDocSearch/tl41R01.aspx?&amp;lu_id=4339&amp;doc_yr=2016&amp;doc_code=AUD" TargetMode="External"/><Relationship Id="rId2333" Type="http://schemas.openxmlformats.org/officeDocument/2006/relationships/hyperlink" Target="https://treas-secure.state.mi.us/LAFDocSearch/tl41R01.aspx?&amp;lu_id=4831&amp;doc_yr=2016&amp;doc_code=AUD" TargetMode="External"/><Relationship Id="rId2540" Type="http://schemas.openxmlformats.org/officeDocument/2006/relationships/hyperlink" Target="https://treas-secure.state.mi.us/LAFDocSearch/tl41R01.aspx?&amp;lu_id=5187&amp;doc_yr=2016&amp;doc_code=AUD" TargetMode="External"/><Relationship Id="rId2778" Type="http://schemas.openxmlformats.org/officeDocument/2006/relationships/hyperlink" Target="https://treas-secure.state.mi.us/LAFDocSearch/tl41R01.aspx?&amp;lu_id=5879&amp;doc_yr=2016&amp;doc_code=AUD" TargetMode="External"/><Relationship Id="rId305" Type="http://schemas.openxmlformats.org/officeDocument/2006/relationships/hyperlink" Target="https://treas-secure.state.mi.us/LAFDocSearch/tl41R01.aspx?&amp;lu_id=443&amp;doc_yr=2016&amp;doc_code=AUD" TargetMode="External"/><Relationship Id="rId512" Type="http://schemas.openxmlformats.org/officeDocument/2006/relationships/hyperlink" Target="https://treas-secure.state.mi.us/LAFDocSearch/tl41R01.aspx?&amp;lu_id=885&amp;doc_yr=2016&amp;doc_code=AUD" TargetMode="External"/><Relationship Id="rId957" Type="http://schemas.openxmlformats.org/officeDocument/2006/relationships/hyperlink" Target="https://treas-secure.state.mi.us/LAFDocSearch/tl41R01.aspx?&amp;lu_id=1864&amp;doc_yr=2016&amp;doc_code=AUD" TargetMode="External"/><Relationship Id="rId1142" Type="http://schemas.openxmlformats.org/officeDocument/2006/relationships/hyperlink" Target="https://treas-secure.state.mi.us/LAFDocSearch/tl41R01.aspx?&amp;lu_id=2264&amp;doc_yr=2016&amp;doc_code=AUD" TargetMode="External"/><Relationship Id="rId1587" Type="http://schemas.openxmlformats.org/officeDocument/2006/relationships/hyperlink" Target="https://treas-secure.state.mi.us/LAFDocSearch/tl41R01.aspx?&amp;lu_id=2995&amp;doc_yr=2016&amp;doc_code=AUD" TargetMode="External"/><Relationship Id="rId1794" Type="http://schemas.openxmlformats.org/officeDocument/2006/relationships/hyperlink" Target="https://treas-secure.state.mi.us/LAFDocSearch/tl41R01.aspx?&amp;lu_id=3586&amp;doc_yr=2016&amp;doc_code=AUD" TargetMode="External"/><Relationship Id="rId2400" Type="http://schemas.openxmlformats.org/officeDocument/2006/relationships/hyperlink" Target="https://treas-secure.state.mi.us/LAFDocSearch/tl41R01.aspx?&amp;lu_id=4923&amp;doc_yr=2016&amp;doc_code=AUD" TargetMode="External"/><Relationship Id="rId2638" Type="http://schemas.openxmlformats.org/officeDocument/2006/relationships/hyperlink" Target="https://treas-secure.state.mi.us/LAFDocSearch/tl41R01.aspx?&amp;lu_id=5285&amp;doc_yr=2016&amp;doc_code=AUD" TargetMode="External"/><Relationship Id="rId86" Type="http://schemas.openxmlformats.org/officeDocument/2006/relationships/hyperlink" Target="https://treas-secure.state.mi.us/LAFDocSearch/tl41R01.aspx?&amp;lu_id=157&amp;doc_yr=2016&amp;doc_code=AUD" TargetMode="External"/><Relationship Id="rId817" Type="http://schemas.openxmlformats.org/officeDocument/2006/relationships/hyperlink" Target="https://treas-secure.state.mi.us/LAFDocSearch/tl41R01.aspx?&amp;lu_id=1575&amp;doc_yr=2016&amp;doc_code=AUD" TargetMode="External"/><Relationship Id="rId1002" Type="http://schemas.openxmlformats.org/officeDocument/2006/relationships/hyperlink" Target="https://treas-secure.state.mi.us/LAFDocSearch/tl41R01.aspx?&amp;lu_id=2030&amp;doc_yr=2016&amp;doc_code=AUD" TargetMode="External"/><Relationship Id="rId1447" Type="http://schemas.openxmlformats.org/officeDocument/2006/relationships/hyperlink" Target="https://treas-secure.state.mi.us/LAFDocSearch/tl41R01.aspx?&amp;lu_id=2810&amp;doc_yr=2016&amp;doc_code=AUD" TargetMode="External"/><Relationship Id="rId1654" Type="http://schemas.openxmlformats.org/officeDocument/2006/relationships/hyperlink" Target="https://treas-secure.state.mi.us/LAFDocSearch/tl41R01.aspx?&amp;lu_id=3262&amp;doc_yr=2016&amp;doc_code=AUD" TargetMode="External"/><Relationship Id="rId1861" Type="http://schemas.openxmlformats.org/officeDocument/2006/relationships/hyperlink" Target="https://treas-secure.state.mi.us/LAFDocSearch/tl41R01.aspx?&amp;lu_id=3688&amp;doc_yr=2016&amp;doc_code=AUD" TargetMode="External"/><Relationship Id="rId2705" Type="http://schemas.openxmlformats.org/officeDocument/2006/relationships/hyperlink" Target="https://treas-secure.state.mi.us/LAFDocSearch/tl41R01.aspx?&amp;lu_id=5439&amp;doc_yr=2016&amp;doc_code=AUD" TargetMode="External"/><Relationship Id="rId1307" Type="http://schemas.openxmlformats.org/officeDocument/2006/relationships/hyperlink" Target="https://treas-secure.state.mi.us/LAFDocSearch/tl41R01.aspx?&amp;lu_id=6094&amp;doc_yr=2016&amp;doc_code=AUD" TargetMode="External"/><Relationship Id="rId1514" Type="http://schemas.openxmlformats.org/officeDocument/2006/relationships/hyperlink" Target="https://treas-secure.state.mi.us/LAFDocSearch/tl41R01.aspx?&amp;lu_id=7311&amp;doc_yr=2016&amp;doc_code=AUD" TargetMode="External"/><Relationship Id="rId1721" Type="http://schemas.openxmlformats.org/officeDocument/2006/relationships/hyperlink" Target="https://treas-secure.state.mi.us/LAFDocSearch/tl41R01.aspx?&amp;lu_id=3435&amp;doc_yr=2016&amp;doc_code=AUD" TargetMode="External"/><Relationship Id="rId1959" Type="http://schemas.openxmlformats.org/officeDocument/2006/relationships/hyperlink" Target="https://treas-secure.state.mi.us/LAFDocSearch/tl41R01.aspx?&amp;lu_id=4123&amp;doc_yr=2016&amp;doc_code=AUD" TargetMode="External"/><Relationship Id="rId13" Type="http://schemas.openxmlformats.org/officeDocument/2006/relationships/hyperlink" Target="https://treas-secure.state.mi.us/LAFDocSearch/tl41R01.aspx?&amp;lu_id=13&amp;doc_yr=2016&amp;doc_code=AUD" TargetMode="External"/><Relationship Id="rId1819" Type="http://schemas.openxmlformats.org/officeDocument/2006/relationships/hyperlink" Target="https://treas-secure.state.mi.us/LAFDocSearch/tl41R01.aspx?&amp;lu_id=3618&amp;doc_yr=2016&amp;doc_code=AUD" TargetMode="External"/><Relationship Id="rId2190" Type="http://schemas.openxmlformats.org/officeDocument/2006/relationships/hyperlink" Target="https://treas-secure.state.mi.us/LAFDocSearch/tl41R01.aspx?&amp;lu_id=4425&amp;doc_yr=2016&amp;doc_code=AUD" TargetMode="External"/><Relationship Id="rId2288" Type="http://schemas.openxmlformats.org/officeDocument/2006/relationships/hyperlink" Target="https://treas-secure.state.mi.us/LAFDocSearch/tl41R01.aspx?&amp;lu_id=4696&amp;doc_yr=2016&amp;doc_code=AUD" TargetMode="External"/><Relationship Id="rId2495" Type="http://schemas.openxmlformats.org/officeDocument/2006/relationships/hyperlink" Target="https://treas-secure.state.mi.us/LAFDocSearch/tl41R01.aspx?&amp;lu_id=5167&amp;doc_yr=2016&amp;doc_code=AUD" TargetMode="External"/><Relationship Id="rId162" Type="http://schemas.openxmlformats.org/officeDocument/2006/relationships/hyperlink" Target="https://treas-secure.state.mi.us/LAFDocSearch/tl41R01.aspx?&amp;lu_id=277&amp;doc_yr=2016&amp;doc_code=AUD" TargetMode="External"/><Relationship Id="rId467" Type="http://schemas.openxmlformats.org/officeDocument/2006/relationships/hyperlink" Target="https://treas-secure.state.mi.us/LAFDocSearch/tl41R01.aspx?&amp;lu_id=809&amp;doc_yr=2016&amp;doc_code=AUD" TargetMode="External"/><Relationship Id="rId1097" Type="http://schemas.openxmlformats.org/officeDocument/2006/relationships/hyperlink" Target="https://treas-secure.state.mi.us/LAFDocSearch/tl41R01.aspx?&amp;lu_id=2135&amp;doc_yr=2016&amp;doc_code=AUD" TargetMode="External"/><Relationship Id="rId2050" Type="http://schemas.openxmlformats.org/officeDocument/2006/relationships/hyperlink" Target="https://treas-secure.state.mi.us/LAFDocSearch/tl41R01.aspx?&amp;lu_id=4221&amp;doc_yr=2016&amp;doc_code=AUD" TargetMode="External"/><Relationship Id="rId2148" Type="http://schemas.openxmlformats.org/officeDocument/2006/relationships/hyperlink" Target="https://treas-secure.state.mi.us/LAFDocSearch/tl41R01.aspx?&amp;lu_id=4392&amp;doc_yr=2016&amp;doc_code=AUD" TargetMode="External"/><Relationship Id="rId674" Type="http://schemas.openxmlformats.org/officeDocument/2006/relationships/hyperlink" Target="https://treas-secure.state.mi.us/LAFDocSearch/tl41R01.aspx?&amp;lu_id=1280&amp;doc_yr=2016&amp;doc_code=AUD" TargetMode="External"/><Relationship Id="rId881" Type="http://schemas.openxmlformats.org/officeDocument/2006/relationships/hyperlink" Target="https://treas-secure.state.mi.us/LAFDocSearch/tl41R01.aspx?&amp;lu_id=1672&amp;doc_yr=2016&amp;doc_code=AUD" TargetMode="External"/><Relationship Id="rId979" Type="http://schemas.openxmlformats.org/officeDocument/2006/relationships/hyperlink" Target="https://treas-secure.state.mi.us/LAFDocSearch/tl41R01.aspx?&amp;lu_id=1807&amp;doc_yr=2016&amp;doc_code=AUD" TargetMode="External"/><Relationship Id="rId2355" Type="http://schemas.openxmlformats.org/officeDocument/2006/relationships/hyperlink" Target="https://treas-secure.state.mi.us/LAFDocSearch/tl41R01.aspx?&amp;lu_id=4891&amp;doc_yr=2016&amp;doc_code=AUD" TargetMode="External"/><Relationship Id="rId2562" Type="http://schemas.openxmlformats.org/officeDocument/2006/relationships/hyperlink" Target="https://treas-secure.state.mi.us/LAFDocSearch/tl41R01.aspx?&amp;lu_id=5236&amp;doc_yr=2016&amp;doc_code=AUD" TargetMode="External"/><Relationship Id="rId327" Type="http://schemas.openxmlformats.org/officeDocument/2006/relationships/hyperlink" Target="https://treas-secure.state.mi.us/LAFDocSearch/tl41R01.aspx?&amp;lu_id=594&amp;doc_yr=2016&amp;doc_code=AUD" TargetMode="External"/><Relationship Id="rId534" Type="http://schemas.openxmlformats.org/officeDocument/2006/relationships/hyperlink" Target="https://treas-secure.state.mi.us/LAFDocSearch/tl41R01.aspx?&amp;lu_id=901&amp;doc_yr=2016&amp;doc_code=AUD" TargetMode="External"/><Relationship Id="rId741" Type="http://schemas.openxmlformats.org/officeDocument/2006/relationships/hyperlink" Target="https://treas-secure.state.mi.us/LAFDocSearch/tl41R01.aspx?&amp;lu_id=6159&amp;doc_yr=2016&amp;doc_code=AUD" TargetMode="External"/><Relationship Id="rId839" Type="http://schemas.openxmlformats.org/officeDocument/2006/relationships/hyperlink" Target="https://treas-secure.state.mi.us/LAFDocSearch/tl41R01.aspx?&amp;lu_id=1611&amp;doc_yr=2016&amp;doc_code=AUD" TargetMode="External"/><Relationship Id="rId1164" Type="http://schemas.openxmlformats.org/officeDocument/2006/relationships/hyperlink" Target="https://treas-secure.state.mi.us/LAFDocSearch/tl41R01.aspx?&amp;lu_id=2275&amp;doc_yr=2016&amp;doc_code=AUD" TargetMode="External"/><Relationship Id="rId1371" Type="http://schemas.openxmlformats.org/officeDocument/2006/relationships/hyperlink" Target="https://treas-secure.state.mi.us/LAFDocSearch/tl41R01.aspx?&amp;lu_id=2693&amp;doc_yr=2016&amp;doc_code=AUD" TargetMode="External"/><Relationship Id="rId1469" Type="http://schemas.openxmlformats.org/officeDocument/2006/relationships/hyperlink" Target="https://treas-secure.state.mi.us/LAFDocSearch/tl41R01.aspx?&amp;lu_id=2828&amp;doc_yr=2016&amp;doc_code=AUD" TargetMode="External"/><Relationship Id="rId2008" Type="http://schemas.openxmlformats.org/officeDocument/2006/relationships/hyperlink" Target="https://treas-secure.state.mi.us/LAFDocSearch/tl41R01.aspx?&amp;lu_id=4201&amp;doc_yr=2016&amp;doc_code=AUD" TargetMode="External"/><Relationship Id="rId2215" Type="http://schemas.openxmlformats.org/officeDocument/2006/relationships/hyperlink" Target="https://treas-secure.state.mi.us/LAFDocSearch/tl41R01.aspx?&amp;lu_id=4529&amp;doc_yr=2016&amp;doc_code=AUD" TargetMode="External"/><Relationship Id="rId2422" Type="http://schemas.openxmlformats.org/officeDocument/2006/relationships/hyperlink" Target="https://treas-secure.state.mi.us/LAFDocSearch/tl41R01.aspx?&amp;lu_id=4985&amp;doc_yr=2016&amp;doc_code=AUD" TargetMode="External"/><Relationship Id="rId601" Type="http://schemas.openxmlformats.org/officeDocument/2006/relationships/hyperlink" Target="https://treas-secure.state.mi.us/LAFDocSearch/tl41R01.aspx?&amp;lu_id=1024&amp;doc_yr=2016&amp;doc_code=AUD" TargetMode="External"/><Relationship Id="rId1024" Type="http://schemas.openxmlformats.org/officeDocument/2006/relationships/hyperlink" Target="https://treas-secure.state.mi.us/LAFDocSearch/tl41R01.aspx?&amp;lu_id=1914&amp;doc_yr=2016&amp;doc_code=AUD" TargetMode="External"/><Relationship Id="rId1231" Type="http://schemas.openxmlformats.org/officeDocument/2006/relationships/hyperlink" Target="https://treas-secure.state.mi.us/LAFDocSearch/tl41R01.aspx?&amp;lu_id=2386&amp;doc_yr=2016&amp;doc_code=AUD" TargetMode="External"/><Relationship Id="rId1676" Type="http://schemas.openxmlformats.org/officeDocument/2006/relationships/hyperlink" Target="https://treas-secure.state.mi.us/LAFDocSearch/tl41R01.aspx?&amp;lu_id=3334&amp;doc_yr=2016&amp;doc_code=AUD" TargetMode="External"/><Relationship Id="rId1883" Type="http://schemas.openxmlformats.org/officeDocument/2006/relationships/hyperlink" Target="https://treas-secure.state.mi.us/LAFDocSearch/tl41R01.aspx?&amp;lu_id=3698&amp;doc_yr=2016&amp;doc_code=AUD" TargetMode="External"/><Relationship Id="rId2727" Type="http://schemas.openxmlformats.org/officeDocument/2006/relationships/hyperlink" Target="https://treas-secure.state.mi.us/LAFDocSearch/tl41R01.aspx?&amp;lu_id=5449&amp;doc_yr=2016&amp;doc_code=AUD" TargetMode="External"/><Relationship Id="rId906" Type="http://schemas.openxmlformats.org/officeDocument/2006/relationships/hyperlink" Target="https://treas-secure.state.mi.us/LAFDocSearch/tl41R01.aspx?&amp;lu_id=1724&amp;doc_yr=2016&amp;doc_code=AUD" TargetMode="External"/><Relationship Id="rId1329" Type="http://schemas.openxmlformats.org/officeDocument/2006/relationships/hyperlink" Target="https://treas-secure.state.mi.us/LAFDocSearch/tl41R01.aspx?&amp;lu_id=2484&amp;doc_yr=2016&amp;doc_code=AUD" TargetMode="External"/><Relationship Id="rId1536" Type="http://schemas.openxmlformats.org/officeDocument/2006/relationships/hyperlink" Target="https://treas-secure.state.mi.us/LAFDocSearch/tl41R01.aspx?&amp;lu_id=3181&amp;doc_yr=2016&amp;doc_code=AUD" TargetMode="External"/><Relationship Id="rId1743" Type="http://schemas.openxmlformats.org/officeDocument/2006/relationships/hyperlink" Target="https://treas-secure.state.mi.us/LAFDocSearch/tl41R01.aspx?&amp;lu_id=3450&amp;doc_yr=2016&amp;doc_code=AUD" TargetMode="External"/><Relationship Id="rId1950" Type="http://schemas.openxmlformats.org/officeDocument/2006/relationships/hyperlink" Target="https://treas-secure.state.mi.us/LAFDocSearch/tl41R01.aspx?&amp;lu_id=3851&amp;doc_yr=2016&amp;doc_code=AUD" TargetMode="External"/><Relationship Id="rId35" Type="http://schemas.openxmlformats.org/officeDocument/2006/relationships/hyperlink" Target="https://treas-secure.state.mi.us/LAFDocSearch/tl41R01.aspx?&amp;lu_id=126&amp;doc_yr=2016&amp;doc_code=AUD" TargetMode="External"/><Relationship Id="rId1603" Type="http://schemas.openxmlformats.org/officeDocument/2006/relationships/hyperlink" Target="https://treas-secure.state.mi.us/LAFDocSearch/tl41R01.aspx?&amp;lu_id=3205&amp;doc_yr=2016&amp;doc_code=AUD" TargetMode="External"/><Relationship Id="rId1810" Type="http://schemas.openxmlformats.org/officeDocument/2006/relationships/hyperlink" Target="https://treas-secure.state.mi.us/LAFDocSearch/tl41R01.aspx?&amp;lu_id=3539&amp;doc_yr=2016&amp;doc_code=AUD" TargetMode="External"/><Relationship Id="rId184" Type="http://schemas.openxmlformats.org/officeDocument/2006/relationships/hyperlink" Target="https://treas-secure.state.mi.us/LAFDocSearch/tl41R01.aspx?&amp;lu_id=302&amp;doc_yr=2016&amp;doc_code=AUD" TargetMode="External"/><Relationship Id="rId391" Type="http://schemas.openxmlformats.org/officeDocument/2006/relationships/hyperlink" Target="https://treas-secure.state.mi.us/LAFDocSearch/tl41R01.aspx?&amp;lu_id=617&amp;doc_yr=2016&amp;doc_code=AUD" TargetMode="External"/><Relationship Id="rId1908" Type="http://schemas.openxmlformats.org/officeDocument/2006/relationships/hyperlink" Target="https://treas-secure.state.mi.us/LAFDocSearch/tl41R01.aspx?&amp;lu_id=3769&amp;doc_yr=2016&amp;doc_code=AUD" TargetMode="External"/><Relationship Id="rId2072" Type="http://schemas.openxmlformats.org/officeDocument/2006/relationships/hyperlink" Target="https://treas-secure.state.mi.us/LAFDocSearch/tl41R01.aspx?&amp;lu_id=4289&amp;doc_yr=2016&amp;doc_code=AUD" TargetMode="External"/><Relationship Id="rId251" Type="http://schemas.openxmlformats.org/officeDocument/2006/relationships/hyperlink" Target="https://treas-secure.state.mi.us/LAFDocSearch/tl41R01.aspx?&amp;lu_id=428&amp;doc_yr=2016&amp;doc_code=AUD" TargetMode="External"/><Relationship Id="rId489" Type="http://schemas.openxmlformats.org/officeDocument/2006/relationships/hyperlink" Target="https://treas-secure.state.mi.us/LAFDocSearch/tl41R01.aspx?&amp;lu_id=830&amp;doc_yr=2016&amp;doc_code=AUD" TargetMode="External"/><Relationship Id="rId696" Type="http://schemas.openxmlformats.org/officeDocument/2006/relationships/hyperlink" Target="https://treas-secure.state.mi.us/LAFDocSearch/tl41R01.aspx?&amp;lu_id=1288&amp;doc_yr=2016&amp;doc_code=AUD" TargetMode="External"/><Relationship Id="rId2377" Type="http://schemas.openxmlformats.org/officeDocument/2006/relationships/hyperlink" Target="https://treas-secure.state.mi.us/LAFDocSearch/tl41R01.aspx?&amp;lu_id=4856&amp;doc_yr=2016&amp;doc_code=AUD" TargetMode="External"/><Relationship Id="rId2584" Type="http://schemas.openxmlformats.org/officeDocument/2006/relationships/hyperlink" Target="https://treas-secure.state.mi.us/LAFDocSearch/tl41R01.aspx?&amp;lu_id=5377&amp;doc_yr=2016&amp;doc_code=AUD" TargetMode="External"/><Relationship Id="rId2791" Type="http://schemas.openxmlformats.org/officeDocument/2006/relationships/hyperlink" Target="https://treas-secure.state.mi.us/LAFDocSearch/tl41R01.aspx?&amp;lu_id=5890&amp;doc_yr=2016&amp;doc_code=AUD" TargetMode="External"/><Relationship Id="rId349" Type="http://schemas.openxmlformats.org/officeDocument/2006/relationships/hyperlink" Target="https://treas-secure.state.mi.us/LAFDocSearch/tl41R01.aspx?&amp;lu_id=573&amp;doc_yr=2016&amp;doc_code=AUD" TargetMode="External"/><Relationship Id="rId556" Type="http://schemas.openxmlformats.org/officeDocument/2006/relationships/hyperlink" Target="https://treas-secure.state.mi.us/LAFDocSearch/tl41R01.aspx?&amp;lu_id=983&amp;doc_yr=2016&amp;doc_code=AUD" TargetMode="External"/><Relationship Id="rId763" Type="http://schemas.openxmlformats.org/officeDocument/2006/relationships/hyperlink" Target="https://treas-secure.state.mi.us/LAFDocSearch/tl41R01.aspx?&amp;lu_id=1473&amp;doc_yr=2016&amp;doc_code=AUD" TargetMode="External"/><Relationship Id="rId1186" Type="http://schemas.openxmlformats.org/officeDocument/2006/relationships/hyperlink" Target="https://treas-secure.state.mi.us/LAFDocSearch/tl41R01.aspx?&amp;lu_id=2281&amp;doc_yr=2016&amp;doc_code=AUD" TargetMode="External"/><Relationship Id="rId1393" Type="http://schemas.openxmlformats.org/officeDocument/2006/relationships/hyperlink" Target="https://treas-secure.state.mi.us/LAFDocSearch/tl41R01.aspx?&amp;lu_id=6026&amp;doc_yr=2016&amp;doc_code=AUD" TargetMode="External"/><Relationship Id="rId2237" Type="http://schemas.openxmlformats.org/officeDocument/2006/relationships/hyperlink" Target="https://treas-secure.state.mi.us/LAFDocSearch/tl41R01.aspx?&amp;lu_id=4552&amp;doc_yr=2016&amp;doc_code=AUD" TargetMode="External"/><Relationship Id="rId2444" Type="http://schemas.openxmlformats.org/officeDocument/2006/relationships/hyperlink" Target="https://treas-secure.state.mi.us/LAFDocSearch/tl41R01.aspx?&amp;lu_id=5036&amp;doc_yr=2016&amp;doc_code=AUD" TargetMode="External"/><Relationship Id="rId111" Type="http://schemas.openxmlformats.org/officeDocument/2006/relationships/hyperlink" Target="https://treas-secure.state.mi.us/LAFDocSearch/tl41R01.aspx?&amp;lu_id=172&amp;doc_yr=2016&amp;doc_code=AUD" TargetMode="External"/><Relationship Id="rId209" Type="http://schemas.openxmlformats.org/officeDocument/2006/relationships/hyperlink" Target="https://treas-secure.state.mi.us/LAFDocSearch/tl41R01.aspx?&amp;lu_id=326&amp;doc_yr=2016&amp;doc_code=AUD" TargetMode="External"/><Relationship Id="rId416" Type="http://schemas.openxmlformats.org/officeDocument/2006/relationships/hyperlink" Target="https://treas-secure.state.mi.us/LAFDocSearch/tl41R01.aspx?&amp;lu_id=696&amp;doc_yr=2016&amp;doc_code=AUD" TargetMode="External"/><Relationship Id="rId970" Type="http://schemas.openxmlformats.org/officeDocument/2006/relationships/hyperlink" Target="https://treas-secure.state.mi.us/LAFDocSearch/tl41R01.aspx?&amp;lu_id=1876&amp;doc_yr=2016&amp;doc_code=AUD" TargetMode="External"/><Relationship Id="rId1046" Type="http://schemas.openxmlformats.org/officeDocument/2006/relationships/hyperlink" Target="https://treas-secure.state.mi.us/LAFDocSearch/tl41R01.aspx?&amp;lu_id=2048&amp;doc_yr=2016&amp;doc_code=AUD" TargetMode="External"/><Relationship Id="rId1253" Type="http://schemas.openxmlformats.org/officeDocument/2006/relationships/hyperlink" Target="https://treas-secure.state.mi.us/LAFDocSearch/tl41R01.aspx?&amp;lu_id=2429&amp;doc_yr=2016&amp;doc_code=AUD" TargetMode="External"/><Relationship Id="rId1698" Type="http://schemas.openxmlformats.org/officeDocument/2006/relationships/hyperlink" Target="https://treas-secure.state.mi.us/LAFDocSearch/tl41R01.aspx?&amp;lu_id=3392&amp;doc_yr=2016&amp;doc_code=AUD" TargetMode="External"/><Relationship Id="rId2651" Type="http://schemas.openxmlformats.org/officeDocument/2006/relationships/hyperlink" Target="https://treas-secure.state.mi.us/LAFDocSearch/tl41R01.aspx?&amp;lu_id=5809&amp;doc_yr=2016&amp;doc_code=AUD" TargetMode="External"/><Relationship Id="rId2749" Type="http://schemas.openxmlformats.org/officeDocument/2006/relationships/hyperlink" Target="https://treas-secure.state.mi.us/LAFDocSearch/tl41R01.aspx?&amp;lu_id=5855&amp;doc_yr=2016&amp;doc_code=AUD" TargetMode="External"/><Relationship Id="rId623" Type="http://schemas.openxmlformats.org/officeDocument/2006/relationships/hyperlink" Target="https://treas-secure.state.mi.us/LAFDocSearch/tl41R01.aspx?&amp;lu_id=1078&amp;doc_yr=2016&amp;doc_code=AUD" TargetMode="External"/><Relationship Id="rId830" Type="http://schemas.openxmlformats.org/officeDocument/2006/relationships/hyperlink" Target="https://treas-secure.state.mi.us/LAFDocSearch/tl41R01.aspx?&amp;lu_id=1551&amp;doc_yr=2016&amp;doc_code=AUD" TargetMode="External"/><Relationship Id="rId928" Type="http://schemas.openxmlformats.org/officeDocument/2006/relationships/hyperlink" Target="https://treas-secure.state.mi.us/LAFDocSearch/tl41R01.aspx?&amp;lu_id=1740&amp;doc_yr=2016&amp;doc_code=AUD" TargetMode="External"/><Relationship Id="rId1460" Type="http://schemas.openxmlformats.org/officeDocument/2006/relationships/hyperlink" Target="https://treas-secure.state.mi.us/LAFDocSearch/tl41R01.aspx?&amp;lu_id=7915&amp;doc_yr=2016&amp;doc_code=AUD" TargetMode="External"/><Relationship Id="rId1558" Type="http://schemas.openxmlformats.org/officeDocument/2006/relationships/hyperlink" Target="https://treas-secure.state.mi.us/LAFDocSearch/tl41R01.aspx?&amp;lu_id=7063&amp;doc_yr=2016&amp;doc_code=AUD" TargetMode="External"/><Relationship Id="rId1765" Type="http://schemas.openxmlformats.org/officeDocument/2006/relationships/hyperlink" Target="https://treas-secure.state.mi.us/LAFDocSearch/tl41R01.aspx?&amp;lu_id=3503&amp;doc_yr=2016&amp;doc_code=AUD" TargetMode="External"/><Relationship Id="rId2304" Type="http://schemas.openxmlformats.org/officeDocument/2006/relationships/hyperlink" Target="https://treas-secure.state.mi.us/LAFDocSearch/tl41R01.aspx?&amp;lu_id=4715&amp;doc_yr=2016&amp;doc_code=AUD" TargetMode="External"/><Relationship Id="rId2511" Type="http://schemas.openxmlformats.org/officeDocument/2006/relationships/hyperlink" Target="https://treas-secure.state.mi.us/LAFDocSearch/tl41R01.aspx?&amp;lu_id=5164&amp;doc_yr=2016&amp;doc_code=AUD" TargetMode="External"/><Relationship Id="rId2609" Type="http://schemas.openxmlformats.org/officeDocument/2006/relationships/hyperlink" Target="https://treas-secure.state.mi.us/LAFDocSearch/tl41R01.aspx?&amp;lu_id=5369&amp;doc_yr=2016&amp;doc_code=AUD" TargetMode="External"/><Relationship Id="rId57" Type="http://schemas.openxmlformats.org/officeDocument/2006/relationships/hyperlink" Target="https://treas-secure.state.mi.us/LAFDocSearch/tl41R01.aspx?&amp;lu_id=59&amp;doc_yr=2016&amp;doc_code=AUD" TargetMode="External"/><Relationship Id="rId1113" Type="http://schemas.openxmlformats.org/officeDocument/2006/relationships/hyperlink" Target="https://treas-secure.state.mi.us/LAFDocSearch/tl41R01.aspx?&amp;lu_id=2204&amp;doc_yr=2016&amp;doc_code=AUD" TargetMode="External"/><Relationship Id="rId1320" Type="http://schemas.openxmlformats.org/officeDocument/2006/relationships/hyperlink" Target="https://treas-secure.state.mi.us/LAFDocSearch/tl41R01.aspx?&amp;lu_id=2464&amp;doc_yr=2016&amp;doc_code=AUD" TargetMode="External"/><Relationship Id="rId1418" Type="http://schemas.openxmlformats.org/officeDocument/2006/relationships/hyperlink" Target="https://treas-secure.state.mi.us/LAFDocSearch/tl41R01.aspx?&amp;lu_id=2714&amp;doc_yr=2016&amp;doc_code=AUD" TargetMode="External"/><Relationship Id="rId1972" Type="http://schemas.openxmlformats.org/officeDocument/2006/relationships/hyperlink" Target="https://treas-secure.state.mi.us/LAFDocSearch/tl41R01.aspx?&amp;lu_id=3858&amp;doc_yr=2016&amp;doc_code=AUD" TargetMode="External"/><Relationship Id="rId1625" Type="http://schemas.openxmlformats.org/officeDocument/2006/relationships/hyperlink" Target="https://treas-secure.state.mi.us/LAFDocSearch/tl41R01.aspx?&amp;lu_id=3253&amp;doc_yr=2016&amp;doc_code=AUD" TargetMode="External"/><Relationship Id="rId1832" Type="http://schemas.openxmlformats.org/officeDocument/2006/relationships/hyperlink" Target="https://treas-secure.state.mi.us/LAFDocSearch/tl41R01.aspx?&amp;lu_id=3655&amp;doc_yr=2016&amp;doc_code=AUD" TargetMode="External"/><Relationship Id="rId2094" Type="http://schemas.openxmlformats.org/officeDocument/2006/relationships/hyperlink" Target="https://treas-secure.state.mi.us/LAFDocSearch/tl41R01.aspx?&amp;lu_id=4295&amp;doc_yr=2016&amp;doc_code=AUD" TargetMode="External"/><Relationship Id="rId273" Type="http://schemas.openxmlformats.org/officeDocument/2006/relationships/hyperlink" Target="https://treas-secure.state.mi.us/LAFDocSearch/tl41R01.aspx?&amp;lu_id=451&amp;doc_yr=2016&amp;doc_code=AUD" TargetMode="External"/><Relationship Id="rId480" Type="http://schemas.openxmlformats.org/officeDocument/2006/relationships/hyperlink" Target="https://treas-secure.state.mi.us/LAFDocSearch/tl41R01.aspx?&amp;lu_id=803&amp;doc_yr=2016&amp;doc_code=AUD" TargetMode="External"/><Relationship Id="rId2161" Type="http://schemas.openxmlformats.org/officeDocument/2006/relationships/hyperlink" Target="https://treas-secure.state.mi.us/LAFDocSearch/tl41R01.aspx?&amp;lu_id=4501&amp;doc_yr=2016&amp;doc_code=AUD" TargetMode="External"/><Relationship Id="rId2399" Type="http://schemas.openxmlformats.org/officeDocument/2006/relationships/hyperlink" Target="https://treas-secure.state.mi.us/LAFDocSearch/tl41R01.aspx?&amp;lu_id=4945&amp;doc_yr=2016&amp;doc_code=AUD" TargetMode="External"/><Relationship Id="rId133" Type="http://schemas.openxmlformats.org/officeDocument/2006/relationships/hyperlink" Target="https://treas-secure.state.mi.us/LAFDocSearch/tl41R01.aspx?&amp;lu_id=236&amp;doc_yr=2016&amp;doc_code=AUD" TargetMode="External"/><Relationship Id="rId340" Type="http://schemas.openxmlformats.org/officeDocument/2006/relationships/hyperlink" Target="https://treas-secure.state.mi.us/LAFDocSearch/tl41R01.aspx?&amp;lu_id=566&amp;doc_yr=2016&amp;doc_code=AUD" TargetMode="External"/><Relationship Id="rId578" Type="http://schemas.openxmlformats.org/officeDocument/2006/relationships/hyperlink" Target="https://treas-secure.state.mi.us/LAFDocSearch/tl41R01.aspx?&amp;lu_id=999&amp;doc_yr=2016&amp;doc_code=AUD" TargetMode="External"/><Relationship Id="rId785" Type="http://schemas.openxmlformats.org/officeDocument/2006/relationships/hyperlink" Target="https://treas-secure.state.mi.us/LAFDocSearch/tl41R01.aspx?&amp;lu_id=1528&amp;doc_yr=2016&amp;doc_code=AUD" TargetMode="External"/><Relationship Id="rId992" Type="http://schemas.openxmlformats.org/officeDocument/2006/relationships/hyperlink" Target="https://treas-secure.state.mi.us/LAFDocSearch/tl41R01.aspx?&amp;lu_id=1907&amp;doc_yr=2016&amp;doc_code=AUD" TargetMode="External"/><Relationship Id="rId2021" Type="http://schemas.openxmlformats.org/officeDocument/2006/relationships/hyperlink" Target="https://treas-secure.state.mi.us/LAFDocSearch/tl41R01.aspx?&amp;lu_id=3842&amp;doc_yr=2016&amp;doc_code=AUD" TargetMode="External"/><Relationship Id="rId2259" Type="http://schemas.openxmlformats.org/officeDocument/2006/relationships/hyperlink" Target="https://treas-secure.state.mi.us/LAFDocSearch/tl41R01.aspx?&amp;lu_id=4608&amp;doc_yr=2016&amp;doc_code=AUD" TargetMode="External"/><Relationship Id="rId2466" Type="http://schemas.openxmlformats.org/officeDocument/2006/relationships/hyperlink" Target="https://treas-secure.state.mi.us/LAFDocSearch/tl41R01.aspx?&amp;lu_id=5064&amp;doc_yr=2016&amp;doc_code=AUD" TargetMode="External"/><Relationship Id="rId2673" Type="http://schemas.openxmlformats.org/officeDocument/2006/relationships/hyperlink" Target="https://treas-secure.state.mi.us/LAFDocSearch/tl41R01.aspx?&amp;lu_id=5783&amp;doc_yr=2016&amp;doc_code=AUD" TargetMode="External"/><Relationship Id="rId200" Type="http://schemas.openxmlformats.org/officeDocument/2006/relationships/hyperlink" Target="https://treas-secure.state.mi.us/LAFDocSearch/tl41R01.aspx?&amp;lu_id=7821&amp;doc_yr=2016&amp;doc_code=AUD" TargetMode="External"/><Relationship Id="rId438" Type="http://schemas.openxmlformats.org/officeDocument/2006/relationships/hyperlink" Target="https://treas-secure.state.mi.us/LAFDocSearch/tl41R01.aspx?&amp;lu_id=783&amp;doc_yr=2016&amp;doc_code=AUD" TargetMode="External"/><Relationship Id="rId645" Type="http://schemas.openxmlformats.org/officeDocument/2006/relationships/hyperlink" Target="https://treas-secure.state.mi.us/LAFDocSearch/tl41R01.aspx?&amp;lu_id=1257&amp;doc_yr=2016&amp;doc_code=AUD" TargetMode="External"/><Relationship Id="rId852" Type="http://schemas.openxmlformats.org/officeDocument/2006/relationships/hyperlink" Target="https://treas-secure.state.mi.us/LAFDocSearch/tl41R01.aspx?&amp;lu_id=1638&amp;doc_yr=2016&amp;doc_code=AUD" TargetMode="External"/><Relationship Id="rId1068" Type="http://schemas.openxmlformats.org/officeDocument/2006/relationships/hyperlink" Target="https://treas-secure.state.mi.us/LAFDocSearch/tl41R01.aspx?&amp;lu_id=2063&amp;doc_yr=2016&amp;doc_code=AUD" TargetMode="External"/><Relationship Id="rId1275" Type="http://schemas.openxmlformats.org/officeDocument/2006/relationships/hyperlink" Target="https://treas-secure.state.mi.us/LAFDocSearch/tl41R01.aspx?&amp;lu_id=2456&amp;doc_yr=2016&amp;doc_code=AUD" TargetMode="External"/><Relationship Id="rId1482" Type="http://schemas.openxmlformats.org/officeDocument/2006/relationships/hyperlink" Target="https://treas-secure.state.mi.us/LAFDocSearch/tl41R01.aspx?&amp;lu_id=2923&amp;doc_yr=2016&amp;doc_code=AUD" TargetMode="External"/><Relationship Id="rId2119" Type="http://schemas.openxmlformats.org/officeDocument/2006/relationships/hyperlink" Target="https://treas-secure.state.mi.us/LAFDocSearch/tl41R01.aspx?&amp;lu_id=4336&amp;doc_yr=2016&amp;doc_code=AUD" TargetMode="External"/><Relationship Id="rId2326" Type="http://schemas.openxmlformats.org/officeDocument/2006/relationships/hyperlink" Target="https://treas-secure.state.mi.us/LAFDocSearch/tl41R01.aspx?&amp;lu_id=4749&amp;doc_yr=2016&amp;doc_code=AUD" TargetMode="External"/><Relationship Id="rId2533" Type="http://schemas.openxmlformats.org/officeDocument/2006/relationships/hyperlink" Target="https://treas-secure.state.mi.us/LAFDocSearch/tl41R01.aspx?&amp;lu_id=5184&amp;doc_yr=2016&amp;doc_code=AUD" TargetMode="External"/><Relationship Id="rId2740" Type="http://schemas.openxmlformats.org/officeDocument/2006/relationships/hyperlink" Target="https://treas-secure.state.mi.us/LAFDocSearch/tl41R01.aspx?&amp;lu_id=5804&amp;doc_yr=2016&amp;doc_code=AUD" TargetMode="External"/><Relationship Id="rId505" Type="http://schemas.openxmlformats.org/officeDocument/2006/relationships/hyperlink" Target="https://treas-secure.state.mi.us/LAFDocSearch/tl41R01.aspx?&amp;lu_id=877&amp;doc_yr=2016&amp;doc_code=AUD" TargetMode="External"/><Relationship Id="rId712" Type="http://schemas.openxmlformats.org/officeDocument/2006/relationships/hyperlink" Target="https://treas-secure.state.mi.us/LAFDocSearch/tl41R01.aspx?&amp;lu_id=1348&amp;doc_yr=2016&amp;doc_code=AUD" TargetMode="External"/><Relationship Id="rId1135" Type="http://schemas.openxmlformats.org/officeDocument/2006/relationships/hyperlink" Target="https://treas-secure.state.mi.us/LAFDocSearch/tl41R01.aspx?&amp;lu_id=2218&amp;doc_yr=2016&amp;doc_code=AUD" TargetMode="External"/><Relationship Id="rId1342" Type="http://schemas.openxmlformats.org/officeDocument/2006/relationships/hyperlink" Target="https://treas-secure.state.mi.us/LAFDocSearch/tl41R01.aspx?&amp;lu_id=2601&amp;doc_yr=2016&amp;doc_code=AUD" TargetMode="External"/><Relationship Id="rId1787" Type="http://schemas.openxmlformats.org/officeDocument/2006/relationships/hyperlink" Target="https://treas-secure.state.mi.us/LAFDocSearch/tl41R01.aspx?&amp;lu_id=3576&amp;doc_yr=2016&amp;doc_code=AUD" TargetMode="External"/><Relationship Id="rId1994" Type="http://schemas.openxmlformats.org/officeDocument/2006/relationships/hyperlink" Target="https://treas-secure.state.mi.us/LAFDocSearch/tl41R01.aspx?&amp;lu_id=3839&amp;doc_yr=2016&amp;doc_code=AUD" TargetMode="External"/><Relationship Id="rId79" Type="http://schemas.openxmlformats.org/officeDocument/2006/relationships/hyperlink" Target="https://treas-secure.state.mi.us/LAFDocSearch/tl41R01.aspx?&amp;lu_id=146&amp;doc_yr=2016&amp;doc_code=AUD" TargetMode="External"/><Relationship Id="rId1202" Type="http://schemas.openxmlformats.org/officeDocument/2006/relationships/hyperlink" Target="https://treas-secure.state.mi.us/LAFDocSearch/tl41R01.aspx?&amp;lu_id=2417&amp;doc_yr=2016&amp;doc_code=AUD" TargetMode="External"/><Relationship Id="rId1647" Type="http://schemas.openxmlformats.org/officeDocument/2006/relationships/hyperlink" Target="https://treas-secure.state.mi.us/LAFDocSearch/tl41R01.aspx?&amp;lu_id=3257&amp;doc_yr=2016&amp;doc_code=AUD" TargetMode="External"/><Relationship Id="rId1854" Type="http://schemas.openxmlformats.org/officeDocument/2006/relationships/hyperlink" Target="https://treas-secure.state.mi.us/LAFDocSearch/tl41R01.aspx?&amp;lu_id=3665&amp;doc_yr=2016&amp;doc_code=AUD" TargetMode="External"/><Relationship Id="rId2600" Type="http://schemas.openxmlformats.org/officeDocument/2006/relationships/hyperlink" Target="https://treas-secure.state.mi.us/LAFDocSearch/tl41R01.aspx?&amp;lu_id=5350&amp;doc_yr=2016&amp;doc_code=AUD" TargetMode="External"/><Relationship Id="rId1507" Type="http://schemas.openxmlformats.org/officeDocument/2006/relationships/hyperlink" Target="https://treas-secure.state.mi.us/LAFDocSearch/tl41R01.aspx?&amp;lu_id=7052&amp;doc_yr=2016&amp;doc_code=AUD" TargetMode="External"/><Relationship Id="rId1714" Type="http://schemas.openxmlformats.org/officeDocument/2006/relationships/hyperlink" Target="https://treas-secure.state.mi.us/LAFDocSearch/tl41R01.aspx?&amp;lu_id=3441&amp;doc_yr=2016&amp;doc_code=AUD" TargetMode="External"/><Relationship Id="rId295" Type="http://schemas.openxmlformats.org/officeDocument/2006/relationships/hyperlink" Target="https://treas-secure.state.mi.us/LAFDocSearch/tl41R01.aspx?&amp;lu_id=453&amp;doc_yr=2016&amp;doc_code=AUD" TargetMode="External"/><Relationship Id="rId1921" Type="http://schemas.openxmlformats.org/officeDocument/2006/relationships/hyperlink" Target="https://treas-secure.state.mi.us/LAFDocSearch/tl41R01.aspx?&amp;lu_id=3779&amp;doc_yr=2016&amp;doc_code=AUD" TargetMode="External"/><Relationship Id="rId2183" Type="http://schemas.openxmlformats.org/officeDocument/2006/relationships/hyperlink" Target="https://treas-secure.state.mi.us/LAFDocSearch/tl41R01.aspx?&amp;lu_id=4484&amp;doc_yr=2016&amp;doc_code=AUD" TargetMode="External"/><Relationship Id="rId2390" Type="http://schemas.openxmlformats.org/officeDocument/2006/relationships/hyperlink" Target="https://treas-secure.state.mi.us/LAFDocSearch/tl41R01.aspx?&amp;lu_id=4939&amp;doc_yr=2016&amp;doc_code=AUD" TargetMode="External"/><Relationship Id="rId2488" Type="http://schemas.openxmlformats.org/officeDocument/2006/relationships/hyperlink" Target="https://treas-secure.state.mi.us/LAFDocSearch/tl41R01.aspx?&amp;lu_id=5096&amp;doc_yr=2016&amp;doc_code=AUD" TargetMode="External"/><Relationship Id="rId155" Type="http://schemas.openxmlformats.org/officeDocument/2006/relationships/hyperlink" Target="https://treas-secure.state.mi.us/LAFDocSearch/tl41R01.aspx?&amp;lu_id=275&amp;doc_yr=2016&amp;doc_code=AUD" TargetMode="External"/><Relationship Id="rId362" Type="http://schemas.openxmlformats.org/officeDocument/2006/relationships/hyperlink" Target="https://treas-secure.state.mi.us/LAFDocSearch/tl41R01.aspx?&amp;lu_id=673&amp;doc_yr=2016&amp;doc_code=AUD" TargetMode="External"/><Relationship Id="rId1297" Type="http://schemas.openxmlformats.org/officeDocument/2006/relationships/hyperlink" Target="https://treas-secure.state.mi.us/LAFDocSearch/tl41R01.aspx?&amp;lu_id=2566&amp;doc_yr=2016&amp;doc_code=AUD" TargetMode="External"/><Relationship Id="rId2043" Type="http://schemas.openxmlformats.org/officeDocument/2006/relationships/hyperlink" Target="https://treas-secure.state.mi.us/LAFDocSearch/tl41R01.aspx?&amp;lu_id=4187&amp;doc_yr=2016&amp;doc_code=AUD" TargetMode="External"/><Relationship Id="rId2250" Type="http://schemas.openxmlformats.org/officeDocument/2006/relationships/hyperlink" Target="https://treas-secure.state.mi.us/LAFDocSearch/tl41R01.aspx?&amp;lu_id=4580&amp;doc_yr=2016&amp;doc_code=AUD" TargetMode="External"/><Relationship Id="rId2695" Type="http://schemas.openxmlformats.org/officeDocument/2006/relationships/hyperlink" Target="https://treas-secure.state.mi.us/LAFDocSearch/tl41R01.aspx?&amp;lu_id=6205&amp;doc_yr=2016&amp;doc_code=AUD" TargetMode="External"/><Relationship Id="rId222" Type="http://schemas.openxmlformats.org/officeDocument/2006/relationships/hyperlink" Target="https://treas-secure.state.mi.us/LAFDocSearch/tl41R01.aspx?&amp;lu_id=336&amp;doc_yr=2016&amp;doc_code=AUD" TargetMode="External"/><Relationship Id="rId667" Type="http://schemas.openxmlformats.org/officeDocument/2006/relationships/hyperlink" Target="https://treas-secure.state.mi.us/LAFDocSearch/tl41R01.aspx?&amp;lu_id=1294&amp;doc_yr=2016&amp;doc_code=AUD" TargetMode="External"/><Relationship Id="rId874" Type="http://schemas.openxmlformats.org/officeDocument/2006/relationships/hyperlink" Target="https://treas-secure.state.mi.us/LAFDocSearch/tl41R01.aspx?&amp;lu_id=1703&amp;doc_yr=2016&amp;doc_code=AUD" TargetMode="External"/><Relationship Id="rId2110" Type="http://schemas.openxmlformats.org/officeDocument/2006/relationships/hyperlink" Target="https://treas-secure.state.mi.us/LAFDocSearch/tl41R01.aspx?&amp;lu_id=4362&amp;doc_yr=2016&amp;doc_code=AUD" TargetMode="External"/><Relationship Id="rId2348" Type="http://schemas.openxmlformats.org/officeDocument/2006/relationships/hyperlink" Target="https://treas-secure.state.mi.us/LAFDocSearch/tl41R01.aspx?&amp;lu_id=4857&amp;doc_yr=2016&amp;doc_code=AUD" TargetMode="External"/><Relationship Id="rId2555" Type="http://schemas.openxmlformats.org/officeDocument/2006/relationships/hyperlink" Target="https://treas-secure.state.mi.us/LAFDocSearch/tl41R01.aspx?&amp;lu_id=5192&amp;doc_yr=2016&amp;doc_code=AUD" TargetMode="External"/><Relationship Id="rId2762" Type="http://schemas.openxmlformats.org/officeDocument/2006/relationships/hyperlink" Target="https://treas-secure.state.mi.us/LAFDocSearch/tl41R01.aspx?&amp;lu_id=5974&amp;doc_yr=2016&amp;doc_code=AUD" TargetMode="External"/><Relationship Id="rId527" Type="http://schemas.openxmlformats.org/officeDocument/2006/relationships/hyperlink" Target="https://treas-secure.state.mi.us/LAFDocSearch/tl41R01.aspx?&amp;lu_id=896&amp;doc_yr=2016&amp;doc_code=AUD" TargetMode="External"/><Relationship Id="rId734" Type="http://schemas.openxmlformats.org/officeDocument/2006/relationships/hyperlink" Target="https://treas-secure.state.mi.us/LAFDocSearch/tl41R01.aspx?&amp;lu_id=7016&amp;doc_yr=2016&amp;doc_code=AUD" TargetMode="External"/><Relationship Id="rId941" Type="http://schemas.openxmlformats.org/officeDocument/2006/relationships/hyperlink" Target="https://treas-secure.state.mi.us/LAFDocSearch/tl41R01.aspx?&amp;lu_id=1890&amp;doc_yr=2016&amp;doc_code=AUD" TargetMode="External"/><Relationship Id="rId1157" Type="http://schemas.openxmlformats.org/officeDocument/2006/relationships/hyperlink" Target="https://treas-secure.state.mi.us/LAFDocSearch/tl41R01.aspx?&amp;lu_id=2228&amp;doc_yr=2016&amp;doc_code=AUD" TargetMode="External"/><Relationship Id="rId1364" Type="http://schemas.openxmlformats.org/officeDocument/2006/relationships/hyperlink" Target="https://treas-secure.state.mi.us/LAFDocSearch/tl41R01.aspx?&amp;lu_id=2629&amp;doc_yr=2016&amp;doc_code=AUD" TargetMode="External"/><Relationship Id="rId1571" Type="http://schemas.openxmlformats.org/officeDocument/2006/relationships/hyperlink" Target="https://treas-secure.state.mi.us/LAFDocSearch/tl41R01.aspx?&amp;lu_id=3160&amp;doc_yr=2016&amp;doc_code=AUD" TargetMode="External"/><Relationship Id="rId2208" Type="http://schemas.openxmlformats.org/officeDocument/2006/relationships/hyperlink" Target="https://treas-secure.state.mi.us/LAFDocSearch/tl41R01.aspx?&amp;lu_id=4518&amp;doc_yr=2016&amp;doc_code=AUD" TargetMode="External"/><Relationship Id="rId2415" Type="http://schemas.openxmlformats.org/officeDocument/2006/relationships/hyperlink" Target="https://treas-secure.state.mi.us/LAFDocSearch/tl41R01.aspx?&amp;lu_id=4950&amp;doc_yr=2016&amp;doc_code=AUD" TargetMode="External"/><Relationship Id="rId2622" Type="http://schemas.openxmlformats.org/officeDocument/2006/relationships/hyperlink" Target="https://treas-secure.state.mi.us/LAFDocSearch/tl41R01.aspx?&amp;lu_id=5284&amp;doc_yr=2016&amp;doc_code=AUD" TargetMode="External"/><Relationship Id="rId70" Type="http://schemas.openxmlformats.org/officeDocument/2006/relationships/hyperlink" Target="https://treas-secure.state.mi.us/LAFDocSearch/tl41R01.aspx?&amp;lu_id=77&amp;doc_yr=2016&amp;doc_code=AUD" TargetMode="External"/><Relationship Id="rId801" Type="http://schemas.openxmlformats.org/officeDocument/2006/relationships/hyperlink" Target="https://treas-secure.state.mi.us/LAFDocSearch/tl41R01.aspx?&amp;lu_id=1509&amp;doc_yr=2016&amp;doc_code=AUD" TargetMode="External"/><Relationship Id="rId1017" Type="http://schemas.openxmlformats.org/officeDocument/2006/relationships/hyperlink" Target="https://treas-secure.state.mi.us/LAFDocSearch/tl41R01.aspx?&amp;lu_id=1923&amp;doc_yr=2016&amp;doc_code=AUD" TargetMode="External"/><Relationship Id="rId1224" Type="http://schemas.openxmlformats.org/officeDocument/2006/relationships/hyperlink" Target="https://treas-secure.state.mi.us/LAFDocSearch/tl41R01.aspx?&amp;lu_id=7845&amp;doc_yr=2016&amp;doc_code=AUD" TargetMode="External"/><Relationship Id="rId1431" Type="http://schemas.openxmlformats.org/officeDocument/2006/relationships/hyperlink" Target="https://treas-secure.state.mi.us/LAFDocSearch/tl41R01.aspx?&amp;lu_id=2761&amp;doc_yr=2016&amp;doc_code=AUD" TargetMode="External"/><Relationship Id="rId1669" Type="http://schemas.openxmlformats.org/officeDocument/2006/relationships/hyperlink" Target="https://treas-secure.state.mi.us/LAFDocSearch/tl41R01.aspx?&amp;lu_id=3316&amp;doc_yr=2016&amp;doc_code=AUD" TargetMode="External"/><Relationship Id="rId1876" Type="http://schemas.openxmlformats.org/officeDocument/2006/relationships/hyperlink" Target="https://treas-secure.state.mi.us/LAFDocSearch/tl41R01.aspx?&amp;lu_id=3696&amp;doc_yr=2016&amp;doc_code=AUD" TargetMode="External"/><Relationship Id="rId1529" Type="http://schemas.openxmlformats.org/officeDocument/2006/relationships/hyperlink" Target="https://treas-secure.state.mi.us/LAFDocSearch/tl41R01.aspx?&amp;lu_id=2950&amp;doc_yr=2016&amp;doc_code=AUD" TargetMode="External"/><Relationship Id="rId1736" Type="http://schemas.openxmlformats.org/officeDocument/2006/relationships/hyperlink" Target="https://treas-secure.state.mi.us/LAFDocSearch/tl41R01.aspx?&amp;lu_id=3461&amp;doc_yr=2016&amp;doc_code=AUD" TargetMode="External"/><Relationship Id="rId1943" Type="http://schemas.openxmlformats.org/officeDocument/2006/relationships/hyperlink" Target="https://treas-secure.state.mi.us/LAFDocSearch/tl41R01.aspx?&amp;lu_id=4188&amp;doc_yr=2016&amp;doc_code=AUD" TargetMode="External"/><Relationship Id="rId28" Type="http://schemas.openxmlformats.org/officeDocument/2006/relationships/hyperlink" Target="https://treas-secure.state.mi.us/LAFDocSearch/tl41R01.aspx?&amp;lu_id=48&amp;doc_yr=2016&amp;doc_code=AUD" TargetMode="External"/><Relationship Id="rId1803" Type="http://schemas.openxmlformats.org/officeDocument/2006/relationships/hyperlink" Target="https://treas-secure.state.mi.us/LAFDocSearch/tl41R01.aspx?&amp;lu_id=3579&amp;doc_yr=2016&amp;doc_code=AUD" TargetMode="External"/><Relationship Id="rId177" Type="http://schemas.openxmlformats.org/officeDocument/2006/relationships/hyperlink" Target="https://treas-secure.state.mi.us/LAFDocSearch/tl41R01.aspx?&amp;lu_id=292&amp;doc_yr=2016&amp;doc_code=AUD" TargetMode="External"/><Relationship Id="rId384" Type="http://schemas.openxmlformats.org/officeDocument/2006/relationships/hyperlink" Target="https://treas-secure.state.mi.us/LAFDocSearch/tl41R01.aspx?&amp;lu_id=613&amp;doc_yr=2016&amp;doc_code=AUD" TargetMode="External"/><Relationship Id="rId591" Type="http://schemas.openxmlformats.org/officeDocument/2006/relationships/hyperlink" Target="https://treas-secure.state.mi.us/LAFDocSearch/tl41R01.aspx?&amp;lu_id=1042&amp;doc_yr=2016&amp;doc_code=AUD" TargetMode="External"/><Relationship Id="rId2065" Type="http://schemas.openxmlformats.org/officeDocument/2006/relationships/hyperlink" Target="https://treas-secure.state.mi.us/LAFDocSearch/tl41R01.aspx?&amp;lu_id=4235&amp;doc_yr=2016&amp;doc_code=AUD" TargetMode="External"/><Relationship Id="rId2272" Type="http://schemas.openxmlformats.org/officeDocument/2006/relationships/hyperlink" Target="https://treas-secure.state.mi.us/LAFDocSearch/tl41R01.aspx?&amp;lu_id=4592&amp;doc_yr=2016&amp;doc_code=AUD" TargetMode="External"/><Relationship Id="rId244" Type="http://schemas.openxmlformats.org/officeDocument/2006/relationships/hyperlink" Target="https://treas-secure.state.mi.us/LAFDocSearch/tl41R01.aspx?&amp;lu_id=400&amp;doc_yr=2016&amp;doc_code=AUD" TargetMode="External"/><Relationship Id="rId689" Type="http://schemas.openxmlformats.org/officeDocument/2006/relationships/hyperlink" Target="https://treas-secure.state.mi.us/LAFDocSearch/tl41R01.aspx?&amp;lu_id=1313&amp;doc_yr=2016&amp;doc_code=AUD" TargetMode="External"/><Relationship Id="rId896" Type="http://schemas.openxmlformats.org/officeDocument/2006/relationships/hyperlink" Target="https://treas-secure.state.mi.us/LAFDocSearch/tl41R01.aspx?&amp;lu_id=1701&amp;doc_yr=2016&amp;doc_code=AUD" TargetMode="External"/><Relationship Id="rId1081" Type="http://schemas.openxmlformats.org/officeDocument/2006/relationships/hyperlink" Target="https://treas-secure.state.mi.us/LAFDocSearch/tl41R01.aspx?&amp;lu_id=2129&amp;doc_yr=2016&amp;doc_code=AUD" TargetMode="External"/><Relationship Id="rId2577" Type="http://schemas.openxmlformats.org/officeDocument/2006/relationships/hyperlink" Target="https://treas-secure.state.mi.us/LAFDocSearch/tl41R01.aspx?&amp;lu_id=5389&amp;doc_yr=2016&amp;doc_code=AUD" TargetMode="External"/><Relationship Id="rId2784" Type="http://schemas.openxmlformats.org/officeDocument/2006/relationships/hyperlink" Target="https://treas-secure.state.mi.us/LAFDocSearch/tl41R01.aspx?&amp;lu_id=5886&amp;doc_yr=2016&amp;doc_code=AUD" TargetMode="External"/><Relationship Id="rId451" Type="http://schemas.openxmlformats.org/officeDocument/2006/relationships/hyperlink" Target="https://treas-secure.state.mi.us/LAFDocSearch/tl41R01.aspx?&amp;lu_id=779&amp;doc_yr=2016&amp;doc_code=AUD" TargetMode="External"/><Relationship Id="rId549" Type="http://schemas.openxmlformats.org/officeDocument/2006/relationships/hyperlink" Target="https://treas-secure.state.mi.us/LAFDocSearch/tl41R01.aspx?&amp;lu_id=981&amp;doc_yr=2016&amp;doc_code=AUD" TargetMode="External"/><Relationship Id="rId756" Type="http://schemas.openxmlformats.org/officeDocument/2006/relationships/hyperlink" Target="https://treas-secure.state.mi.us/LAFDocSearch/tl41R01.aspx?&amp;lu_id=1343&amp;doc_yr=2016&amp;doc_code=AUD" TargetMode="External"/><Relationship Id="rId1179" Type="http://schemas.openxmlformats.org/officeDocument/2006/relationships/hyperlink" Target="https://treas-secure.state.mi.us/LAFDocSearch/tl41R01.aspx?&amp;lu_id=2277&amp;doc_yr=2016&amp;doc_code=AUD" TargetMode="External"/><Relationship Id="rId1386" Type="http://schemas.openxmlformats.org/officeDocument/2006/relationships/hyperlink" Target="https://treas-secure.state.mi.us/LAFDocSearch/tl41R01.aspx?&amp;lu_id=2690&amp;doc_yr=2016&amp;doc_code=AUD" TargetMode="External"/><Relationship Id="rId1593" Type="http://schemas.openxmlformats.org/officeDocument/2006/relationships/hyperlink" Target="https://treas-secure.state.mi.us/LAFDocSearch/tl41R01.aspx?&amp;lu_id=3154&amp;doc_yr=2016&amp;doc_code=AUD" TargetMode="External"/><Relationship Id="rId2132" Type="http://schemas.openxmlformats.org/officeDocument/2006/relationships/hyperlink" Target="https://treas-secure.state.mi.us/LAFDocSearch/tl41R01.aspx?&amp;lu_id=4372&amp;doc_yr=2016&amp;doc_code=AUD" TargetMode="External"/><Relationship Id="rId2437" Type="http://schemas.openxmlformats.org/officeDocument/2006/relationships/hyperlink" Target="https://treas-secure.state.mi.us/LAFDocSearch/tl41R01.aspx?&amp;lu_id=4998&amp;doc_yr=2016&amp;doc_code=AUD" TargetMode="External"/><Relationship Id="rId104" Type="http://schemas.openxmlformats.org/officeDocument/2006/relationships/hyperlink" Target="https://treas-secure.state.mi.us/LAFDocSearch/tl41R01.aspx?&amp;lu_id=205&amp;doc_yr=2016&amp;doc_code=AUD" TargetMode="External"/><Relationship Id="rId311" Type="http://schemas.openxmlformats.org/officeDocument/2006/relationships/hyperlink" Target="https://treas-secure.state.mi.us/LAFDocSearch/tl41R01.aspx?&amp;lu_id=520&amp;doc_yr=2016&amp;doc_code=AUD" TargetMode="External"/><Relationship Id="rId409" Type="http://schemas.openxmlformats.org/officeDocument/2006/relationships/hyperlink" Target="https://treas-secure.state.mi.us/LAFDocSearch/tl41R01.aspx?&amp;lu_id=728&amp;doc_yr=2016&amp;doc_code=AUD" TargetMode="External"/><Relationship Id="rId963" Type="http://schemas.openxmlformats.org/officeDocument/2006/relationships/hyperlink" Target="https://treas-secure.state.mi.us/LAFDocSearch/tl41R01.aspx?&amp;lu_id=1882&amp;doc_yr=2016&amp;doc_code=AUD" TargetMode="External"/><Relationship Id="rId1039" Type="http://schemas.openxmlformats.org/officeDocument/2006/relationships/hyperlink" Target="https://treas-secure.state.mi.us/LAFDocSearch/tl41R01.aspx?&amp;lu_id=2051&amp;doc_yr=2016&amp;doc_code=AUD" TargetMode="External"/><Relationship Id="rId1246" Type="http://schemas.openxmlformats.org/officeDocument/2006/relationships/hyperlink" Target="https://treas-secure.state.mi.us/LAFDocSearch/tl41R01.aspx?&amp;lu_id=2415&amp;doc_yr=2016&amp;doc_code=AUD" TargetMode="External"/><Relationship Id="rId1898" Type="http://schemas.openxmlformats.org/officeDocument/2006/relationships/hyperlink" Target="https://treas-secure.state.mi.us/LAFDocSearch/tl41R01.aspx?&amp;lu_id=3759&amp;doc_yr=2016&amp;doc_code=AUD" TargetMode="External"/><Relationship Id="rId2644" Type="http://schemas.openxmlformats.org/officeDocument/2006/relationships/hyperlink" Target="https://treas-secure.state.mi.us/LAFDocSearch/tl41R01.aspx?&amp;lu_id=5397&amp;doc_yr=2016&amp;doc_code=AUD" TargetMode="External"/><Relationship Id="rId92" Type="http://schemas.openxmlformats.org/officeDocument/2006/relationships/hyperlink" Target="https://treas-secure.state.mi.us/LAFDocSearch/tl41R01.aspx?&amp;lu_id=161&amp;doc_yr=2016&amp;doc_code=AUD" TargetMode="External"/><Relationship Id="rId616" Type="http://schemas.openxmlformats.org/officeDocument/2006/relationships/hyperlink" Target="https://treas-secure.state.mi.us/LAFDocSearch/tl41R01.aspx?&amp;lu_id=1076&amp;doc_yr=2016&amp;doc_code=AUD" TargetMode="External"/><Relationship Id="rId823" Type="http://schemas.openxmlformats.org/officeDocument/2006/relationships/hyperlink" Target="https://treas-secure.state.mi.us/LAFDocSearch/tl41R01.aspx?&amp;lu_id=1549&amp;doc_yr=2016&amp;doc_code=AUD" TargetMode="External"/><Relationship Id="rId1453" Type="http://schemas.openxmlformats.org/officeDocument/2006/relationships/hyperlink" Target="https://treas-secure.state.mi.us/LAFDocSearch/tl41R01.aspx?&amp;lu_id=2766&amp;doc_yr=2016&amp;doc_code=AUD" TargetMode="External"/><Relationship Id="rId1660" Type="http://schemas.openxmlformats.org/officeDocument/2006/relationships/hyperlink" Target="https://treas-secure.state.mi.us/LAFDocSearch/tl41R01.aspx?&amp;lu_id=3319&amp;doc_yr=2016&amp;doc_code=AUD" TargetMode="External"/><Relationship Id="rId1758" Type="http://schemas.openxmlformats.org/officeDocument/2006/relationships/hyperlink" Target="https://treas-secure.state.mi.us/LAFDocSearch/tl41R01.aspx?&amp;lu_id=3520&amp;doc_yr=2016&amp;doc_code=AUD" TargetMode="External"/><Relationship Id="rId2504" Type="http://schemas.openxmlformats.org/officeDocument/2006/relationships/hyperlink" Target="https://treas-secure.state.mi.us/LAFDocSearch/tl41R01.aspx?&amp;lu_id=5109&amp;doc_yr=2016&amp;doc_code=AUD" TargetMode="External"/><Relationship Id="rId2711" Type="http://schemas.openxmlformats.org/officeDocument/2006/relationships/hyperlink" Target="https://treas-secure.state.mi.us/LAFDocSearch/tl41R01.aspx?&amp;lu_id=5827&amp;doc_yr=2016&amp;doc_code=AUD" TargetMode="External"/><Relationship Id="rId1106" Type="http://schemas.openxmlformats.org/officeDocument/2006/relationships/hyperlink" Target="https://treas-secure.state.mi.us/LAFDocSearch/tl41R01.aspx?&amp;lu_id=2197&amp;doc_yr=2016&amp;doc_code=AUD" TargetMode="External"/><Relationship Id="rId1313" Type="http://schemas.openxmlformats.org/officeDocument/2006/relationships/hyperlink" Target="https://treas-secure.state.mi.us/LAFDocSearch/tl41R01.aspx?&amp;lu_id=2591&amp;doc_yr=2016&amp;doc_code=AUD" TargetMode="External"/><Relationship Id="rId1520" Type="http://schemas.openxmlformats.org/officeDocument/2006/relationships/hyperlink" Target="https://treas-secure.state.mi.us/LAFDocSearch/tl41R01.aspx?&amp;lu_id=2945&amp;doc_yr=2016&amp;doc_code=AUD" TargetMode="External"/><Relationship Id="rId1965" Type="http://schemas.openxmlformats.org/officeDocument/2006/relationships/hyperlink" Target="https://treas-secure.state.mi.us/LAFDocSearch/tl41R01.aspx?&amp;lu_id=4175&amp;doc_yr=2016&amp;doc_code=AUD" TargetMode="External"/><Relationship Id="rId1618" Type="http://schemas.openxmlformats.org/officeDocument/2006/relationships/hyperlink" Target="https://treas-secure.state.mi.us/LAFDocSearch/tl41R01.aspx?&amp;lu_id=3212&amp;doc_yr=2016&amp;doc_code=AUD" TargetMode="External"/><Relationship Id="rId1825" Type="http://schemas.openxmlformats.org/officeDocument/2006/relationships/hyperlink" Target="https://treas-secure.state.mi.us/LAFDocSearch/tl41R01.aspx?&amp;lu_id=3616&amp;doc_yr=2016&amp;doc_code=AUD" TargetMode="External"/><Relationship Id="rId199" Type="http://schemas.openxmlformats.org/officeDocument/2006/relationships/hyperlink" Target="https://treas-secure.state.mi.us/LAFDocSearch/tl41R01.aspx?&amp;lu_id=382&amp;doc_yr=2016&amp;doc_code=AUD" TargetMode="External"/><Relationship Id="rId2087" Type="http://schemas.openxmlformats.org/officeDocument/2006/relationships/hyperlink" Target="https://treas-secure.state.mi.us/LAFDocSearch/tl41R01.aspx?&amp;lu_id=4277&amp;doc_yr=2016&amp;doc_code=AUD" TargetMode="External"/><Relationship Id="rId2294" Type="http://schemas.openxmlformats.org/officeDocument/2006/relationships/hyperlink" Target="https://treas-secure.state.mi.us/LAFDocSearch/tl41R01.aspx?&amp;lu_id=4598&amp;doc_yr=2016&amp;doc_code=AUD" TargetMode="External"/><Relationship Id="rId266" Type="http://schemas.openxmlformats.org/officeDocument/2006/relationships/hyperlink" Target="https://treas-secure.state.mi.us/LAFDocSearch/tl41R01.aspx?&amp;lu_id=426&amp;doc_yr=2016&amp;doc_code=AUD" TargetMode="External"/><Relationship Id="rId473" Type="http://schemas.openxmlformats.org/officeDocument/2006/relationships/hyperlink" Target="https://treas-secure.state.mi.us/LAFDocSearch/tl41R01.aspx?&amp;lu_id=821&amp;doc_yr=2016&amp;doc_code=AUD" TargetMode="External"/><Relationship Id="rId680" Type="http://schemas.openxmlformats.org/officeDocument/2006/relationships/hyperlink" Target="https://treas-secure.state.mi.us/LAFDocSearch/tl41R01.aspx?&amp;lu_id=1318&amp;doc_yr=2016&amp;doc_code=AUD" TargetMode="External"/><Relationship Id="rId2154" Type="http://schemas.openxmlformats.org/officeDocument/2006/relationships/hyperlink" Target="https://treas-secure.state.mi.us/LAFDocSearch/tl41R01.aspx?&amp;lu_id=4394&amp;doc_yr=2016&amp;doc_code=AUD" TargetMode="External"/><Relationship Id="rId2361" Type="http://schemas.openxmlformats.org/officeDocument/2006/relationships/hyperlink" Target="https://treas-secure.state.mi.us/LAFDocSearch/tl41R01.aspx?&amp;lu_id=4861&amp;doc_yr=2016&amp;doc_code=AUD" TargetMode="External"/><Relationship Id="rId2599" Type="http://schemas.openxmlformats.org/officeDocument/2006/relationships/hyperlink" Target="https://treas-secure.state.mi.us/LAFDocSearch/tl41R01.aspx?&amp;lu_id=5273&amp;doc_yr=2016&amp;doc_code=AUD" TargetMode="External"/><Relationship Id="rId126" Type="http://schemas.openxmlformats.org/officeDocument/2006/relationships/hyperlink" Target="https://treas-secure.state.mi.us/LAFDocSearch/tl41R01.aspx?&amp;lu_id=213&amp;doc_yr=2016&amp;doc_code=AUD" TargetMode="External"/><Relationship Id="rId333" Type="http://schemas.openxmlformats.org/officeDocument/2006/relationships/hyperlink" Target="https://treas-secure.state.mi.us/LAFDocSearch/tl41R01.aspx?&amp;lu_id=574&amp;doc_yr=2016&amp;doc_code=AUD" TargetMode="External"/><Relationship Id="rId540" Type="http://schemas.openxmlformats.org/officeDocument/2006/relationships/hyperlink" Target="https://treas-secure.state.mi.us/LAFDocSearch/tl41R01.aspx?&amp;lu_id=925&amp;doc_yr=2016&amp;doc_code=AUD" TargetMode="External"/><Relationship Id="rId778" Type="http://schemas.openxmlformats.org/officeDocument/2006/relationships/hyperlink" Target="https://treas-secure.state.mi.us/LAFDocSearch/tl41R01.aspx?&amp;lu_id=1480&amp;doc_yr=2016&amp;doc_code=AUD" TargetMode="External"/><Relationship Id="rId985" Type="http://schemas.openxmlformats.org/officeDocument/2006/relationships/hyperlink" Target="https://treas-secure.state.mi.us/LAFDocSearch/tl41R01.aspx?&amp;lu_id=1905&amp;doc_yr=2016&amp;doc_code=AUD" TargetMode="External"/><Relationship Id="rId1170" Type="http://schemas.openxmlformats.org/officeDocument/2006/relationships/hyperlink" Target="https://treas-secure.state.mi.us/LAFDocSearch/tl41R01.aspx?&amp;lu_id=2330&amp;doc_yr=2016&amp;doc_code=AUD" TargetMode="External"/><Relationship Id="rId2014" Type="http://schemas.openxmlformats.org/officeDocument/2006/relationships/hyperlink" Target="https://treas-secure.state.mi.us/LAFDocSearch/tl41R01.aspx?&amp;lu_id=6130&amp;doc_yr=2016&amp;doc_code=AUD" TargetMode="External"/><Relationship Id="rId2221" Type="http://schemas.openxmlformats.org/officeDocument/2006/relationships/hyperlink" Target="https://treas-secure.state.mi.us/LAFDocSearch/tl41R01.aspx?&amp;lu_id=4524&amp;doc_yr=2016&amp;doc_code=AUD" TargetMode="External"/><Relationship Id="rId2459" Type="http://schemas.openxmlformats.org/officeDocument/2006/relationships/hyperlink" Target="https://treas-secure.state.mi.us/LAFDocSearch/tl41R01.aspx?&amp;lu_id=5040&amp;doc_yr=2016&amp;doc_code=AUD" TargetMode="External"/><Relationship Id="rId2666" Type="http://schemas.openxmlformats.org/officeDocument/2006/relationships/hyperlink" Target="https://treas-secure.state.mi.us/LAFDocSearch/tl41R01.aspx?&amp;lu_id=5418&amp;doc_yr=2016&amp;doc_code=AUD" TargetMode="External"/><Relationship Id="rId638" Type="http://schemas.openxmlformats.org/officeDocument/2006/relationships/hyperlink" Target="https://treas-secure.state.mi.us/LAFDocSearch/tl41R01.aspx?&amp;lu_id=1262&amp;doc_yr=2016&amp;doc_code=AUD" TargetMode="External"/><Relationship Id="rId845" Type="http://schemas.openxmlformats.org/officeDocument/2006/relationships/hyperlink" Target="https://treas-secure.state.mi.us/LAFDocSearch/tl41R01.aspx?&amp;lu_id=1593&amp;doc_yr=2016&amp;doc_code=AUD" TargetMode="External"/><Relationship Id="rId1030" Type="http://schemas.openxmlformats.org/officeDocument/2006/relationships/hyperlink" Target="https://treas-secure.state.mi.us/LAFDocSearch/tl41R01.aspx?&amp;lu_id=1916&amp;doc_yr=2016&amp;doc_code=AUD" TargetMode="External"/><Relationship Id="rId1268" Type="http://schemas.openxmlformats.org/officeDocument/2006/relationships/hyperlink" Target="https://treas-secure.state.mi.us/LAFDocSearch/tl41R01.aspx?&amp;lu_id=2437&amp;doc_yr=2016&amp;doc_code=AUD" TargetMode="External"/><Relationship Id="rId1475" Type="http://schemas.openxmlformats.org/officeDocument/2006/relationships/hyperlink" Target="https://treas-secure.state.mi.us/LAFDocSearch/tl41R01.aspx?&amp;lu_id=2845&amp;doc_yr=2016&amp;doc_code=AUD" TargetMode="External"/><Relationship Id="rId1682" Type="http://schemas.openxmlformats.org/officeDocument/2006/relationships/hyperlink" Target="https://treas-secure.state.mi.us/LAFDocSearch/tl41R01.aspx?&amp;lu_id=3374&amp;doc_yr=2016&amp;doc_code=AUD" TargetMode="External"/><Relationship Id="rId2319" Type="http://schemas.openxmlformats.org/officeDocument/2006/relationships/hyperlink" Target="https://treas-secure.state.mi.us/LAFDocSearch/tl41R01.aspx?&amp;lu_id=4735&amp;doc_yr=2016&amp;doc_code=AUD" TargetMode="External"/><Relationship Id="rId2526" Type="http://schemas.openxmlformats.org/officeDocument/2006/relationships/hyperlink" Target="https://treas-secure.state.mi.us/LAFDocSearch/tl41R01.aspx?&amp;lu_id=5180&amp;doc_yr=2016&amp;doc_code=AUD" TargetMode="External"/><Relationship Id="rId2733" Type="http://schemas.openxmlformats.org/officeDocument/2006/relationships/hyperlink" Target="https://treas-secure.state.mi.us/LAFDocSearch/tl41R01.aspx?&amp;lu_id=7700&amp;doc_yr=2016&amp;doc_code=AUD" TargetMode="External"/><Relationship Id="rId400" Type="http://schemas.openxmlformats.org/officeDocument/2006/relationships/hyperlink" Target="https://treas-secure.state.mi.us/LAFDocSearch/tl41R01.aspx?&amp;lu_id=690&amp;doc_yr=2016&amp;doc_code=AUD" TargetMode="External"/><Relationship Id="rId705" Type="http://schemas.openxmlformats.org/officeDocument/2006/relationships/hyperlink" Target="https://treas-secure.state.mi.us/LAFDocSearch/tl41R01.aspx?&amp;lu_id=1346&amp;doc_yr=2016&amp;doc_code=AUD" TargetMode="External"/><Relationship Id="rId1128" Type="http://schemas.openxmlformats.org/officeDocument/2006/relationships/hyperlink" Target="https://treas-secure.state.mi.us/LAFDocSearch/tl41R01.aspx?&amp;lu_id=2267&amp;doc_yr=2016&amp;doc_code=AUD" TargetMode="External"/><Relationship Id="rId1335" Type="http://schemas.openxmlformats.org/officeDocument/2006/relationships/hyperlink" Target="https://treas-secure.state.mi.us/LAFDocSearch/tl41R01.aspx?&amp;lu_id=2471&amp;doc_yr=2016&amp;doc_code=AUD" TargetMode="External"/><Relationship Id="rId1542" Type="http://schemas.openxmlformats.org/officeDocument/2006/relationships/hyperlink" Target="https://treas-secure.state.mi.us/LAFDocSearch/tl41R01.aspx?&amp;lu_id=3158&amp;doc_yr=2016&amp;doc_code=AUD" TargetMode="External"/><Relationship Id="rId1987" Type="http://schemas.openxmlformats.org/officeDocument/2006/relationships/hyperlink" Target="https://treas-secure.state.mi.us/LAFDocSearch/tl41R01.aspx?&amp;lu_id=3837&amp;doc_yr=2016&amp;doc_code=AUD" TargetMode="External"/><Relationship Id="rId912" Type="http://schemas.openxmlformats.org/officeDocument/2006/relationships/hyperlink" Target="https://treas-secure.state.mi.us/LAFDocSearch/tl41R01.aspx?&amp;lu_id=1735&amp;doc_yr=2016&amp;doc_code=AUD" TargetMode="External"/><Relationship Id="rId1847" Type="http://schemas.openxmlformats.org/officeDocument/2006/relationships/hyperlink" Target="https://treas-secure.state.mi.us/LAFDocSearch/tl41R01.aspx?&amp;lu_id=3614&amp;doc_yr=2016&amp;doc_code=AUD" TargetMode="External"/><Relationship Id="rId41" Type="http://schemas.openxmlformats.org/officeDocument/2006/relationships/hyperlink" Target="https://treas-secure.state.mi.us/LAFDocSearch/tl41R01.aspx?&amp;lu_id=73&amp;doc_yr=2016&amp;doc_code=AUD" TargetMode="External"/><Relationship Id="rId1402" Type="http://schemas.openxmlformats.org/officeDocument/2006/relationships/hyperlink" Target="https://treas-secure.state.mi.us/LAFDocSearch/tl41R01.aspx?&amp;lu_id=2655&amp;doc_yr=2016&amp;doc_code=AUD" TargetMode="External"/><Relationship Id="rId1707" Type="http://schemas.openxmlformats.org/officeDocument/2006/relationships/hyperlink" Target="https://treas-secure.state.mi.us/LAFDocSearch/tl41R01.aspx?&amp;lu_id=3443&amp;doc_yr=2016&amp;doc_code=AUD" TargetMode="External"/><Relationship Id="rId190" Type="http://schemas.openxmlformats.org/officeDocument/2006/relationships/hyperlink" Target="https://treas-secure.state.mi.us/LAFDocSearch/tl41R01.aspx?&amp;lu_id=338&amp;doc_yr=2016&amp;doc_code=AUD" TargetMode="External"/><Relationship Id="rId288" Type="http://schemas.openxmlformats.org/officeDocument/2006/relationships/hyperlink" Target="https://treas-secure.state.mi.us/LAFDocSearch/tl41R01.aspx?&amp;lu_id=436&amp;doc_yr=2016&amp;doc_code=AUD" TargetMode="External"/><Relationship Id="rId1914" Type="http://schemas.openxmlformats.org/officeDocument/2006/relationships/hyperlink" Target="https://treas-secure.state.mi.us/LAFDocSearch/tl41R01.aspx?&amp;lu_id=3788&amp;doc_yr=2016&amp;doc_code=AUD" TargetMode="External"/><Relationship Id="rId495" Type="http://schemas.openxmlformats.org/officeDocument/2006/relationships/hyperlink" Target="https://treas-secure.state.mi.us/LAFDocSearch/tl41R01.aspx?&amp;lu_id=836&amp;doc_yr=2016&amp;doc_code=AUD" TargetMode="External"/><Relationship Id="rId2176" Type="http://schemas.openxmlformats.org/officeDocument/2006/relationships/hyperlink" Target="https://treas-secure.state.mi.us/LAFDocSearch/tl41R01.aspx?&amp;lu_id=4491&amp;doc_yr=2016&amp;doc_code=AUD" TargetMode="External"/><Relationship Id="rId2383" Type="http://schemas.openxmlformats.org/officeDocument/2006/relationships/hyperlink" Target="https://treas-secure.state.mi.us/LAFDocSearch/tl41R01.aspx?&amp;lu_id=4989&amp;doc_yr=2016&amp;doc_code=AUD" TargetMode="External"/><Relationship Id="rId2590" Type="http://schemas.openxmlformats.org/officeDocument/2006/relationships/hyperlink" Target="https://treas-secure.state.mi.us/LAFDocSearch/tl41R01.aspx?&amp;lu_id=5386&amp;doc_yr=2016&amp;doc_code=AUD" TargetMode="External"/><Relationship Id="rId148" Type="http://schemas.openxmlformats.org/officeDocument/2006/relationships/hyperlink" Target="https://treas-secure.state.mi.us/LAFDocSearch/tl41R01.aspx?&amp;lu_id=262&amp;doc_yr=2016&amp;doc_code=AUD" TargetMode="External"/><Relationship Id="rId355" Type="http://schemas.openxmlformats.org/officeDocument/2006/relationships/hyperlink" Target="https://treas-secure.state.mi.us/LAFDocSearch/tl41R01.aspx?&amp;lu_id=600&amp;doc_yr=2016&amp;doc_code=AUD" TargetMode="External"/><Relationship Id="rId562" Type="http://schemas.openxmlformats.org/officeDocument/2006/relationships/hyperlink" Target="https://treas-secure.state.mi.us/LAFDocSearch/tl41R01.aspx?&amp;lu_id=948&amp;doc_yr=2016&amp;doc_code=AUD" TargetMode="External"/><Relationship Id="rId1192" Type="http://schemas.openxmlformats.org/officeDocument/2006/relationships/hyperlink" Target="https://treas-secure.state.mi.us/LAFDocSearch/tl41R01.aspx?&amp;lu_id=2284&amp;doc_yr=2016&amp;doc_code=AUD" TargetMode="External"/><Relationship Id="rId2036" Type="http://schemas.openxmlformats.org/officeDocument/2006/relationships/hyperlink" Target="https://treas-secure.state.mi.us/LAFDocSearch/tl41R01.aspx?&amp;lu_id=3875&amp;doc_yr=2016&amp;doc_code=AUD" TargetMode="External"/><Relationship Id="rId2243" Type="http://schemas.openxmlformats.org/officeDocument/2006/relationships/hyperlink" Target="https://treas-secure.state.mi.us/LAFDocSearch/tl41R01.aspx?&amp;lu_id=6075&amp;doc_yr=2016&amp;doc_code=AUD" TargetMode="External"/><Relationship Id="rId2450" Type="http://schemas.openxmlformats.org/officeDocument/2006/relationships/hyperlink" Target="https://treas-secure.state.mi.us/LAFDocSearch/tl41R01.aspx?&amp;lu_id=5032&amp;doc_yr=2016&amp;doc_code=AUD" TargetMode="External"/><Relationship Id="rId2688" Type="http://schemas.openxmlformats.org/officeDocument/2006/relationships/hyperlink" Target="https://treas-secure.state.mi.us/LAFDocSearch/tl41R01.aspx?&amp;lu_id=5843&amp;doc_yr=2016&amp;doc_code=AUD" TargetMode="External"/><Relationship Id="rId215" Type="http://schemas.openxmlformats.org/officeDocument/2006/relationships/hyperlink" Target="https://treas-secure.state.mi.us/LAFDocSearch/tl41R01.aspx?&amp;lu_id=332&amp;doc_yr=2016&amp;doc_code=AUD" TargetMode="External"/><Relationship Id="rId422" Type="http://schemas.openxmlformats.org/officeDocument/2006/relationships/hyperlink" Target="https://treas-secure.state.mi.us/LAFDocSearch/tl41R01.aspx?&amp;lu_id=700&amp;doc_yr=2016&amp;doc_code=AUD" TargetMode="External"/><Relationship Id="rId867" Type="http://schemas.openxmlformats.org/officeDocument/2006/relationships/hyperlink" Target="https://treas-secure.state.mi.us/LAFDocSearch/tl41R01.aspx?&amp;lu_id=1674&amp;doc_yr=2016&amp;doc_code=AUD" TargetMode="External"/><Relationship Id="rId1052" Type="http://schemas.openxmlformats.org/officeDocument/2006/relationships/hyperlink" Target="https://treas-secure.state.mi.us/LAFDocSearch/tl41R01.aspx?&amp;lu_id=2105&amp;doc_yr=2016&amp;doc_code=AUD" TargetMode="External"/><Relationship Id="rId1497" Type="http://schemas.openxmlformats.org/officeDocument/2006/relationships/hyperlink" Target="https://treas-secure.state.mi.us/LAFDocSearch/tl41R01.aspx?&amp;lu_id=2839&amp;doc_yr=2016&amp;doc_code=AUD" TargetMode="External"/><Relationship Id="rId2103" Type="http://schemas.openxmlformats.org/officeDocument/2006/relationships/hyperlink" Target="https://treas-secure.state.mi.us/LAFDocSearch/tl41R01.aspx?&amp;lu_id=4298&amp;doc_yr=2016&amp;doc_code=AUD" TargetMode="External"/><Relationship Id="rId2310" Type="http://schemas.openxmlformats.org/officeDocument/2006/relationships/hyperlink" Target="https://treas-secure.state.mi.us/LAFDocSearch/tl41R01.aspx?&amp;lu_id=4727&amp;doc_yr=2016&amp;doc_code=AUD" TargetMode="External"/><Relationship Id="rId2548" Type="http://schemas.openxmlformats.org/officeDocument/2006/relationships/hyperlink" Target="https://treas-secure.state.mi.us/LAFDocSearch/tl41R01.aspx?&amp;lu_id=5190&amp;doc_yr=2016&amp;doc_code=AUD" TargetMode="External"/><Relationship Id="rId2755" Type="http://schemas.openxmlformats.org/officeDocument/2006/relationships/hyperlink" Target="https://treas-secure.state.mi.us/LAFDocSearch/tl41R01.aspx?&amp;lu_id=5415&amp;doc_yr=2016&amp;doc_code=AUD" TargetMode="External"/><Relationship Id="rId727" Type="http://schemas.openxmlformats.org/officeDocument/2006/relationships/hyperlink" Target="https://treas-secure.state.mi.us/LAFDocSearch/tl41R01.aspx?&amp;lu_id=6040&amp;doc_yr=2016&amp;doc_code=AUD" TargetMode="External"/><Relationship Id="rId934" Type="http://schemas.openxmlformats.org/officeDocument/2006/relationships/hyperlink" Target="https://treas-secure.state.mi.us/LAFDocSearch/tl41R01.aspx?&amp;lu_id=1898&amp;doc_yr=2016&amp;doc_code=AUD" TargetMode="External"/><Relationship Id="rId1357" Type="http://schemas.openxmlformats.org/officeDocument/2006/relationships/hyperlink" Target="https://treas-secure.state.mi.us/LAFDocSearch/tl41R01.aspx?&amp;lu_id=2633&amp;doc_yr=2016&amp;doc_code=AUD" TargetMode="External"/><Relationship Id="rId1564" Type="http://schemas.openxmlformats.org/officeDocument/2006/relationships/hyperlink" Target="https://treas-secure.state.mi.us/LAFDocSearch/tl41R01.aspx?&amp;lu_id=3179&amp;doc_yr=2016&amp;doc_code=AUD" TargetMode="External"/><Relationship Id="rId1771" Type="http://schemas.openxmlformats.org/officeDocument/2006/relationships/hyperlink" Target="https://treas-secure.state.mi.us/LAFDocSearch/tl41R01.aspx?&amp;lu_id=3527&amp;doc_yr=2016&amp;doc_code=AUD" TargetMode="External"/><Relationship Id="rId2408" Type="http://schemas.openxmlformats.org/officeDocument/2006/relationships/hyperlink" Target="https://treas-secure.state.mi.us/LAFDocSearch/tl41R01.aspx?&amp;lu_id=4978&amp;doc_yr=2016&amp;doc_code=AUD" TargetMode="External"/><Relationship Id="rId2615" Type="http://schemas.openxmlformats.org/officeDocument/2006/relationships/hyperlink" Target="https://treas-secure.state.mi.us/LAFDocSearch/tl41R01.aspx?&amp;lu_id=5291&amp;doc_yr=2016&amp;doc_code=AUD" TargetMode="External"/><Relationship Id="rId63" Type="http://schemas.openxmlformats.org/officeDocument/2006/relationships/hyperlink" Target="https://treas-secure.state.mi.us/LAFDocSearch/tl41R01.aspx?&amp;lu_id=63&amp;doc_yr=2016&amp;doc_code=AUD" TargetMode="External"/><Relationship Id="rId1217" Type="http://schemas.openxmlformats.org/officeDocument/2006/relationships/hyperlink" Target="https://treas-secure.state.mi.us/LAFDocSearch/tl41R01.aspx?&amp;lu_id=2353&amp;doc_yr=2016&amp;doc_code=AUD" TargetMode="External"/><Relationship Id="rId1424" Type="http://schemas.openxmlformats.org/officeDocument/2006/relationships/hyperlink" Target="https://treas-secure.state.mi.us/LAFDocSearch/tl41R01.aspx?&amp;lu_id=2724&amp;doc_yr=2016&amp;doc_code=AUD" TargetMode="External"/><Relationship Id="rId1631" Type="http://schemas.openxmlformats.org/officeDocument/2006/relationships/hyperlink" Target="https://treas-secure.state.mi.us/LAFDocSearch/tl41R01.aspx?&amp;lu_id=3254&amp;doc_yr=2016&amp;doc_code=AUD" TargetMode="External"/><Relationship Id="rId1869" Type="http://schemas.openxmlformats.org/officeDocument/2006/relationships/hyperlink" Target="https://treas-secure.state.mi.us/LAFDocSearch/tl41R01.aspx?&amp;lu_id=3758&amp;doc_yr=2016&amp;doc_code=AUD" TargetMode="External"/><Relationship Id="rId1729" Type="http://schemas.openxmlformats.org/officeDocument/2006/relationships/hyperlink" Target="https://treas-secure.state.mi.us/LAFDocSearch/tl41R01.aspx?&amp;lu_id=3453&amp;doc_yr=2016&amp;doc_code=AUD" TargetMode="External"/><Relationship Id="rId1936" Type="http://schemas.openxmlformats.org/officeDocument/2006/relationships/hyperlink" Target="https://treas-secure.state.mi.us/LAFDocSearch/tl41R01.aspx?&amp;lu_id=7072&amp;doc_yr=2016&amp;doc_code=AUD" TargetMode="External"/><Relationship Id="rId2198" Type="http://schemas.openxmlformats.org/officeDocument/2006/relationships/hyperlink" Target="https://treas-secure.state.mi.us/LAFDocSearch/tl41R01.aspx?&amp;lu_id=4430&amp;doc_yr=2016&amp;doc_code=AUD" TargetMode="External"/><Relationship Id="rId377" Type="http://schemas.openxmlformats.org/officeDocument/2006/relationships/hyperlink" Target="https://treas-secure.state.mi.us/LAFDocSearch/tl41R01.aspx?&amp;lu_id=608&amp;doc_yr=2016&amp;doc_code=AUD" TargetMode="External"/><Relationship Id="rId584" Type="http://schemas.openxmlformats.org/officeDocument/2006/relationships/hyperlink" Target="https://treas-secure.state.mi.us/LAFDocSearch/tl41R01.aspx?&amp;lu_id=998&amp;doc_yr=2016&amp;doc_code=AUD" TargetMode="External"/><Relationship Id="rId2058" Type="http://schemas.openxmlformats.org/officeDocument/2006/relationships/hyperlink" Target="https://treas-secure.state.mi.us/LAFDocSearch/tl41R01.aspx?&amp;lu_id=4212&amp;doc_yr=2016&amp;doc_code=AUD" TargetMode="External"/><Relationship Id="rId2265" Type="http://schemas.openxmlformats.org/officeDocument/2006/relationships/hyperlink" Target="https://treas-secure.state.mi.us/LAFDocSearch/tl41R01.aspx?&amp;lu_id=4699&amp;doc_yr=2016&amp;doc_code=AUD" TargetMode="External"/><Relationship Id="rId5" Type="http://schemas.openxmlformats.org/officeDocument/2006/relationships/hyperlink" Target="https://treas-secure.state.mi.us/LAFDocSearch/tl41R01.aspx?&amp;lu_id=5&amp;doc_yr=2016&amp;doc_code=AUD" TargetMode="External"/><Relationship Id="rId237" Type="http://schemas.openxmlformats.org/officeDocument/2006/relationships/hyperlink" Target="https://treas-secure.state.mi.us/LAFDocSearch/tl41R01.aspx?&amp;lu_id=396&amp;doc_yr=2016&amp;doc_code=AUD" TargetMode="External"/><Relationship Id="rId791" Type="http://schemas.openxmlformats.org/officeDocument/2006/relationships/hyperlink" Target="https://treas-secure.state.mi.us/LAFDocSearch/tl41R01.aspx?&amp;lu_id=1522&amp;doc_yr=2016&amp;doc_code=AUD" TargetMode="External"/><Relationship Id="rId889" Type="http://schemas.openxmlformats.org/officeDocument/2006/relationships/hyperlink" Target="https://treas-secure.state.mi.us/LAFDocSearch/tl41R01.aspx?&amp;lu_id=1678&amp;doc_yr=2016&amp;doc_code=AUD" TargetMode="External"/><Relationship Id="rId1074" Type="http://schemas.openxmlformats.org/officeDocument/2006/relationships/hyperlink" Target="https://treas-secure.state.mi.us/LAFDocSearch/tl41R01.aspx?&amp;lu_id=2119&amp;doc_yr=2016&amp;doc_code=AUD" TargetMode="External"/><Relationship Id="rId2472" Type="http://schemas.openxmlformats.org/officeDocument/2006/relationships/hyperlink" Target="https://treas-secure.state.mi.us/LAFDocSearch/tl41R01.aspx?&amp;lu_id=5075&amp;doc_yr=2016&amp;doc_code=AUD" TargetMode="External"/><Relationship Id="rId2777" Type="http://schemas.openxmlformats.org/officeDocument/2006/relationships/hyperlink" Target="https://treas-secure.state.mi.us/LAFDocSearch/tl41R01.aspx?&amp;lu_id=5914&amp;doc_yr=2016&amp;doc_code=AUD" TargetMode="External"/><Relationship Id="rId444" Type="http://schemas.openxmlformats.org/officeDocument/2006/relationships/hyperlink" Target="https://treas-secure.state.mi.us/LAFDocSearch/tl41R01.aspx?&amp;lu_id=778&amp;doc_yr=2016&amp;doc_code=AUD" TargetMode="External"/><Relationship Id="rId651" Type="http://schemas.openxmlformats.org/officeDocument/2006/relationships/hyperlink" Target="https://treas-secure.state.mi.us/LAFDocSearch/tl41R01.aspx?&amp;lu_id=1098&amp;doc_yr=2016&amp;doc_code=AUD" TargetMode="External"/><Relationship Id="rId749" Type="http://schemas.openxmlformats.org/officeDocument/2006/relationships/hyperlink" Target="https://treas-secure.state.mi.us/LAFDocSearch/tl41R01.aspx?&amp;lu_id=1353&amp;doc_yr=2016&amp;doc_code=AUD" TargetMode="External"/><Relationship Id="rId1281" Type="http://schemas.openxmlformats.org/officeDocument/2006/relationships/hyperlink" Target="https://treas-secure.state.mi.us/LAFDocSearch/tl41R01.aspx?&amp;lu_id=2473&amp;doc_yr=2016&amp;doc_code=AUD" TargetMode="External"/><Relationship Id="rId1379" Type="http://schemas.openxmlformats.org/officeDocument/2006/relationships/hyperlink" Target="https://treas-secure.state.mi.us/LAFDocSearch/tl41R01.aspx?&amp;lu_id=2648&amp;doc_yr=2016&amp;doc_code=AUD" TargetMode="External"/><Relationship Id="rId1586" Type="http://schemas.openxmlformats.org/officeDocument/2006/relationships/hyperlink" Target="https://treas-secure.state.mi.us/LAFDocSearch/tl41R01.aspx?&amp;lu_id=3161&amp;doc_yr=2016&amp;doc_code=AUD" TargetMode="External"/><Relationship Id="rId2125" Type="http://schemas.openxmlformats.org/officeDocument/2006/relationships/hyperlink" Target="https://treas-secure.state.mi.us/LAFDocSearch/tl41R01.aspx?&amp;lu_id=4361&amp;doc_yr=2016&amp;doc_code=AUD" TargetMode="External"/><Relationship Id="rId2332" Type="http://schemas.openxmlformats.org/officeDocument/2006/relationships/hyperlink" Target="https://treas-secure.state.mi.us/LAFDocSearch/tl41R01.aspx?&amp;lu_id=4744&amp;doc_yr=2016&amp;doc_code=AUD" TargetMode="External"/><Relationship Id="rId304" Type="http://schemas.openxmlformats.org/officeDocument/2006/relationships/hyperlink" Target="https://treas-secure.state.mi.us/LAFDocSearch/tl41R01.aspx?&amp;lu_id=442&amp;doc_yr=2016&amp;doc_code=AUD" TargetMode="External"/><Relationship Id="rId511" Type="http://schemas.openxmlformats.org/officeDocument/2006/relationships/hyperlink" Target="https://treas-secure.state.mi.us/LAFDocSearch/tl41R01.aspx?&amp;lu_id=884&amp;doc_yr=2016&amp;doc_code=AUD" TargetMode="External"/><Relationship Id="rId609" Type="http://schemas.openxmlformats.org/officeDocument/2006/relationships/hyperlink" Target="https://treas-secure.state.mi.us/LAFDocSearch/tl41R01.aspx?&amp;lu_id=6153&amp;doc_yr=2016&amp;doc_code=AUD" TargetMode="External"/><Relationship Id="rId956" Type="http://schemas.openxmlformats.org/officeDocument/2006/relationships/hyperlink" Target="https://treas-secure.state.mi.us/LAFDocSearch/tl41R01.aspx?&amp;lu_id=1885&amp;doc_yr=2016&amp;doc_code=AUD" TargetMode="External"/><Relationship Id="rId1141" Type="http://schemas.openxmlformats.org/officeDocument/2006/relationships/hyperlink" Target="https://treas-secure.state.mi.us/LAFDocSearch/tl41R01.aspx?&amp;lu_id=2262&amp;doc_yr=2016&amp;doc_code=AUD" TargetMode="External"/><Relationship Id="rId1239" Type="http://schemas.openxmlformats.org/officeDocument/2006/relationships/hyperlink" Target="https://treas-secure.state.mi.us/LAFDocSearch/tl41R01.aspx?&amp;lu_id=2368&amp;doc_yr=2016&amp;doc_code=AUD" TargetMode="External"/><Relationship Id="rId1793" Type="http://schemas.openxmlformats.org/officeDocument/2006/relationships/hyperlink" Target="https://treas-secure.state.mi.us/LAFDocSearch/tl41R01.aspx?&amp;lu_id=3587&amp;doc_yr=2016&amp;doc_code=AUD" TargetMode="External"/><Relationship Id="rId2637" Type="http://schemas.openxmlformats.org/officeDocument/2006/relationships/hyperlink" Target="https://treas-secure.state.mi.us/LAFDocSearch/tl41R01.aspx?&amp;lu_id=5340&amp;doc_yr=2016&amp;doc_code=AUD" TargetMode="External"/><Relationship Id="rId85" Type="http://schemas.openxmlformats.org/officeDocument/2006/relationships/hyperlink" Target="https://treas-secure.state.mi.us/LAFDocSearch/tl41R01.aspx?&amp;lu_id=141&amp;doc_yr=2016&amp;doc_code=AUD" TargetMode="External"/><Relationship Id="rId816" Type="http://schemas.openxmlformats.org/officeDocument/2006/relationships/hyperlink" Target="https://treas-secure.state.mi.us/LAFDocSearch/tl41R01.aspx?&amp;lu_id=1574&amp;doc_yr=2016&amp;doc_code=AUD" TargetMode="External"/><Relationship Id="rId1001" Type="http://schemas.openxmlformats.org/officeDocument/2006/relationships/hyperlink" Target="https://treas-secure.state.mi.us/LAFDocSearch/tl41R01.aspx?&amp;lu_id=2031&amp;doc_yr=2016&amp;doc_code=AUD" TargetMode="External"/><Relationship Id="rId1446" Type="http://schemas.openxmlformats.org/officeDocument/2006/relationships/hyperlink" Target="https://treas-secure.state.mi.us/LAFDocSearch/tl41R01.aspx?&amp;lu_id=2820&amp;doc_yr=2016&amp;doc_code=AUD" TargetMode="External"/><Relationship Id="rId1653" Type="http://schemas.openxmlformats.org/officeDocument/2006/relationships/hyperlink" Target="https://treas-secure.state.mi.us/LAFDocSearch/tl41R01.aspx?&amp;lu_id=3308&amp;doc_yr=2016&amp;doc_code=AUD" TargetMode="External"/><Relationship Id="rId1860" Type="http://schemas.openxmlformats.org/officeDocument/2006/relationships/hyperlink" Target="https://treas-secure.state.mi.us/LAFDocSearch/tl41R01.aspx?&amp;lu_id=3687&amp;doc_yr=2016&amp;doc_code=AUD" TargetMode="External"/><Relationship Id="rId2704" Type="http://schemas.openxmlformats.org/officeDocument/2006/relationships/hyperlink" Target="https://treas-secure.state.mi.us/LAFDocSearch/tl41R01.aspx?&amp;lu_id=5849&amp;doc_yr=2016&amp;doc_code=AUD" TargetMode="External"/><Relationship Id="rId1306" Type="http://schemas.openxmlformats.org/officeDocument/2006/relationships/hyperlink" Target="https://treas-secure.state.mi.us/LAFDocSearch/tl41R01.aspx?&amp;lu_id=2483&amp;doc_yr=2016&amp;doc_code=AUD" TargetMode="External"/><Relationship Id="rId1513" Type="http://schemas.openxmlformats.org/officeDocument/2006/relationships/hyperlink" Target="https://treas-secure.state.mi.us/LAFDocSearch/tl41R01.aspx?&amp;lu_id=2929&amp;doc_yr=2016&amp;doc_code=AUD" TargetMode="External"/><Relationship Id="rId1720" Type="http://schemas.openxmlformats.org/officeDocument/2006/relationships/hyperlink" Target="https://treas-secure.state.mi.us/LAFDocSearch/tl41R01.aspx?&amp;lu_id=3426&amp;doc_yr=2016&amp;doc_code=AUD" TargetMode="External"/><Relationship Id="rId1958" Type="http://schemas.openxmlformats.org/officeDocument/2006/relationships/hyperlink" Target="https://treas-secure.state.mi.us/LAFDocSearch/tl41R01.aspx?&amp;lu_id=3862&amp;doc_yr=2016&amp;doc_code=AUD" TargetMode="External"/><Relationship Id="rId12" Type="http://schemas.openxmlformats.org/officeDocument/2006/relationships/hyperlink" Target="https://treas-secure.state.mi.us/LAFDocSearch/tl41R01.aspx?&amp;lu_id=12&amp;doc_yr=2016&amp;doc_code=AUD" TargetMode="External"/><Relationship Id="rId1818" Type="http://schemas.openxmlformats.org/officeDocument/2006/relationships/hyperlink" Target="https://treas-secure.state.mi.us/LAFDocSearch/tl41R01.aspx?&amp;lu_id=3599&amp;doc_yr=2016&amp;doc_code=AUD" TargetMode="External"/><Relationship Id="rId161" Type="http://schemas.openxmlformats.org/officeDocument/2006/relationships/hyperlink" Target="https://treas-secure.state.mi.us/LAFDocSearch/tl41R01.aspx?&amp;lu_id=306&amp;doc_yr=2016&amp;doc_code=AUD" TargetMode="External"/><Relationship Id="rId399" Type="http://schemas.openxmlformats.org/officeDocument/2006/relationships/hyperlink" Target="https://treas-secure.state.mi.us/LAFDocSearch/tl41R01.aspx?&amp;lu_id=692&amp;doc_yr=2016&amp;doc_code=AUD" TargetMode="External"/><Relationship Id="rId2287" Type="http://schemas.openxmlformats.org/officeDocument/2006/relationships/hyperlink" Target="https://treas-secure.state.mi.us/LAFDocSearch/tl41R01.aspx?&amp;lu_id=4596&amp;doc_yr=2016&amp;doc_code=AUD" TargetMode="External"/><Relationship Id="rId2494" Type="http://schemas.openxmlformats.org/officeDocument/2006/relationships/hyperlink" Target="https://treas-secure.state.mi.us/LAFDocSearch/tl41R01.aspx?&amp;lu_id=5102&amp;doc_yr=2016&amp;doc_code=AUD" TargetMode="External"/><Relationship Id="rId259" Type="http://schemas.openxmlformats.org/officeDocument/2006/relationships/hyperlink" Target="https://treas-secure.state.mi.us/LAFDocSearch/tl41R01.aspx?&amp;lu_id=522&amp;doc_yr=2016&amp;doc_code=AUD" TargetMode="External"/><Relationship Id="rId466" Type="http://schemas.openxmlformats.org/officeDocument/2006/relationships/hyperlink" Target="https://treas-secure.state.mi.us/LAFDocSearch/tl41R01.aspx?&amp;lu_id=793&amp;doc_yr=2016&amp;doc_code=AUD" TargetMode="External"/><Relationship Id="rId673" Type="http://schemas.openxmlformats.org/officeDocument/2006/relationships/hyperlink" Target="https://treas-secure.state.mi.us/LAFDocSearch/tl41R01.aspx?&amp;lu_id=1279&amp;doc_yr=2016&amp;doc_code=AUD" TargetMode="External"/><Relationship Id="rId880" Type="http://schemas.openxmlformats.org/officeDocument/2006/relationships/hyperlink" Target="https://treas-secure.state.mi.us/LAFDocSearch/tl41R01.aspx?&amp;lu_id=7097&amp;doc_yr=2016&amp;doc_code=AUD" TargetMode="External"/><Relationship Id="rId1096" Type="http://schemas.openxmlformats.org/officeDocument/2006/relationships/hyperlink" Target="https://treas-secure.state.mi.us/LAFDocSearch/tl41R01.aspx?&amp;lu_id=2134&amp;doc_yr=2016&amp;doc_code=AUD" TargetMode="External"/><Relationship Id="rId2147" Type="http://schemas.openxmlformats.org/officeDocument/2006/relationships/hyperlink" Target="https://treas-secure.state.mi.us/LAFDocSearch/tl41R01.aspx?&amp;lu_id=4395&amp;doc_yr=2016&amp;doc_code=AUD" TargetMode="External"/><Relationship Id="rId2354" Type="http://schemas.openxmlformats.org/officeDocument/2006/relationships/hyperlink" Target="https://treas-secure.state.mi.us/LAFDocSearch/tl41R01.aspx?&amp;lu_id=4842&amp;doc_yr=2016&amp;doc_code=AUD" TargetMode="External"/><Relationship Id="rId2561" Type="http://schemas.openxmlformats.org/officeDocument/2006/relationships/hyperlink" Target="https://treas-secure.state.mi.us/LAFDocSearch/tl41R01.aspx?&amp;lu_id=5200&amp;doc_yr=2016&amp;doc_code=AUD" TargetMode="External"/><Relationship Id="rId119" Type="http://schemas.openxmlformats.org/officeDocument/2006/relationships/hyperlink" Target="https://treas-secure.state.mi.us/LAFDocSearch/tl41R01.aspx?&amp;lu_id=176&amp;doc_yr=2016&amp;doc_code=AUD" TargetMode="External"/><Relationship Id="rId326" Type="http://schemas.openxmlformats.org/officeDocument/2006/relationships/hyperlink" Target="https://treas-secure.state.mi.us/LAFDocSearch/tl41R01.aspx?&amp;lu_id=556&amp;doc_yr=2016&amp;doc_code=AUD" TargetMode="External"/><Relationship Id="rId533" Type="http://schemas.openxmlformats.org/officeDocument/2006/relationships/hyperlink" Target="https://treas-secure.state.mi.us/LAFDocSearch/tl41R01.aspx?&amp;lu_id=900&amp;doc_yr=2016&amp;doc_code=AUD" TargetMode="External"/><Relationship Id="rId978" Type="http://schemas.openxmlformats.org/officeDocument/2006/relationships/hyperlink" Target="https://treas-secure.state.mi.us/LAFDocSearch/tl41R01.aspx?&amp;lu_id=1893&amp;doc_yr=2016&amp;doc_code=AUD" TargetMode="External"/><Relationship Id="rId1163" Type="http://schemas.openxmlformats.org/officeDocument/2006/relationships/hyperlink" Target="https://treas-secure.state.mi.us/LAFDocSearch/tl41R01.aspx?&amp;lu_id=2274&amp;doc_yr=2016&amp;doc_code=AUD" TargetMode="External"/><Relationship Id="rId1370" Type="http://schemas.openxmlformats.org/officeDocument/2006/relationships/hyperlink" Target="https://treas-secure.state.mi.us/LAFDocSearch/tl41R01.aspx?&amp;lu_id=2661&amp;doc_yr=2016&amp;doc_code=AUD" TargetMode="External"/><Relationship Id="rId2007" Type="http://schemas.openxmlformats.org/officeDocument/2006/relationships/hyperlink" Target="https://treas-secure.state.mi.us/LAFDocSearch/tl41R01.aspx?&amp;lu_id=3841&amp;doc_yr=2016&amp;doc_code=AUD" TargetMode="External"/><Relationship Id="rId2214" Type="http://schemas.openxmlformats.org/officeDocument/2006/relationships/hyperlink" Target="https://treas-secure.state.mi.us/LAFDocSearch/tl41R01.aspx?&amp;lu_id=4522&amp;doc_yr=2016&amp;doc_code=AUD" TargetMode="External"/><Relationship Id="rId2659" Type="http://schemas.openxmlformats.org/officeDocument/2006/relationships/hyperlink" Target="https://treas-secure.state.mi.us/LAFDocSearch/tl41R01.aspx?&amp;lu_id=5793&amp;doc_yr=2016&amp;doc_code=AUD" TargetMode="External"/><Relationship Id="rId740" Type="http://schemas.openxmlformats.org/officeDocument/2006/relationships/hyperlink" Target="https://treas-secure.state.mi.us/LAFDocSearch/tl41R01.aspx?&amp;lu_id=1447&amp;doc_yr=2016&amp;doc_code=AUD" TargetMode="External"/><Relationship Id="rId838" Type="http://schemas.openxmlformats.org/officeDocument/2006/relationships/hyperlink" Target="https://treas-secure.state.mi.us/LAFDocSearch/tl41R01.aspx?&amp;lu_id=1553&amp;doc_yr=2016&amp;doc_code=AUD" TargetMode="External"/><Relationship Id="rId1023" Type="http://schemas.openxmlformats.org/officeDocument/2006/relationships/hyperlink" Target="https://treas-secure.state.mi.us/LAFDocSearch/tl41R01.aspx?&amp;lu_id=2002&amp;doc_yr=2016&amp;doc_code=AUD" TargetMode="External"/><Relationship Id="rId1468" Type="http://schemas.openxmlformats.org/officeDocument/2006/relationships/hyperlink" Target="https://treas-secure.state.mi.us/LAFDocSearch/tl41R01.aspx?&amp;lu_id=2918&amp;doc_yr=2016&amp;doc_code=AUD" TargetMode="External"/><Relationship Id="rId1675" Type="http://schemas.openxmlformats.org/officeDocument/2006/relationships/hyperlink" Target="https://treas-secure.state.mi.us/LAFDocSearch/tl41R01.aspx?&amp;lu_id=3328&amp;doc_yr=2016&amp;doc_code=AUD" TargetMode="External"/><Relationship Id="rId1882" Type="http://schemas.openxmlformats.org/officeDocument/2006/relationships/hyperlink" Target="https://treas-secure.state.mi.us/LAFDocSearch/tl41R01.aspx?&amp;lu_id=3750&amp;doc_yr=2016&amp;doc_code=AUD" TargetMode="External"/><Relationship Id="rId2421" Type="http://schemas.openxmlformats.org/officeDocument/2006/relationships/hyperlink" Target="https://treas-secure.state.mi.us/LAFDocSearch/tl41R01.aspx?&amp;lu_id=4911&amp;doc_yr=2016&amp;doc_code=AUD" TargetMode="External"/><Relationship Id="rId2519" Type="http://schemas.openxmlformats.org/officeDocument/2006/relationships/hyperlink" Target="https://treas-secure.state.mi.us/LAFDocSearch/tl41R01.aspx?&amp;lu_id=5117&amp;doc_yr=2016&amp;doc_code=AUD" TargetMode="External"/><Relationship Id="rId2726" Type="http://schemas.openxmlformats.org/officeDocument/2006/relationships/hyperlink" Target="https://treas-secure.state.mi.us/LAFDocSearch/tl41R01.aspx?&amp;lu_id=5850&amp;doc_yr=2016&amp;doc_code=AUD" TargetMode="External"/><Relationship Id="rId600" Type="http://schemas.openxmlformats.org/officeDocument/2006/relationships/hyperlink" Target="https://treas-secure.state.mi.us/LAFDocSearch/tl41R01.aspx?&amp;lu_id=1018&amp;doc_yr=2016&amp;doc_code=AUD" TargetMode="External"/><Relationship Id="rId1230" Type="http://schemas.openxmlformats.org/officeDocument/2006/relationships/hyperlink" Target="https://treas-secure.state.mi.us/LAFDocSearch/tl41R01.aspx?&amp;lu_id=2410&amp;doc_yr=2016&amp;doc_code=AUD" TargetMode="External"/><Relationship Id="rId1328" Type="http://schemas.openxmlformats.org/officeDocument/2006/relationships/hyperlink" Target="https://treas-secure.state.mi.us/LAFDocSearch/tl41R01.aspx?&amp;lu_id=2583&amp;doc_yr=2016&amp;doc_code=AUD" TargetMode="External"/><Relationship Id="rId1535" Type="http://schemas.openxmlformats.org/officeDocument/2006/relationships/hyperlink" Target="https://treas-secure.state.mi.us/LAFDocSearch/tl41R01.aspx?&amp;lu_id=2998&amp;doc_yr=2016&amp;doc_code=AUD" TargetMode="External"/><Relationship Id="rId905" Type="http://schemas.openxmlformats.org/officeDocument/2006/relationships/hyperlink" Target="https://treas-secure.state.mi.us/LAFDocSearch/tl41R01.aspx?&amp;lu_id=1722&amp;doc_yr=2016&amp;doc_code=AUD" TargetMode="External"/><Relationship Id="rId1742" Type="http://schemas.openxmlformats.org/officeDocument/2006/relationships/hyperlink" Target="https://treas-secure.state.mi.us/LAFDocSearch/tl41R01.aspx?&amp;lu_id=3487&amp;doc_yr=2016&amp;doc_code=AUD" TargetMode="External"/><Relationship Id="rId34" Type="http://schemas.openxmlformats.org/officeDocument/2006/relationships/hyperlink" Target="https://treas-secure.state.mi.us/LAFDocSearch/tl41R01.aspx?&amp;lu_id=49&amp;doc_yr=2016&amp;doc_code=AUD" TargetMode="External"/><Relationship Id="rId1602" Type="http://schemas.openxmlformats.org/officeDocument/2006/relationships/hyperlink" Target="https://treas-secure.state.mi.us/LAFDocSearch/tl41R01.aspx?&amp;lu_id=3217&amp;doc_yr=2016&amp;doc_code=AUD" TargetMode="External"/><Relationship Id="rId183" Type="http://schemas.openxmlformats.org/officeDocument/2006/relationships/hyperlink" Target="https://treas-secure.state.mi.us/LAFDocSearch/tl41R01.aspx?&amp;lu_id=286&amp;doc_yr=2016&amp;doc_code=AUD" TargetMode="External"/><Relationship Id="rId390" Type="http://schemas.openxmlformats.org/officeDocument/2006/relationships/hyperlink" Target="https://treas-secure.state.mi.us/LAFDocSearch/tl41R01.aspx?&amp;lu_id=616&amp;doc_yr=2016&amp;doc_code=AUD" TargetMode="External"/><Relationship Id="rId1907" Type="http://schemas.openxmlformats.org/officeDocument/2006/relationships/hyperlink" Target="https://treas-secure.state.mi.us/LAFDocSearch/tl41R01.aspx?&amp;lu_id=3768&amp;doc_yr=2016&amp;doc_code=AUD" TargetMode="External"/><Relationship Id="rId2071" Type="http://schemas.openxmlformats.org/officeDocument/2006/relationships/hyperlink" Target="https://treas-secure.state.mi.us/LAFDocSearch/tl41R01.aspx?&amp;lu_id=4264&amp;doc_yr=2016&amp;doc_code=AUD" TargetMode="External"/><Relationship Id="rId250" Type="http://schemas.openxmlformats.org/officeDocument/2006/relationships/hyperlink" Target="https://treas-secure.state.mi.us/LAFDocSearch/tl41R01.aspx?&amp;lu_id=427&amp;doc_yr=2016&amp;doc_code=AUD" TargetMode="External"/><Relationship Id="rId488" Type="http://schemas.openxmlformats.org/officeDocument/2006/relationships/hyperlink" Target="https://treas-secure.state.mi.us/LAFDocSearch/tl41R01.aspx?&amp;lu_id=820&amp;doc_yr=2016&amp;doc_code=AUD" TargetMode="External"/><Relationship Id="rId695" Type="http://schemas.openxmlformats.org/officeDocument/2006/relationships/hyperlink" Target="https://treas-secure.state.mi.us/LAFDocSearch/tl41R01.aspx?&amp;lu_id=1287&amp;doc_yr=2016&amp;doc_code=AUD" TargetMode="External"/><Relationship Id="rId2169" Type="http://schemas.openxmlformats.org/officeDocument/2006/relationships/hyperlink" Target="https://treas-secure.state.mi.us/LAFDocSearch/tl41R01.aspx?&amp;lu_id=4461&amp;doc_yr=2016&amp;doc_code=AUD" TargetMode="External"/><Relationship Id="rId2376" Type="http://schemas.openxmlformats.org/officeDocument/2006/relationships/hyperlink" Target="https://treas-secure.state.mi.us/LAFDocSearch/tl41R01.aspx?&amp;lu_id=4903&amp;doc_yr=2016&amp;doc_code=AUD" TargetMode="External"/><Relationship Id="rId2583" Type="http://schemas.openxmlformats.org/officeDocument/2006/relationships/hyperlink" Target="https://treas-secure.state.mi.us/LAFDocSearch/tl41R01.aspx?&amp;lu_id=5406&amp;doc_yr=2016&amp;doc_code=AUD" TargetMode="External"/><Relationship Id="rId2790" Type="http://schemas.openxmlformats.org/officeDocument/2006/relationships/hyperlink" Target="https://treas-secure.state.mi.us/LAFDocSearch/tl41R01.aspx?&amp;lu_id=5889&amp;doc_yr=2016&amp;doc_code=AUD" TargetMode="External"/><Relationship Id="rId110" Type="http://schemas.openxmlformats.org/officeDocument/2006/relationships/hyperlink" Target="https://treas-secure.state.mi.us/LAFDocSearch/tl41R01.aspx?&amp;lu_id=171&amp;doc_yr=2016&amp;doc_code=AUD" TargetMode="External"/><Relationship Id="rId348" Type="http://schemas.openxmlformats.org/officeDocument/2006/relationships/hyperlink" Target="https://treas-secure.state.mi.us/LAFDocSearch/tl41R01.aspx?&amp;lu_id=577&amp;doc_yr=2016&amp;doc_code=AUD" TargetMode="External"/><Relationship Id="rId555" Type="http://schemas.openxmlformats.org/officeDocument/2006/relationships/hyperlink" Target="https://treas-secure.state.mi.us/LAFDocSearch/tl41R01.aspx?&amp;lu_id=946&amp;doc_yr=2016&amp;doc_code=AUD" TargetMode="External"/><Relationship Id="rId762" Type="http://schemas.openxmlformats.org/officeDocument/2006/relationships/hyperlink" Target="https://treas-secure.state.mi.us/LAFDocSearch/tl41R01.aspx?&amp;lu_id=1472&amp;doc_yr=2016&amp;doc_code=AUD" TargetMode="External"/><Relationship Id="rId1185" Type="http://schemas.openxmlformats.org/officeDocument/2006/relationships/hyperlink" Target="https://treas-secure.state.mi.us/LAFDocSearch/tl41R01.aspx?&amp;lu_id=2280&amp;doc_yr=2016&amp;doc_code=AUD" TargetMode="External"/><Relationship Id="rId1392" Type="http://schemas.openxmlformats.org/officeDocument/2006/relationships/hyperlink" Target="https://treas-secure.state.mi.us/LAFDocSearch/tl41R01.aspx?&amp;lu_id=2696&amp;doc_yr=2016&amp;doc_code=AUD" TargetMode="External"/><Relationship Id="rId2029" Type="http://schemas.openxmlformats.org/officeDocument/2006/relationships/hyperlink" Target="https://treas-secure.state.mi.us/LAFDocSearch/tl41R01.aspx?&amp;lu_id=3872&amp;doc_yr=2016&amp;doc_code=AUD" TargetMode="External"/><Relationship Id="rId2236" Type="http://schemas.openxmlformats.org/officeDocument/2006/relationships/hyperlink" Target="https://treas-secure.state.mi.us/LAFDocSearch/tl41R01.aspx?&amp;lu_id=6071&amp;doc_yr=2016&amp;doc_code=AUD" TargetMode="External"/><Relationship Id="rId2443" Type="http://schemas.openxmlformats.org/officeDocument/2006/relationships/hyperlink" Target="https://treas-secure.state.mi.us/LAFDocSearch/tl41R01.aspx?&amp;lu_id=5000&amp;doc_yr=2016&amp;doc_code=AUD" TargetMode="External"/><Relationship Id="rId2650" Type="http://schemas.openxmlformats.org/officeDocument/2006/relationships/hyperlink" Target="https://treas-secure.state.mi.us/LAFDocSearch/tl41R01.aspx?&amp;lu_id=5785&amp;doc_yr=2016&amp;doc_code=AUD" TargetMode="External"/><Relationship Id="rId208" Type="http://schemas.openxmlformats.org/officeDocument/2006/relationships/hyperlink" Target="https://treas-secure.state.mi.us/LAFDocSearch/tl41R01.aspx?&amp;lu_id=340&amp;doc_yr=2016&amp;doc_code=AUD" TargetMode="External"/><Relationship Id="rId415" Type="http://schemas.openxmlformats.org/officeDocument/2006/relationships/hyperlink" Target="https://treas-secure.state.mi.us/LAFDocSearch/tl41R01.aspx?&amp;lu_id=695&amp;doc_yr=2016&amp;doc_code=AUD" TargetMode="External"/><Relationship Id="rId622" Type="http://schemas.openxmlformats.org/officeDocument/2006/relationships/hyperlink" Target="https://treas-secure.state.mi.us/LAFDocSearch/tl41R01.aspx?&amp;lu_id=1081&amp;doc_yr=2016&amp;doc_code=AUD" TargetMode="External"/><Relationship Id="rId1045" Type="http://schemas.openxmlformats.org/officeDocument/2006/relationships/hyperlink" Target="https://treas-secure.state.mi.us/LAFDocSearch/tl41R01.aspx?&amp;lu_id=2067&amp;doc_yr=2016&amp;doc_code=AUD" TargetMode="External"/><Relationship Id="rId1252" Type="http://schemas.openxmlformats.org/officeDocument/2006/relationships/hyperlink" Target="https://treas-secure.state.mi.us/LAFDocSearch/tl41R01.aspx?&amp;lu_id=2428&amp;doc_yr=2016&amp;doc_code=AUD" TargetMode="External"/><Relationship Id="rId1697" Type="http://schemas.openxmlformats.org/officeDocument/2006/relationships/hyperlink" Target="https://treas-secure.state.mi.us/LAFDocSearch/tl41R01.aspx?&amp;lu_id=3370&amp;doc_yr=2016&amp;doc_code=AUD" TargetMode="External"/><Relationship Id="rId2303" Type="http://schemas.openxmlformats.org/officeDocument/2006/relationships/hyperlink" Target="https://treas-secure.state.mi.us/LAFDocSearch/tl41R01.aspx?&amp;lu_id=4697&amp;doc_yr=2016&amp;doc_code=AUD" TargetMode="External"/><Relationship Id="rId2510" Type="http://schemas.openxmlformats.org/officeDocument/2006/relationships/hyperlink" Target="https://treas-secure.state.mi.us/LAFDocSearch/tl41R01.aspx?&amp;lu_id=5170&amp;doc_yr=2016&amp;doc_code=AUD" TargetMode="External"/><Relationship Id="rId2748" Type="http://schemas.openxmlformats.org/officeDocument/2006/relationships/hyperlink" Target="https://treas-secure.state.mi.us/LAFDocSearch/tl41R01.aspx?&amp;lu_id=5807&amp;doc_yr=2016&amp;doc_code=AUD" TargetMode="External"/><Relationship Id="rId927" Type="http://schemas.openxmlformats.org/officeDocument/2006/relationships/hyperlink" Target="https://treas-secure.state.mi.us/LAFDocSearch/tl41R01.aspx?&amp;lu_id=1731&amp;doc_yr=2016&amp;doc_code=AUD" TargetMode="External"/><Relationship Id="rId1112" Type="http://schemas.openxmlformats.org/officeDocument/2006/relationships/hyperlink" Target="https://treas-secure.state.mi.us/LAFDocSearch/tl41R01.aspx?&amp;lu_id=2174&amp;doc_yr=2016&amp;doc_code=AUD" TargetMode="External"/><Relationship Id="rId1557" Type="http://schemas.openxmlformats.org/officeDocument/2006/relationships/hyperlink" Target="https://treas-secure.state.mi.us/LAFDocSearch/tl41R01.aspx?&amp;lu_id=3034&amp;doc_yr=2016&amp;doc_code=AUD" TargetMode="External"/><Relationship Id="rId1764" Type="http://schemas.openxmlformats.org/officeDocument/2006/relationships/hyperlink" Target="https://treas-secure.state.mi.us/LAFDocSearch/tl41R01.aspx?&amp;lu_id=3502&amp;doc_yr=2016&amp;doc_code=AUD" TargetMode="External"/><Relationship Id="rId1971" Type="http://schemas.openxmlformats.org/officeDocument/2006/relationships/hyperlink" Target="https://treas-secure.state.mi.us/LAFDocSearch/tl41R01.aspx?&amp;lu_id=3832&amp;doc_yr=2016&amp;doc_code=AUD" TargetMode="External"/><Relationship Id="rId2608" Type="http://schemas.openxmlformats.org/officeDocument/2006/relationships/hyperlink" Target="https://treas-secure.state.mi.us/LAFDocSearch/tl41R01.aspx?&amp;lu_id=5413&amp;doc_yr=2016&amp;doc_code=AUD" TargetMode="External"/><Relationship Id="rId56" Type="http://schemas.openxmlformats.org/officeDocument/2006/relationships/hyperlink" Target="https://treas-secure.state.mi.us/LAFDocSearch/tl41R01.aspx?&amp;lu_id=58&amp;doc_yr=2016&amp;doc_code=AUD" TargetMode="External"/><Relationship Id="rId1417" Type="http://schemas.openxmlformats.org/officeDocument/2006/relationships/hyperlink" Target="https://treas-secure.state.mi.us/LAFDocSearch/tl41R01.aspx?&amp;lu_id=2705&amp;doc_yr=2016&amp;doc_code=AUD" TargetMode="External"/><Relationship Id="rId1624" Type="http://schemas.openxmlformats.org/officeDocument/2006/relationships/hyperlink" Target="https://treas-secure.state.mi.us/LAFDocSearch/tl41R01.aspx?&amp;lu_id=3266&amp;doc_yr=2016&amp;doc_code=AUD" TargetMode="External"/><Relationship Id="rId1831" Type="http://schemas.openxmlformats.org/officeDocument/2006/relationships/hyperlink" Target="https://treas-secure.state.mi.us/LAFDocSearch/tl41R01.aspx?&amp;lu_id=3650&amp;doc_yr=2016&amp;doc_code=AUD" TargetMode="External"/><Relationship Id="rId1929" Type="http://schemas.openxmlformats.org/officeDocument/2006/relationships/hyperlink" Target="https://treas-secure.state.mi.us/LAFDocSearch/tl41R01.aspx?&amp;lu_id=3816&amp;doc_yr=2016&amp;doc_code=AUD" TargetMode="External"/><Relationship Id="rId2093" Type="http://schemas.openxmlformats.org/officeDocument/2006/relationships/hyperlink" Target="https://treas-secure.state.mi.us/LAFDocSearch/tl41R01.aspx?&amp;lu_id=7544&amp;doc_yr=2016&amp;doc_code=AUD" TargetMode="External"/><Relationship Id="rId2398" Type="http://schemas.openxmlformats.org/officeDocument/2006/relationships/hyperlink" Target="https://treas-secure.state.mi.us/LAFDocSearch/tl41R01.aspx?&amp;lu_id=4922&amp;doc_yr=2016&amp;doc_code=AUD" TargetMode="External"/><Relationship Id="rId272" Type="http://schemas.openxmlformats.org/officeDocument/2006/relationships/hyperlink" Target="https://treas-secure.state.mi.us/LAFDocSearch/tl41R01.aspx?&amp;lu_id=548&amp;doc_yr=2016&amp;doc_code=AUD" TargetMode="External"/><Relationship Id="rId577" Type="http://schemas.openxmlformats.org/officeDocument/2006/relationships/hyperlink" Target="https://treas-secure.state.mi.us/LAFDocSearch/tl41R01.aspx?&amp;lu_id=994&amp;doc_yr=2016&amp;doc_code=AUD" TargetMode="External"/><Relationship Id="rId2160" Type="http://schemas.openxmlformats.org/officeDocument/2006/relationships/hyperlink" Target="https://treas-secure.state.mi.us/LAFDocSearch/tl41R01.aspx?&amp;lu_id=4433&amp;doc_yr=2016&amp;doc_code=AUD" TargetMode="External"/><Relationship Id="rId2258" Type="http://schemas.openxmlformats.org/officeDocument/2006/relationships/hyperlink" Target="https://treas-secure.state.mi.us/LAFDocSearch/tl41R01.aspx?&amp;lu_id=4586&amp;doc_yr=2016&amp;doc_code=AUD" TargetMode="External"/><Relationship Id="rId132" Type="http://schemas.openxmlformats.org/officeDocument/2006/relationships/hyperlink" Target="https://treas-secure.state.mi.us/LAFDocSearch/tl41R01.aspx?&amp;lu_id=219&amp;doc_yr=2016&amp;doc_code=AUD" TargetMode="External"/><Relationship Id="rId784" Type="http://schemas.openxmlformats.org/officeDocument/2006/relationships/hyperlink" Target="https://treas-secure.state.mi.us/LAFDocSearch/tl41R01.aspx?&amp;lu_id=1531&amp;doc_yr=2016&amp;doc_code=AUD" TargetMode="External"/><Relationship Id="rId991" Type="http://schemas.openxmlformats.org/officeDocument/2006/relationships/hyperlink" Target="https://treas-secure.state.mi.us/LAFDocSearch/tl41R01.aspx?&amp;lu_id=1984&amp;doc_yr=2016&amp;doc_code=AUD" TargetMode="External"/><Relationship Id="rId1067" Type="http://schemas.openxmlformats.org/officeDocument/2006/relationships/hyperlink" Target="https://treas-secure.state.mi.us/LAFDocSearch/tl41R01.aspx?&amp;lu_id=2068&amp;doc_yr=2016&amp;doc_code=AUD" TargetMode="External"/><Relationship Id="rId2020" Type="http://schemas.openxmlformats.org/officeDocument/2006/relationships/hyperlink" Target="https://treas-secure.state.mi.us/LAFDocSearch/tl41R01.aspx?&amp;lu_id=6004&amp;doc_yr=2016&amp;doc_code=AUD" TargetMode="External"/><Relationship Id="rId2465" Type="http://schemas.openxmlformats.org/officeDocument/2006/relationships/hyperlink" Target="https://treas-secure.state.mi.us/LAFDocSearch/tl41R01.aspx?&amp;lu_id=5024&amp;doc_yr=2016&amp;doc_code=AUD" TargetMode="External"/><Relationship Id="rId2672" Type="http://schemas.openxmlformats.org/officeDocument/2006/relationships/hyperlink" Target="https://treas-secure.state.mi.us/LAFDocSearch/tl41R01.aspx?&amp;lu_id=5429&amp;doc_yr=2016&amp;doc_code=AUD" TargetMode="External"/><Relationship Id="rId437" Type="http://schemas.openxmlformats.org/officeDocument/2006/relationships/hyperlink" Target="https://treas-secure.state.mi.us/LAFDocSearch/tl41R01.aspx?&amp;lu_id=777&amp;doc_yr=2016&amp;doc_code=AUD" TargetMode="External"/><Relationship Id="rId644" Type="http://schemas.openxmlformats.org/officeDocument/2006/relationships/hyperlink" Target="https://treas-secure.state.mi.us/LAFDocSearch/tl41R01.aspx?&amp;lu_id=1089&amp;doc_yr=2016&amp;doc_code=AUD" TargetMode="External"/><Relationship Id="rId851" Type="http://schemas.openxmlformats.org/officeDocument/2006/relationships/hyperlink" Target="https://treas-secure.state.mi.us/LAFDocSearch/tl41R01.aspx?&amp;lu_id=6156&amp;doc_yr=2016&amp;doc_code=AUD" TargetMode="External"/><Relationship Id="rId1274" Type="http://schemas.openxmlformats.org/officeDocument/2006/relationships/hyperlink" Target="https://treas-secure.state.mi.us/LAFDocSearch/tl41R01.aspx?&amp;lu_id=2455&amp;doc_yr=2016&amp;doc_code=AUD" TargetMode="External"/><Relationship Id="rId1481" Type="http://schemas.openxmlformats.org/officeDocument/2006/relationships/hyperlink" Target="https://treas-secure.state.mi.us/LAFDocSearch/tl41R01.aspx?&amp;lu_id=2833&amp;doc_yr=2016&amp;doc_code=AUD" TargetMode="External"/><Relationship Id="rId1579" Type="http://schemas.openxmlformats.org/officeDocument/2006/relationships/hyperlink" Target="https://treas-secure.state.mi.us/LAFDocSearch/tl41R01.aspx?&amp;lu_id=3138&amp;doc_yr=2016&amp;doc_code=AUD" TargetMode="External"/><Relationship Id="rId2118" Type="http://schemas.openxmlformats.org/officeDocument/2006/relationships/hyperlink" Target="https://treas-secure.state.mi.us/LAFDocSearch/tl41R01.aspx?&amp;lu_id=4346&amp;doc_yr=2016&amp;doc_code=AUD" TargetMode="External"/><Relationship Id="rId2325" Type="http://schemas.openxmlformats.org/officeDocument/2006/relationships/hyperlink" Target="https://treas-secure.state.mi.us/LAFDocSearch/tl41R01.aspx?&amp;lu_id=4742&amp;doc_yr=2016&amp;doc_code=AUD" TargetMode="External"/><Relationship Id="rId2532" Type="http://schemas.openxmlformats.org/officeDocument/2006/relationships/hyperlink" Target="https://treas-secure.state.mi.us/LAFDocSearch/tl41R01.aspx?&amp;lu_id=5202&amp;doc_yr=2016&amp;doc_code=AUD" TargetMode="External"/><Relationship Id="rId504" Type="http://schemas.openxmlformats.org/officeDocument/2006/relationships/hyperlink" Target="https://treas-secure.state.mi.us/LAFDocSearch/tl41R01.aspx?&amp;lu_id=872&amp;doc_yr=2016&amp;doc_code=AUD" TargetMode="External"/><Relationship Id="rId711" Type="http://schemas.openxmlformats.org/officeDocument/2006/relationships/hyperlink" Target="https://treas-secure.state.mi.us/LAFDocSearch/tl41R01.aspx?&amp;lu_id=1436&amp;doc_yr=2016&amp;doc_code=AUD" TargetMode="External"/><Relationship Id="rId949" Type="http://schemas.openxmlformats.org/officeDocument/2006/relationships/hyperlink" Target="https://treas-secure.state.mi.us/LAFDocSearch/tl41R01.aspx?&amp;lu_id=1793&amp;doc_yr=2016&amp;doc_code=AUD" TargetMode="External"/><Relationship Id="rId1134" Type="http://schemas.openxmlformats.org/officeDocument/2006/relationships/hyperlink" Target="https://treas-secure.state.mi.us/LAFDocSearch/tl41R01.aspx?&amp;lu_id=2217&amp;doc_yr=2016&amp;doc_code=AUD" TargetMode="External"/><Relationship Id="rId1341" Type="http://schemas.openxmlformats.org/officeDocument/2006/relationships/hyperlink" Target="https://treas-secure.state.mi.us/LAFDocSearch/tl41R01.aspx?&amp;lu_id=2600&amp;doc_yr=2016&amp;doc_code=AUD" TargetMode="External"/><Relationship Id="rId1786" Type="http://schemas.openxmlformats.org/officeDocument/2006/relationships/hyperlink" Target="https://treas-secure.state.mi.us/LAFDocSearch/tl41R01.aspx?&amp;lu_id=3535&amp;doc_yr=2016&amp;doc_code=AUD" TargetMode="External"/><Relationship Id="rId1993" Type="http://schemas.openxmlformats.org/officeDocument/2006/relationships/hyperlink" Target="https://treas-secure.state.mi.us/LAFDocSearch/tl41R01.aspx?&amp;lu_id=3826&amp;doc_yr=2016&amp;doc_code=AUD" TargetMode="External"/><Relationship Id="rId78" Type="http://schemas.openxmlformats.org/officeDocument/2006/relationships/hyperlink" Target="https://treas-secure.state.mi.us/LAFDocSearch/tl41R01.aspx?&amp;lu_id=112&amp;doc_yr=2016&amp;doc_code=AUD" TargetMode="External"/><Relationship Id="rId809" Type="http://schemas.openxmlformats.org/officeDocument/2006/relationships/hyperlink" Target="https://treas-secure.state.mi.us/LAFDocSearch/tl41R01.aspx?&amp;lu_id=1544&amp;doc_yr=2016&amp;doc_code=AUD" TargetMode="External"/><Relationship Id="rId1201" Type="http://schemas.openxmlformats.org/officeDocument/2006/relationships/hyperlink" Target="https://treas-secure.state.mi.us/LAFDocSearch/tl41R01.aspx?&amp;lu_id=2366&amp;doc_yr=2016&amp;doc_code=AUD" TargetMode="External"/><Relationship Id="rId1439" Type="http://schemas.openxmlformats.org/officeDocument/2006/relationships/hyperlink" Target="https://treas-secure.state.mi.us/LAFDocSearch/tl41R01.aspx?&amp;lu_id=2756&amp;doc_yr=2016&amp;doc_code=AUD" TargetMode="External"/><Relationship Id="rId1646" Type="http://schemas.openxmlformats.org/officeDocument/2006/relationships/hyperlink" Target="https://treas-secure.state.mi.us/LAFDocSearch/tl41R01.aspx?&amp;lu_id=3306&amp;doc_yr=2016&amp;doc_code=AUD" TargetMode="External"/><Relationship Id="rId1853" Type="http://schemas.openxmlformats.org/officeDocument/2006/relationships/hyperlink" Target="https://treas-secure.state.mi.us/LAFDocSearch/tl41R01.aspx?&amp;lu_id=3671&amp;doc_yr=2016&amp;doc_code=AUD" TargetMode="External"/><Relationship Id="rId1506" Type="http://schemas.openxmlformats.org/officeDocument/2006/relationships/hyperlink" Target="https://treas-secure.state.mi.us/LAFDocSearch/tl41R01.aspx?&amp;lu_id=2924&amp;doc_yr=2016&amp;doc_code=AUD" TargetMode="External"/><Relationship Id="rId1713" Type="http://schemas.openxmlformats.org/officeDocument/2006/relationships/hyperlink" Target="https://treas-secure.state.mi.us/LAFDocSearch/tl41R01.aspx?&amp;lu_id=3440&amp;doc_yr=2016&amp;doc_code=AUD" TargetMode="External"/><Relationship Id="rId1920" Type="http://schemas.openxmlformats.org/officeDocument/2006/relationships/hyperlink" Target="https://treas-secure.state.mi.us/LAFDocSearch/tl41R01.aspx?&amp;lu_id=3778&amp;doc_yr=2016&amp;doc_code=AUD" TargetMode="External"/><Relationship Id="rId294" Type="http://schemas.openxmlformats.org/officeDocument/2006/relationships/hyperlink" Target="https://treas-secure.state.mi.us/LAFDocSearch/tl41R01.aspx?&amp;lu_id=462&amp;doc_yr=2016&amp;doc_code=AUD" TargetMode="External"/><Relationship Id="rId2182" Type="http://schemas.openxmlformats.org/officeDocument/2006/relationships/hyperlink" Target="https://treas-secure.state.mi.us/LAFDocSearch/tl41R01.aspx?&amp;lu_id=4489&amp;doc_yr=2016&amp;doc_code=AUD" TargetMode="External"/><Relationship Id="rId154" Type="http://schemas.openxmlformats.org/officeDocument/2006/relationships/hyperlink" Target="https://treas-secure.state.mi.us/LAFDocSearch/tl41R01.aspx?&amp;lu_id=274&amp;doc_yr=2016&amp;doc_code=AUD" TargetMode="External"/><Relationship Id="rId361" Type="http://schemas.openxmlformats.org/officeDocument/2006/relationships/hyperlink" Target="https://treas-secure.state.mi.us/LAFDocSearch/tl41R01.aspx?&amp;lu_id=659&amp;doc_yr=2016&amp;doc_code=AUD" TargetMode="External"/><Relationship Id="rId599" Type="http://schemas.openxmlformats.org/officeDocument/2006/relationships/hyperlink" Target="https://treas-secure.state.mi.us/LAFDocSearch/tl41R01.aspx?&amp;lu_id=1040&amp;doc_yr=2016&amp;doc_code=AUD" TargetMode="External"/><Relationship Id="rId2042" Type="http://schemas.openxmlformats.org/officeDocument/2006/relationships/hyperlink" Target="https://treas-secure.state.mi.us/LAFDocSearch/tl41R01.aspx?&amp;lu_id=3848&amp;doc_yr=2016&amp;doc_code=AUD" TargetMode="External"/><Relationship Id="rId2487" Type="http://schemas.openxmlformats.org/officeDocument/2006/relationships/hyperlink" Target="https://treas-secure.state.mi.us/LAFDocSearch/tl41R01.aspx?&amp;lu_id=5119&amp;doc_yr=2016&amp;doc_code=AUD" TargetMode="External"/><Relationship Id="rId2694" Type="http://schemas.openxmlformats.org/officeDocument/2006/relationships/hyperlink" Target="https://treas-secure.state.mi.us/LAFDocSearch/tl41R01.aspx?&amp;lu_id=5822&amp;doc_yr=2016&amp;doc_code=AUD" TargetMode="External"/><Relationship Id="rId459" Type="http://schemas.openxmlformats.org/officeDocument/2006/relationships/hyperlink" Target="https://treas-secure.state.mi.us/LAFDocSearch/tl41R01.aspx?&amp;lu_id=752&amp;doc_yr=2016&amp;doc_code=AUD" TargetMode="External"/><Relationship Id="rId666" Type="http://schemas.openxmlformats.org/officeDocument/2006/relationships/hyperlink" Target="https://treas-secure.state.mi.us/LAFDocSearch/tl41R01.aspx?&amp;lu_id=1105&amp;doc_yr=2016&amp;doc_code=AUD" TargetMode="External"/><Relationship Id="rId873" Type="http://schemas.openxmlformats.org/officeDocument/2006/relationships/hyperlink" Target="https://treas-secure.state.mi.us/LAFDocSearch/tl41R01.aspx?&amp;lu_id=1659&amp;doc_yr=2016&amp;doc_code=AUD" TargetMode="External"/><Relationship Id="rId1089" Type="http://schemas.openxmlformats.org/officeDocument/2006/relationships/hyperlink" Target="https://treas-secure.state.mi.us/LAFDocSearch/tl41R01.aspx?&amp;lu_id=2167&amp;doc_yr=2016&amp;doc_code=AUD" TargetMode="External"/><Relationship Id="rId1296" Type="http://schemas.openxmlformats.org/officeDocument/2006/relationships/hyperlink" Target="https://treas-secure.state.mi.us/LAFDocSearch/tl41R01.aspx?&amp;lu_id=2557&amp;doc_yr=2016&amp;doc_code=AUD" TargetMode="External"/><Relationship Id="rId2347" Type="http://schemas.openxmlformats.org/officeDocument/2006/relationships/hyperlink" Target="https://treas-secure.state.mi.us/LAFDocSearch/tl41R01.aspx?&amp;lu_id=4839&amp;doc_yr=2016&amp;doc_code=AUD" TargetMode="External"/><Relationship Id="rId2554" Type="http://schemas.openxmlformats.org/officeDocument/2006/relationships/hyperlink" Target="https://treas-secure.state.mi.us/LAFDocSearch/tl41R01.aspx?&amp;lu_id=5206&amp;doc_yr=2016&amp;doc_code=AUD" TargetMode="External"/><Relationship Id="rId221" Type="http://schemas.openxmlformats.org/officeDocument/2006/relationships/hyperlink" Target="https://treas-secure.state.mi.us/LAFDocSearch/tl41R01.aspx?&amp;lu_id=378&amp;doc_yr=2016&amp;doc_code=AUD" TargetMode="External"/><Relationship Id="rId319" Type="http://schemas.openxmlformats.org/officeDocument/2006/relationships/hyperlink" Target="https://treas-secure.state.mi.us/LAFDocSearch/tl41R01.aspx?&amp;lu_id=456&amp;doc_yr=2016&amp;doc_code=AUD" TargetMode="External"/><Relationship Id="rId526" Type="http://schemas.openxmlformats.org/officeDocument/2006/relationships/hyperlink" Target="https://treas-secure.state.mi.us/LAFDocSearch/tl41R01.aspx?&amp;lu_id=895&amp;doc_yr=2016&amp;doc_code=AUD" TargetMode="External"/><Relationship Id="rId1156" Type="http://schemas.openxmlformats.org/officeDocument/2006/relationships/hyperlink" Target="https://treas-secure.state.mi.us/LAFDocSearch/tl41R01.aspx?&amp;lu_id=2227&amp;doc_yr=2016&amp;doc_code=AUD" TargetMode="External"/><Relationship Id="rId1363" Type="http://schemas.openxmlformats.org/officeDocument/2006/relationships/hyperlink" Target="https://treas-secure.state.mi.us/LAFDocSearch/tl41R01.aspx?&amp;lu_id=2623&amp;doc_yr=2016&amp;doc_code=AUD" TargetMode="External"/><Relationship Id="rId2207" Type="http://schemas.openxmlformats.org/officeDocument/2006/relationships/hyperlink" Target="https://treas-secure.state.mi.us/LAFDocSearch/tl41R01.aspx?&amp;lu_id=4517&amp;doc_yr=2016&amp;doc_code=AUD" TargetMode="External"/><Relationship Id="rId2761" Type="http://schemas.openxmlformats.org/officeDocument/2006/relationships/hyperlink" Target="https://treas-secure.state.mi.us/LAFDocSearch/tl41R01.aspx?&amp;lu_id=5768&amp;doc_yr=2016&amp;doc_code=AUD" TargetMode="External"/><Relationship Id="rId733" Type="http://schemas.openxmlformats.org/officeDocument/2006/relationships/hyperlink" Target="https://treas-secure.state.mi.us/LAFDocSearch/tl41R01.aspx?&amp;lu_id=1460&amp;doc_yr=2016&amp;doc_code=AUD" TargetMode="External"/><Relationship Id="rId940" Type="http://schemas.openxmlformats.org/officeDocument/2006/relationships/hyperlink" Target="https://treas-secure.state.mi.us/LAFDocSearch/tl41R01.aspx?&amp;lu_id=1887&amp;doc_yr=2016&amp;doc_code=AUD" TargetMode="External"/><Relationship Id="rId1016" Type="http://schemas.openxmlformats.org/officeDocument/2006/relationships/hyperlink" Target="https://treas-secure.state.mi.us/LAFDocSearch/tl41R01.aspx?&amp;lu_id=1912&amp;doc_yr=2016&amp;doc_code=AUD" TargetMode="External"/><Relationship Id="rId1570" Type="http://schemas.openxmlformats.org/officeDocument/2006/relationships/hyperlink" Target="https://treas-secure.state.mi.us/LAFDocSearch/tl41R01.aspx?&amp;lu_id=2983&amp;doc_yr=2016&amp;doc_code=AUD" TargetMode="External"/><Relationship Id="rId1668" Type="http://schemas.openxmlformats.org/officeDocument/2006/relationships/hyperlink" Target="https://treas-secure.state.mi.us/LAFDocSearch/tl41R01.aspx?&amp;lu_id=3348&amp;doc_yr=2016&amp;doc_code=AUD" TargetMode="External"/><Relationship Id="rId1875" Type="http://schemas.openxmlformats.org/officeDocument/2006/relationships/hyperlink" Target="https://treas-secure.state.mi.us/LAFDocSearch/tl41R01.aspx?&amp;lu_id=3703&amp;doc_yr=2016&amp;doc_code=AUD" TargetMode="External"/><Relationship Id="rId2414" Type="http://schemas.openxmlformats.org/officeDocument/2006/relationships/hyperlink" Target="https://treas-secure.state.mi.us/LAFDocSearch/tl41R01.aspx?&amp;lu_id=4949&amp;doc_yr=2016&amp;doc_code=AUD" TargetMode="External"/><Relationship Id="rId2621" Type="http://schemas.openxmlformats.org/officeDocument/2006/relationships/hyperlink" Target="https://treas-secure.state.mi.us/LAFDocSearch/tl41R01.aspx?&amp;lu_id=5283&amp;doc_yr=2016&amp;doc_code=AUD" TargetMode="External"/><Relationship Id="rId2719" Type="http://schemas.openxmlformats.org/officeDocument/2006/relationships/hyperlink" Target="https://treas-secure.state.mi.us/LAFDocSearch/tl41R01.aspx?&amp;lu_id=5447&amp;doc_yr=2016&amp;doc_code=AUD" TargetMode="External"/><Relationship Id="rId800" Type="http://schemas.openxmlformats.org/officeDocument/2006/relationships/hyperlink" Target="https://treas-secure.state.mi.us/LAFDocSearch/tl41R01.aspx?&amp;lu_id=1533&amp;doc_yr=2016&amp;doc_code=AUD" TargetMode="External"/><Relationship Id="rId1223" Type="http://schemas.openxmlformats.org/officeDocument/2006/relationships/hyperlink" Target="https://treas-secure.state.mi.us/LAFDocSearch/tl41R01.aspx?&amp;lu_id=2400&amp;doc_yr=2016&amp;doc_code=AUD" TargetMode="External"/><Relationship Id="rId1430" Type="http://schemas.openxmlformats.org/officeDocument/2006/relationships/hyperlink" Target="https://treas-secure.state.mi.us/LAFDocSearch/tl41R01.aspx?&amp;lu_id=2760&amp;doc_yr=2016&amp;doc_code=AUD" TargetMode="External"/><Relationship Id="rId1528" Type="http://schemas.openxmlformats.org/officeDocument/2006/relationships/hyperlink" Target="https://treas-secure.state.mi.us/LAFDocSearch/tl41R01.aspx?&amp;lu_id=2949&amp;doc_yr=2016&amp;doc_code=AUD" TargetMode="External"/><Relationship Id="rId1735" Type="http://schemas.openxmlformats.org/officeDocument/2006/relationships/hyperlink" Target="https://treas-secure.state.mi.us/LAFDocSearch/tl41R01.aspx?&amp;lu_id=3460&amp;doc_yr=2016&amp;doc_code=AUD" TargetMode="External"/><Relationship Id="rId1942" Type="http://schemas.openxmlformats.org/officeDocument/2006/relationships/hyperlink" Target="https://treas-secure.state.mi.us/LAFDocSearch/tl41R01.aspx?&amp;lu_id=3828&amp;doc_yr=2016&amp;doc_code=AUD" TargetMode="External"/><Relationship Id="rId27" Type="http://schemas.openxmlformats.org/officeDocument/2006/relationships/hyperlink" Target="https://treas-secure.state.mi.us/LAFDocSearch/tl41R01.aspx?&amp;lu_id=46&amp;doc_yr=2016&amp;doc_code=AUD" TargetMode="External"/><Relationship Id="rId1802" Type="http://schemas.openxmlformats.org/officeDocument/2006/relationships/hyperlink" Target="https://treas-secure.state.mi.us/LAFDocSearch/tl41R01.aspx?&amp;lu_id=3525&amp;doc_yr=2016&amp;doc_code=AUD" TargetMode="External"/><Relationship Id="rId176" Type="http://schemas.openxmlformats.org/officeDocument/2006/relationships/hyperlink" Target="https://treas-secure.state.mi.us/LAFDocSearch/tl41R01.aspx?&amp;lu_id=283&amp;doc_yr=2016&amp;doc_code=AUD" TargetMode="External"/><Relationship Id="rId383" Type="http://schemas.openxmlformats.org/officeDocument/2006/relationships/hyperlink" Target="https://treas-secure.state.mi.us/LAFDocSearch/tl41R01.aspx?&amp;lu_id=612&amp;doc_yr=2016&amp;doc_code=AUD" TargetMode="External"/><Relationship Id="rId590" Type="http://schemas.openxmlformats.org/officeDocument/2006/relationships/hyperlink" Target="https://treas-secure.state.mi.us/LAFDocSearch/tl41R01.aspx?&amp;lu_id=1007&amp;doc_yr=2016&amp;doc_code=AUD" TargetMode="External"/><Relationship Id="rId2064" Type="http://schemas.openxmlformats.org/officeDocument/2006/relationships/hyperlink" Target="https://treas-secure.state.mi.us/LAFDocSearch/tl41R01.aspx?&amp;lu_id=4228&amp;doc_yr=2016&amp;doc_code=AUD" TargetMode="External"/><Relationship Id="rId2271" Type="http://schemas.openxmlformats.org/officeDocument/2006/relationships/hyperlink" Target="https://treas-secure.state.mi.us/LAFDocSearch/tl41R01.aspx?&amp;lu_id=4591&amp;doc_yr=2016&amp;doc_code=AUD" TargetMode="External"/><Relationship Id="rId243" Type="http://schemas.openxmlformats.org/officeDocument/2006/relationships/hyperlink" Target="https://treas-secure.state.mi.us/LAFDocSearch/tl41R01.aspx?&amp;lu_id=399&amp;doc_yr=2016&amp;doc_code=AUD" TargetMode="External"/><Relationship Id="rId450" Type="http://schemas.openxmlformats.org/officeDocument/2006/relationships/hyperlink" Target="https://treas-secure.state.mi.us/LAFDocSearch/tl41R01.aspx?&amp;lu_id=772&amp;doc_yr=2016&amp;doc_code=AUD" TargetMode="External"/><Relationship Id="rId688" Type="http://schemas.openxmlformats.org/officeDocument/2006/relationships/hyperlink" Target="https://treas-secure.state.mi.us/LAFDocSearch/tl41R01.aspx?&amp;lu_id=1302&amp;doc_yr=2016&amp;doc_code=AUD" TargetMode="External"/><Relationship Id="rId895" Type="http://schemas.openxmlformats.org/officeDocument/2006/relationships/hyperlink" Target="https://treas-secure.state.mi.us/LAFDocSearch/tl41R01.aspx?&amp;lu_id=1667&amp;doc_yr=2016&amp;doc_code=AUD" TargetMode="External"/><Relationship Id="rId1080" Type="http://schemas.openxmlformats.org/officeDocument/2006/relationships/hyperlink" Target="https://treas-secure.state.mi.us/LAFDocSearch/tl41R01.aspx?&amp;lu_id=2128&amp;doc_yr=2016&amp;doc_code=AUD" TargetMode="External"/><Relationship Id="rId2131" Type="http://schemas.openxmlformats.org/officeDocument/2006/relationships/hyperlink" Target="https://treas-secure.state.mi.us/LAFDocSearch/tl41R01.aspx?&amp;lu_id=4381&amp;doc_yr=2016&amp;doc_code=AUD" TargetMode="External"/><Relationship Id="rId2369" Type="http://schemas.openxmlformats.org/officeDocument/2006/relationships/hyperlink" Target="https://treas-secure.state.mi.us/LAFDocSearch/tl41R01.aspx?&amp;lu_id=4885&amp;doc_yr=2016&amp;doc_code=AUD" TargetMode="External"/><Relationship Id="rId2576" Type="http://schemas.openxmlformats.org/officeDocument/2006/relationships/hyperlink" Target="https://treas-secure.state.mi.us/LAFDocSearch/tl41R01.aspx?&amp;lu_id=5196&amp;doc_yr=2016&amp;doc_code=AUD" TargetMode="External"/><Relationship Id="rId2783" Type="http://schemas.openxmlformats.org/officeDocument/2006/relationships/hyperlink" Target="https://treas-secure.state.mi.us/LAFDocSearch/tl41R01.aspx?&amp;lu_id=5896&amp;doc_yr=2016&amp;doc_code=AUD" TargetMode="External"/><Relationship Id="rId103" Type="http://schemas.openxmlformats.org/officeDocument/2006/relationships/hyperlink" Target="https://treas-secure.state.mi.us/LAFDocSearch/tl41R01.aspx?&amp;lu_id=179&amp;doc_yr=2016&amp;doc_code=AUD" TargetMode="External"/><Relationship Id="rId310" Type="http://schemas.openxmlformats.org/officeDocument/2006/relationships/hyperlink" Target="https://treas-secure.state.mi.us/LAFDocSearch/tl41R01.aspx?&amp;lu_id=529&amp;doc_yr=2016&amp;doc_code=AUD" TargetMode="External"/><Relationship Id="rId548" Type="http://schemas.openxmlformats.org/officeDocument/2006/relationships/hyperlink" Target="https://treas-secure.state.mi.us/LAFDocSearch/tl41R01.aspx?&amp;lu_id=975&amp;doc_yr=2016&amp;doc_code=AUD" TargetMode="External"/><Relationship Id="rId755" Type="http://schemas.openxmlformats.org/officeDocument/2006/relationships/hyperlink" Target="https://treas-secure.state.mi.us/LAFDocSearch/tl41R01.aspx?&amp;lu_id=1448&amp;doc_yr=2016&amp;doc_code=AUD" TargetMode="External"/><Relationship Id="rId962" Type="http://schemas.openxmlformats.org/officeDocument/2006/relationships/hyperlink" Target="https://treas-secure.state.mi.us/LAFDocSearch/tl41R01.aspx?&amp;lu_id=1816&amp;doc_yr=2016&amp;doc_code=AUD" TargetMode="External"/><Relationship Id="rId1178" Type="http://schemas.openxmlformats.org/officeDocument/2006/relationships/hyperlink" Target="https://treas-secure.state.mi.us/LAFDocSearch/tl41R01.aspx?&amp;lu_id=2333&amp;doc_yr=2016&amp;doc_code=AUD" TargetMode="External"/><Relationship Id="rId1385" Type="http://schemas.openxmlformats.org/officeDocument/2006/relationships/hyperlink" Target="https://treas-secure.state.mi.us/LAFDocSearch/tl41R01.aspx?&amp;lu_id=2689&amp;doc_yr=2016&amp;doc_code=AUD" TargetMode="External"/><Relationship Id="rId1592" Type="http://schemas.openxmlformats.org/officeDocument/2006/relationships/hyperlink" Target="https://treas-secure.state.mi.us/LAFDocSearch/tl41R01.aspx?&amp;lu_id=3170&amp;doc_yr=2016&amp;doc_code=AUD" TargetMode="External"/><Relationship Id="rId2229" Type="http://schemas.openxmlformats.org/officeDocument/2006/relationships/hyperlink" Target="https://treas-secure.state.mi.us/LAFDocSearch/tl41R01.aspx?&amp;lu_id=4549&amp;doc_yr=2016&amp;doc_code=AUD" TargetMode="External"/><Relationship Id="rId2436" Type="http://schemas.openxmlformats.org/officeDocument/2006/relationships/hyperlink" Target="https://treas-secure.state.mi.us/LAFDocSearch/tl41R01.aspx?&amp;lu_id=5009&amp;doc_yr=2016&amp;doc_code=AUD" TargetMode="External"/><Relationship Id="rId2643" Type="http://schemas.openxmlformats.org/officeDocument/2006/relationships/hyperlink" Target="https://treas-secure.state.mi.us/LAFDocSearch/tl41R01.aspx?&amp;lu_id=5287&amp;doc_yr=2016&amp;doc_code=AUD" TargetMode="External"/><Relationship Id="rId91" Type="http://schemas.openxmlformats.org/officeDocument/2006/relationships/hyperlink" Target="https://treas-secure.state.mi.us/LAFDocSearch/tl41R01.aspx?&amp;lu_id=160&amp;doc_yr=2016&amp;doc_code=AUD" TargetMode="External"/><Relationship Id="rId408" Type="http://schemas.openxmlformats.org/officeDocument/2006/relationships/hyperlink" Target="https://treas-secure.state.mi.us/LAFDocSearch/tl41R01.aspx?&amp;lu_id=707&amp;doc_yr=2016&amp;doc_code=AUD" TargetMode="External"/><Relationship Id="rId615" Type="http://schemas.openxmlformats.org/officeDocument/2006/relationships/hyperlink" Target="https://treas-secure.state.mi.us/LAFDocSearch/tl41R01.aspx?&amp;lu_id=1052&amp;doc_yr=2016&amp;doc_code=AUD" TargetMode="External"/><Relationship Id="rId822" Type="http://schemas.openxmlformats.org/officeDocument/2006/relationships/hyperlink" Target="https://treas-secure.state.mi.us/LAFDocSearch/tl41R01.aspx?&amp;lu_id=1548&amp;doc_yr=2016&amp;doc_code=AUD" TargetMode="External"/><Relationship Id="rId1038" Type="http://schemas.openxmlformats.org/officeDocument/2006/relationships/hyperlink" Target="https://treas-secure.state.mi.us/LAFDocSearch/tl41R01.aspx?&amp;lu_id=2103&amp;doc_yr=2016&amp;doc_code=AUD" TargetMode="External"/><Relationship Id="rId1245" Type="http://schemas.openxmlformats.org/officeDocument/2006/relationships/hyperlink" Target="https://treas-secure.state.mi.us/LAFDocSearch/tl41R01.aspx?&amp;lu_id=2407&amp;doc_yr=2016&amp;doc_code=AUD" TargetMode="External"/><Relationship Id="rId1452" Type="http://schemas.openxmlformats.org/officeDocument/2006/relationships/hyperlink" Target="https://treas-secure.state.mi.us/LAFDocSearch/tl41R01.aspx?&amp;lu_id=2745&amp;doc_yr=2016&amp;doc_code=AUD" TargetMode="External"/><Relationship Id="rId1897" Type="http://schemas.openxmlformats.org/officeDocument/2006/relationships/hyperlink" Target="https://treas-secure.state.mi.us/LAFDocSearch/tl41R01.aspx?&amp;lu_id=3746&amp;doc_yr=2016&amp;doc_code=AUD" TargetMode="External"/><Relationship Id="rId2503" Type="http://schemas.openxmlformats.org/officeDocument/2006/relationships/hyperlink" Target="https://treas-secure.state.mi.us/LAFDocSearch/tl41R01.aspx?&amp;lu_id=5168&amp;doc_yr=2016&amp;doc_code=AUD" TargetMode="External"/><Relationship Id="rId1105" Type="http://schemas.openxmlformats.org/officeDocument/2006/relationships/hyperlink" Target="https://treas-secure.state.mi.us/LAFDocSearch/tl41R01.aspx?&amp;lu_id=2183&amp;doc_yr=2016&amp;doc_code=AUD" TargetMode="External"/><Relationship Id="rId1312" Type="http://schemas.openxmlformats.org/officeDocument/2006/relationships/hyperlink" Target="https://treas-secure.state.mi.us/LAFDocSearch/tl41R01.aspx?&amp;lu_id=2451&amp;doc_yr=2016&amp;doc_code=AUD" TargetMode="External"/><Relationship Id="rId1757" Type="http://schemas.openxmlformats.org/officeDocument/2006/relationships/hyperlink" Target="https://treas-secure.state.mi.us/LAFDocSearch/tl41R01.aspx?&amp;lu_id=3508&amp;doc_yr=2016&amp;doc_code=AUD" TargetMode="External"/><Relationship Id="rId1964" Type="http://schemas.openxmlformats.org/officeDocument/2006/relationships/hyperlink" Target="https://treas-secure.state.mi.us/LAFDocSearch/tl41R01.aspx?&amp;lu_id=3855&amp;doc_yr=2016&amp;doc_code=AUD" TargetMode="External"/><Relationship Id="rId2710" Type="http://schemas.openxmlformats.org/officeDocument/2006/relationships/hyperlink" Target="https://treas-secure.state.mi.us/LAFDocSearch/tl41R01.aspx?&amp;lu_id=5443&amp;doc_yr=2016&amp;doc_code=AUD" TargetMode="External"/><Relationship Id="rId49" Type="http://schemas.openxmlformats.org/officeDocument/2006/relationships/hyperlink" Target="https://treas-secure.state.mi.us/LAFDocSearch/tl41R01.aspx?&amp;lu_id=121&amp;doc_yr=2016&amp;doc_code=AUD" TargetMode="External"/><Relationship Id="rId1617" Type="http://schemas.openxmlformats.org/officeDocument/2006/relationships/hyperlink" Target="https://treas-secure.state.mi.us/LAFDocSearch/tl41R01.aspx?&amp;lu_id=3219&amp;doc_yr=2016&amp;doc_code=AUD" TargetMode="External"/><Relationship Id="rId1824" Type="http://schemas.openxmlformats.org/officeDocument/2006/relationships/hyperlink" Target="https://treas-secure.state.mi.us/LAFDocSearch/tl41R01.aspx?&amp;lu_id=3658&amp;doc_yr=2016&amp;doc_code=AUD" TargetMode="External"/><Relationship Id="rId198" Type="http://schemas.openxmlformats.org/officeDocument/2006/relationships/hyperlink" Target="https://treas-secure.state.mi.us/LAFDocSearch/tl41R01.aspx?&amp;lu_id=383&amp;doc_yr=2016&amp;doc_code=AUD" TargetMode="External"/><Relationship Id="rId2086" Type="http://schemas.openxmlformats.org/officeDocument/2006/relationships/hyperlink" Target="https://treas-secure.state.mi.us/LAFDocSearch/tl41R01.aspx?&amp;lu_id=4285&amp;doc_yr=2016&amp;doc_code=AUD" TargetMode="External"/><Relationship Id="rId2293" Type="http://schemas.openxmlformats.org/officeDocument/2006/relationships/hyperlink" Target="https://treas-secure.state.mi.us/LAFDocSearch/tl41R01.aspx?&amp;lu_id=4677&amp;doc_yr=2016&amp;doc_code=AUD" TargetMode="External"/><Relationship Id="rId2598" Type="http://schemas.openxmlformats.org/officeDocument/2006/relationships/hyperlink" Target="https://treas-secure.state.mi.us/LAFDocSearch/tl41R01.aspx?&amp;lu_id=5395&amp;doc_yr=2016&amp;doc_code=AUD" TargetMode="External"/><Relationship Id="rId265" Type="http://schemas.openxmlformats.org/officeDocument/2006/relationships/hyperlink" Target="https://treas-secure.state.mi.us/LAFDocSearch/tl41R01.aspx?&amp;lu_id=531&amp;doc_yr=2016&amp;doc_code=AUD" TargetMode="External"/><Relationship Id="rId472" Type="http://schemas.openxmlformats.org/officeDocument/2006/relationships/hyperlink" Target="https://treas-secure.state.mi.us/LAFDocSearch/tl41R01.aspx?&amp;lu_id=794&amp;doc_yr=2016&amp;doc_code=AUD" TargetMode="External"/><Relationship Id="rId2153" Type="http://schemas.openxmlformats.org/officeDocument/2006/relationships/hyperlink" Target="https://treas-secure.state.mi.us/LAFDocSearch/tl41R01.aspx?&amp;lu_id=4385&amp;doc_yr=2016&amp;doc_code=AUD" TargetMode="External"/><Relationship Id="rId2360" Type="http://schemas.openxmlformats.org/officeDocument/2006/relationships/hyperlink" Target="https://treas-secure.state.mi.us/LAFDocSearch/tl41R01.aspx?&amp;lu_id=4846&amp;doc_yr=2016&amp;doc_code=AUD" TargetMode="External"/><Relationship Id="rId125" Type="http://schemas.openxmlformats.org/officeDocument/2006/relationships/hyperlink" Target="https://treas-secure.state.mi.us/LAFDocSearch/tl41R01.aspx?&amp;lu_id=223&amp;doc_yr=2016&amp;doc_code=AUD" TargetMode="External"/><Relationship Id="rId332" Type="http://schemas.openxmlformats.org/officeDocument/2006/relationships/hyperlink" Target="https://treas-secure.state.mi.us/LAFDocSearch/tl41R01.aspx?&amp;lu_id=589&amp;doc_yr=2016&amp;doc_code=AUD" TargetMode="External"/><Relationship Id="rId777" Type="http://schemas.openxmlformats.org/officeDocument/2006/relationships/hyperlink" Target="https://treas-secure.state.mi.us/LAFDocSearch/tl41R01.aspx?&amp;lu_id=1479&amp;doc_yr=2016&amp;doc_code=AUD" TargetMode="External"/><Relationship Id="rId984" Type="http://schemas.openxmlformats.org/officeDocument/2006/relationships/hyperlink" Target="https://treas-secure.state.mi.us/LAFDocSearch/tl41R01.aspx?&amp;lu_id=1811&amp;doc_yr=2016&amp;doc_code=AUD" TargetMode="External"/><Relationship Id="rId2013" Type="http://schemas.openxmlformats.org/officeDocument/2006/relationships/hyperlink" Target="https://treas-secure.state.mi.us/LAFDocSearch/tl41R01.aspx?&amp;lu_id=4129&amp;doc_yr=2016&amp;doc_code=AUD" TargetMode="External"/><Relationship Id="rId2220" Type="http://schemas.openxmlformats.org/officeDocument/2006/relationships/hyperlink" Target="https://treas-secure.state.mi.us/LAFDocSearch/tl41R01.aspx?&amp;lu_id=4543&amp;doc_yr=2016&amp;doc_code=AUD" TargetMode="External"/><Relationship Id="rId2458" Type="http://schemas.openxmlformats.org/officeDocument/2006/relationships/hyperlink" Target="https://treas-secure.state.mi.us/LAFDocSearch/tl41R01.aspx?&amp;lu_id=5022&amp;doc_yr=2016&amp;doc_code=AUD" TargetMode="External"/><Relationship Id="rId2665" Type="http://schemas.openxmlformats.org/officeDocument/2006/relationships/hyperlink" Target="https://treas-secure.state.mi.us/LAFDocSearch/tl41R01.aspx?&amp;lu_id=5417&amp;doc_yr=2016&amp;doc_code=AUD" TargetMode="External"/><Relationship Id="rId637" Type="http://schemas.openxmlformats.org/officeDocument/2006/relationships/hyperlink" Target="https://treas-secure.state.mi.us/LAFDocSearch/tl41R01.aspx?&amp;lu_id=1095&amp;doc_yr=2016&amp;doc_code=AUD" TargetMode="External"/><Relationship Id="rId844" Type="http://schemas.openxmlformats.org/officeDocument/2006/relationships/hyperlink" Target="https://treas-secure.state.mi.us/LAFDocSearch/tl41R01.aspx?&amp;lu_id=1599&amp;doc_yr=2016&amp;doc_code=AUD" TargetMode="External"/><Relationship Id="rId1267" Type="http://schemas.openxmlformats.org/officeDocument/2006/relationships/hyperlink" Target="https://treas-secure.state.mi.us/LAFDocSearch/tl41R01.aspx?&amp;lu_id=2436&amp;doc_yr=2016&amp;doc_code=AUD" TargetMode="External"/><Relationship Id="rId1474" Type="http://schemas.openxmlformats.org/officeDocument/2006/relationships/hyperlink" Target="https://treas-secure.state.mi.us/LAFDocSearch/tl41R01.aspx?&amp;lu_id=2905&amp;doc_yr=2016&amp;doc_code=AUD" TargetMode="External"/><Relationship Id="rId1681" Type="http://schemas.openxmlformats.org/officeDocument/2006/relationships/hyperlink" Target="https://treas-secure.state.mi.us/LAFDocSearch/tl41R01.aspx?&amp;lu_id=3375&amp;doc_yr=2016&amp;doc_code=AUD" TargetMode="External"/><Relationship Id="rId2318" Type="http://schemas.openxmlformats.org/officeDocument/2006/relationships/hyperlink" Target="https://treas-secure.state.mi.us/LAFDocSearch/tl41R01.aspx?&amp;lu_id=4734&amp;doc_yr=2016&amp;doc_code=AUD" TargetMode="External"/><Relationship Id="rId2525" Type="http://schemas.openxmlformats.org/officeDocument/2006/relationships/hyperlink" Target="https://treas-secure.state.mi.us/LAFDocSearch/tl41R01.aspx?&amp;lu_id=5179&amp;doc_yr=2016&amp;doc_code=AUD" TargetMode="External"/><Relationship Id="rId2732" Type="http://schemas.openxmlformats.org/officeDocument/2006/relationships/hyperlink" Target="https://treas-secure.state.mi.us/LAFDocSearch/tl41R01.aspx?&amp;lu_id=5852&amp;doc_yr=2016&amp;doc_code=AUD" TargetMode="External"/><Relationship Id="rId704" Type="http://schemas.openxmlformats.org/officeDocument/2006/relationships/hyperlink" Target="https://treas-secure.state.mi.us/LAFDocSearch/tl41R01.aspx?&amp;lu_id=1330&amp;doc_yr=2016&amp;doc_code=AUD" TargetMode="External"/><Relationship Id="rId911" Type="http://schemas.openxmlformats.org/officeDocument/2006/relationships/hyperlink" Target="https://treas-secure.state.mi.us/LAFDocSearch/tl41R01.aspx?&amp;lu_id=1766&amp;doc_yr=2016&amp;doc_code=AUD" TargetMode="External"/><Relationship Id="rId1127" Type="http://schemas.openxmlformats.org/officeDocument/2006/relationships/hyperlink" Target="https://treas-secure.state.mi.us/LAFDocSearch/tl41R01.aspx?&amp;lu_id=2213&amp;doc_yr=2016&amp;doc_code=AUD" TargetMode="External"/><Relationship Id="rId1334" Type="http://schemas.openxmlformats.org/officeDocument/2006/relationships/hyperlink" Target="https://treas-secure.state.mi.us/LAFDocSearch/tl41R01.aspx?&amp;lu_id=2470&amp;doc_yr=2016&amp;doc_code=AUD" TargetMode="External"/><Relationship Id="rId1541" Type="http://schemas.openxmlformats.org/officeDocument/2006/relationships/hyperlink" Target="https://treas-secure.state.mi.us/LAFDocSearch/tl41R01.aspx?&amp;lu_id=2977&amp;doc_yr=2016&amp;doc_code=AUD" TargetMode="External"/><Relationship Id="rId1779" Type="http://schemas.openxmlformats.org/officeDocument/2006/relationships/hyperlink" Target="https://treas-secure.state.mi.us/LAFDocSearch/tl41R01.aspx?&amp;lu_id=3546&amp;doc_yr=2016&amp;doc_code=AUD" TargetMode="External"/><Relationship Id="rId1986" Type="http://schemas.openxmlformats.org/officeDocument/2006/relationships/hyperlink" Target="https://treas-secure.state.mi.us/LAFDocSearch/tl41R01.aspx?&amp;lu_id=3884&amp;doc_yr=2016&amp;doc_code=AUD" TargetMode="External"/><Relationship Id="rId40" Type="http://schemas.openxmlformats.org/officeDocument/2006/relationships/hyperlink" Target="https://treas-secure.state.mi.us/LAFDocSearch/tl41R01.aspx?&amp;lu_id=102&amp;doc_yr=2016&amp;doc_code=AUD" TargetMode="External"/><Relationship Id="rId1401" Type="http://schemas.openxmlformats.org/officeDocument/2006/relationships/hyperlink" Target="https://treas-secure.state.mi.us/LAFDocSearch/tl41R01.aspx?&amp;lu_id=2664&amp;doc_yr=2016&amp;doc_code=AUD" TargetMode="External"/><Relationship Id="rId1639" Type="http://schemas.openxmlformats.org/officeDocument/2006/relationships/hyperlink" Target="https://treas-secure.state.mi.us/LAFDocSearch/tl41R01.aspx?&amp;lu_id=3268&amp;doc_yr=2016&amp;doc_code=AUD" TargetMode="External"/><Relationship Id="rId1846" Type="http://schemas.openxmlformats.org/officeDocument/2006/relationships/hyperlink" Target="https://treas-secure.state.mi.us/LAFDocSearch/tl41R01.aspx?&amp;lu_id=6199&amp;doc_yr=2016&amp;doc_code=AUD" TargetMode="External"/><Relationship Id="rId1706" Type="http://schemas.openxmlformats.org/officeDocument/2006/relationships/hyperlink" Target="https://treas-secure.state.mi.us/LAFDocSearch/tl41R01.aspx?&amp;lu_id=3412&amp;doc_yr=2016&amp;doc_code=AUD" TargetMode="External"/><Relationship Id="rId1913" Type="http://schemas.openxmlformats.org/officeDocument/2006/relationships/hyperlink" Target="https://treas-secure.state.mi.us/LAFDocSearch/tl41R01.aspx?&amp;lu_id=3774&amp;doc_yr=2016&amp;doc_code=AUD" TargetMode="External"/><Relationship Id="rId287" Type="http://schemas.openxmlformats.org/officeDocument/2006/relationships/hyperlink" Target="https://treas-secure.state.mi.us/LAFDocSearch/tl41R01.aspx?&amp;lu_id=519&amp;doc_yr=2016&amp;doc_code=AUD" TargetMode="External"/><Relationship Id="rId494" Type="http://schemas.openxmlformats.org/officeDocument/2006/relationships/hyperlink" Target="https://treas-secure.state.mi.us/LAFDocSearch/tl41R01.aspx?&amp;lu_id=835&amp;doc_yr=2016&amp;doc_code=AUD" TargetMode="External"/><Relationship Id="rId2175" Type="http://schemas.openxmlformats.org/officeDocument/2006/relationships/hyperlink" Target="https://treas-secure.state.mi.us/LAFDocSearch/tl41R01.aspx?&amp;lu_id=4422&amp;doc_yr=2016&amp;doc_code=AUD" TargetMode="External"/><Relationship Id="rId2382" Type="http://schemas.openxmlformats.org/officeDocument/2006/relationships/hyperlink" Target="https://treas-secure.state.mi.us/LAFDocSearch/tl41R01.aspx?&amp;lu_id=4901&amp;doc_yr=2016&amp;doc_code=AUD" TargetMode="External"/><Relationship Id="rId147" Type="http://schemas.openxmlformats.org/officeDocument/2006/relationships/hyperlink" Target="https://treas-secure.state.mi.us/LAFDocSearch/tl41R01.aspx?&amp;lu_id=266&amp;doc_yr=2016&amp;doc_code=AUD" TargetMode="External"/><Relationship Id="rId354" Type="http://schemas.openxmlformats.org/officeDocument/2006/relationships/hyperlink" Target="https://treas-secure.state.mi.us/LAFDocSearch/tl41R01.aspx?&amp;lu_id=684&amp;doc_yr=2016&amp;doc_code=AUD" TargetMode="External"/><Relationship Id="rId799" Type="http://schemas.openxmlformats.org/officeDocument/2006/relationships/hyperlink" Target="https://treas-secure.state.mi.us/LAFDocSearch/tl41R01.aspx?&amp;lu_id=1508&amp;doc_yr=2016&amp;doc_code=AUD" TargetMode="External"/><Relationship Id="rId1191" Type="http://schemas.openxmlformats.org/officeDocument/2006/relationships/hyperlink" Target="https://treas-secure.state.mi.us/LAFDocSearch/tl41R01.aspx?&amp;lu_id=2337&amp;doc_yr=2016&amp;doc_code=AUD" TargetMode="External"/><Relationship Id="rId2035" Type="http://schemas.openxmlformats.org/officeDocument/2006/relationships/hyperlink" Target="https://treas-secure.state.mi.us/LAFDocSearch/tl41R01.aspx?&amp;lu_id=4150&amp;doc_yr=2016&amp;doc_code=AUD" TargetMode="External"/><Relationship Id="rId2687" Type="http://schemas.openxmlformats.org/officeDocument/2006/relationships/hyperlink" Target="https://treas-secure.state.mi.us/LAFDocSearch/tl41R01.aspx?&amp;lu_id=7051&amp;doc_yr=2016&amp;doc_code=AUD" TargetMode="External"/><Relationship Id="rId561" Type="http://schemas.openxmlformats.org/officeDocument/2006/relationships/hyperlink" Target="https://treas-secure.state.mi.us/LAFDocSearch/tl41R01.aspx?&amp;lu_id=979&amp;doc_yr=2016&amp;doc_code=AUD" TargetMode="External"/><Relationship Id="rId659" Type="http://schemas.openxmlformats.org/officeDocument/2006/relationships/hyperlink" Target="https://treas-secure.state.mi.us/LAFDocSearch/tl41R01.aspx?&amp;lu_id=1241&amp;doc_yr=2016&amp;doc_code=AUD" TargetMode="External"/><Relationship Id="rId866" Type="http://schemas.openxmlformats.org/officeDocument/2006/relationships/hyperlink" Target="https://treas-secure.state.mi.us/LAFDocSearch/tl41R01.aspx?&amp;lu_id=1654&amp;doc_yr=2016&amp;doc_code=AUD" TargetMode="External"/><Relationship Id="rId1289" Type="http://schemas.openxmlformats.org/officeDocument/2006/relationships/hyperlink" Target="https://treas-secure.state.mi.us/LAFDocSearch/tl41R01.aspx?&amp;lu_id=7912&amp;doc_yr=2016&amp;doc_code=AUD" TargetMode="External"/><Relationship Id="rId1496" Type="http://schemas.openxmlformats.org/officeDocument/2006/relationships/hyperlink" Target="https://treas-secure.state.mi.us/LAFDocSearch/tl41R01.aspx?&amp;lu_id=2902&amp;doc_yr=2016&amp;doc_code=AUD" TargetMode="External"/><Relationship Id="rId2242" Type="http://schemas.openxmlformats.org/officeDocument/2006/relationships/hyperlink" Target="https://treas-secure.state.mi.us/LAFDocSearch/tl41R01.aspx?&amp;lu_id=4557&amp;doc_yr=2016&amp;doc_code=AUD" TargetMode="External"/><Relationship Id="rId2547" Type="http://schemas.openxmlformats.org/officeDocument/2006/relationships/hyperlink" Target="https://treas-secure.state.mi.us/LAFDocSearch/tl41R01.aspx?&amp;lu_id=5256&amp;doc_yr=2016&amp;doc_code=AUD" TargetMode="External"/><Relationship Id="rId214" Type="http://schemas.openxmlformats.org/officeDocument/2006/relationships/hyperlink" Target="https://treas-secure.state.mi.us/LAFDocSearch/tl41R01.aspx?&amp;lu_id=365&amp;doc_yr=2016&amp;doc_code=AUD" TargetMode="External"/><Relationship Id="rId421" Type="http://schemas.openxmlformats.org/officeDocument/2006/relationships/hyperlink" Target="https://treas-secure.state.mi.us/LAFDocSearch/tl41R01.aspx?&amp;lu_id=699&amp;doc_yr=2016&amp;doc_code=AUD" TargetMode="External"/><Relationship Id="rId519" Type="http://schemas.openxmlformats.org/officeDocument/2006/relationships/hyperlink" Target="https://treas-secure.state.mi.us/LAFDocSearch/tl41R01.aspx?&amp;lu_id=890&amp;doc_yr=2016&amp;doc_code=AUD" TargetMode="External"/><Relationship Id="rId1051" Type="http://schemas.openxmlformats.org/officeDocument/2006/relationships/hyperlink" Target="https://treas-secure.state.mi.us/LAFDocSearch/tl41R01.aspx?&amp;lu_id=2049&amp;doc_yr=2016&amp;doc_code=AUD" TargetMode="External"/><Relationship Id="rId1149" Type="http://schemas.openxmlformats.org/officeDocument/2006/relationships/hyperlink" Target="https://treas-secure.state.mi.us/LAFDocSearch/tl41R01.aspx?&amp;lu_id=2266&amp;doc_yr=2016&amp;doc_code=AUD" TargetMode="External"/><Relationship Id="rId1356" Type="http://schemas.openxmlformats.org/officeDocument/2006/relationships/hyperlink" Target="https://treas-secure.state.mi.us/LAFDocSearch/tl41R01.aspx?&amp;lu_id=2608&amp;doc_yr=2016&amp;doc_code=AUD" TargetMode="External"/><Relationship Id="rId2102" Type="http://schemas.openxmlformats.org/officeDocument/2006/relationships/hyperlink" Target="https://treas-secure.state.mi.us/LAFDocSearch/tl41R01.aspx?&amp;lu_id=4318&amp;doc_yr=2016&amp;doc_code=AUD" TargetMode="External"/><Relationship Id="rId2754" Type="http://schemas.openxmlformats.org/officeDocument/2006/relationships/hyperlink" Target="https://treas-secure.state.mi.us/LAFDocSearch/tl41R01.aspx?&amp;lu_id=5457&amp;doc_yr=2016&amp;doc_code=AUD" TargetMode="External"/><Relationship Id="rId726" Type="http://schemas.openxmlformats.org/officeDocument/2006/relationships/hyperlink" Target="https://treas-secure.state.mi.us/LAFDocSearch/tl41R01.aspx?&amp;lu_id=1440&amp;doc_yr=2016&amp;doc_code=AUD" TargetMode="External"/><Relationship Id="rId933" Type="http://schemas.openxmlformats.org/officeDocument/2006/relationships/hyperlink" Target="https://treas-secure.state.mi.us/LAFDocSearch/tl41R01.aspx?&amp;lu_id=1812&amp;doc_yr=2016&amp;doc_code=AUD" TargetMode="External"/><Relationship Id="rId1009" Type="http://schemas.openxmlformats.org/officeDocument/2006/relationships/hyperlink" Target="https://treas-secure.state.mi.us/LAFDocSearch/tl41R01.aspx?&amp;lu_id=1951&amp;doc_yr=2016&amp;doc_code=AUD" TargetMode="External"/><Relationship Id="rId1563" Type="http://schemas.openxmlformats.org/officeDocument/2006/relationships/hyperlink" Target="https://treas-secure.state.mi.us/LAFDocSearch/tl41R01.aspx?&amp;lu_id=3165&amp;doc_yr=2016&amp;doc_code=AUD" TargetMode="External"/><Relationship Id="rId1770" Type="http://schemas.openxmlformats.org/officeDocument/2006/relationships/hyperlink" Target="https://treas-secure.state.mi.us/LAFDocSearch/tl41R01.aspx?&amp;lu_id=3526&amp;doc_yr=2016&amp;doc_code=AUD" TargetMode="External"/><Relationship Id="rId1868" Type="http://schemas.openxmlformats.org/officeDocument/2006/relationships/hyperlink" Target="https://treas-secure.state.mi.us/LAFDocSearch/tl41R01.aspx?&amp;lu_id=3693&amp;doc_yr=2016&amp;doc_code=AUD" TargetMode="External"/><Relationship Id="rId2407" Type="http://schemas.openxmlformats.org/officeDocument/2006/relationships/hyperlink" Target="https://treas-secure.state.mi.us/LAFDocSearch/tl41R01.aspx?&amp;lu_id=4929&amp;doc_yr=2016&amp;doc_code=AUD" TargetMode="External"/><Relationship Id="rId2614" Type="http://schemas.openxmlformats.org/officeDocument/2006/relationships/hyperlink" Target="https://treas-secure.state.mi.us/LAFDocSearch/tl41R01.aspx?&amp;lu_id=5279&amp;doc_yr=2016&amp;doc_code=AUD" TargetMode="External"/><Relationship Id="rId62" Type="http://schemas.openxmlformats.org/officeDocument/2006/relationships/hyperlink" Target="https://treas-secure.state.mi.us/LAFDocSearch/tl41R01.aspx?&amp;lu_id=6084&amp;doc_yr=2016&amp;doc_code=AUD" TargetMode="External"/><Relationship Id="rId1216" Type="http://schemas.openxmlformats.org/officeDocument/2006/relationships/hyperlink" Target="https://treas-secure.state.mi.us/LAFDocSearch/tl41R01.aspx?&amp;lu_id=2411&amp;doc_yr=2016&amp;doc_code=AUD" TargetMode="External"/><Relationship Id="rId1423" Type="http://schemas.openxmlformats.org/officeDocument/2006/relationships/hyperlink" Target="https://treas-secure.state.mi.us/LAFDocSearch/tl41R01.aspx?&amp;lu_id=2728&amp;doc_yr=2016&amp;doc_code=AUD" TargetMode="External"/><Relationship Id="rId1630" Type="http://schemas.openxmlformats.org/officeDocument/2006/relationships/hyperlink" Target="https://treas-secure.state.mi.us/LAFDocSearch/tl41R01.aspx?&amp;lu_id=3297&amp;doc_yr=2016&amp;doc_code=AUD" TargetMode="External"/><Relationship Id="rId1728" Type="http://schemas.openxmlformats.org/officeDocument/2006/relationships/hyperlink" Target="https://treas-secure.state.mi.us/LAFDocSearch/tl41R01.aspx?&amp;lu_id=3452&amp;doc_yr=2016&amp;doc_code=AUD" TargetMode="External"/><Relationship Id="rId1935" Type="http://schemas.openxmlformats.org/officeDocument/2006/relationships/hyperlink" Target="https://treas-secure.state.mi.us/LAFDocSearch/tl41R01.aspx?&amp;lu_id=3814&amp;doc_yr=2016&amp;doc_code=AUD" TargetMode="External"/><Relationship Id="rId2197" Type="http://schemas.openxmlformats.org/officeDocument/2006/relationships/hyperlink" Target="https://treas-secure.state.mi.us/LAFDocSearch/tl41R01.aspx?&amp;lu_id=4502&amp;doc_yr=2016&amp;doc_code=AUD" TargetMode="External"/><Relationship Id="rId169" Type="http://schemas.openxmlformats.org/officeDocument/2006/relationships/hyperlink" Target="https://treas-secure.state.mi.us/LAFDocSearch/tl41R01.aspx?&amp;lu_id=316&amp;doc_yr=2016&amp;doc_code=AUD" TargetMode="External"/><Relationship Id="rId376" Type="http://schemas.openxmlformats.org/officeDocument/2006/relationships/hyperlink" Target="https://treas-secure.state.mi.us/LAFDocSearch/tl41R01.aspx?&amp;lu_id=607&amp;doc_yr=2016&amp;doc_code=AUD" TargetMode="External"/><Relationship Id="rId583" Type="http://schemas.openxmlformats.org/officeDocument/2006/relationships/hyperlink" Target="https://treas-secure.state.mi.us/LAFDocSearch/tl41R01.aspx?&amp;lu_id=997&amp;doc_yr=2016&amp;doc_code=AUD" TargetMode="External"/><Relationship Id="rId790" Type="http://schemas.openxmlformats.org/officeDocument/2006/relationships/hyperlink" Target="https://treas-secure.state.mi.us/LAFDocSearch/tl41R01.aspx?&amp;lu_id=1524&amp;doc_yr=2016&amp;doc_code=AUD" TargetMode="External"/><Relationship Id="rId2057" Type="http://schemas.openxmlformats.org/officeDocument/2006/relationships/hyperlink" Target="https://treas-secure.state.mi.us/LAFDocSearch/tl41R01.aspx?&amp;lu_id=4225&amp;doc_yr=2016&amp;doc_code=AUD" TargetMode="External"/><Relationship Id="rId2264" Type="http://schemas.openxmlformats.org/officeDocument/2006/relationships/hyperlink" Target="https://treas-secure.state.mi.us/LAFDocSearch/tl41R01.aspx?&amp;lu_id=4587&amp;doc_yr=2016&amp;doc_code=AUD" TargetMode="External"/><Relationship Id="rId2471" Type="http://schemas.openxmlformats.org/officeDocument/2006/relationships/hyperlink" Target="https://treas-secure.state.mi.us/LAFDocSearch/tl41R01.aspx?&amp;lu_id=5070&amp;doc_yr=2016&amp;doc_code=AUD" TargetMode="External"/><Relationship Id="rId4" Type="http://schemas.openxmlformats.org/officeDocument/2006/relationships/hyperlink" Target="https://treas-secure.state.mi.us/LAFDocSearch/tl41R01.aspx?&amp;lu_id=4&amp;doc_yr=2016&amp;doc_code=AUD" TargetMode="External"/><Relationship Id="rId236" Type="http://schemas.openxmlformats.org/officeDocument/2006/relationships/hyperlink" Target="https://treas-secure.state.mi.us/LAFDocSearch/tl41R01.aspx?&amp;lu_id=394&amp;doc_yr=2016&amp;doc_code=AUD" TargetMode="External"/><Relationship Id="rId443" Type="http://schemas.openxmlformats.org/officeDocument/2006/relationships/hyperlink" Target="https://treas-secure.state.mi.us/LAFDocSearch/tl41R01.aspx?&amp;lu_id=745&amp;doc_yr=2016&amp;doc_code=AUD" TargetMode="External"/><Relationship Id="rId650" Type="http://schemas.openxmlformats.org/officeDocument/2006/relationships/hyperlink" Target="https://treas-secure.state.mi.us/LAFDocSearch/tl41R01.aspx?&amp;lu_id=1250&amp;doc_yr=2016&amp;doc_code=AUD" TargetMode="External"/><Relationship Id="rId888" Type="http://schemas.openxmlformats.org/officeDocument/2006/relationships/hyperlink" Target="https://treas-secure.state.mi.us/LAFDocSearch/tl41R01.aspx?&amp;lu_id=1662&amp;doc_yr=2016&amp;doc_code=AUD" TargetMode="External"/><Relationship Id="rId1073" Type="http://schemas.openxmlformats.org/officeDocument/2006/relationships/hyperlink" Target="https://treas-secure.state.mi.us/LAFDocSearch/tl41R01.aspx?&amp;lu_id=2075&amp;doc_yr=2016&amp;doc_code=AUD" TargetMode="External"/><Relationship Id="rId1280" Type="http://schemas.openxmlformats.org/officeDocument/2006/relationships/hyperlink" Target="https://treas-secure.state.mi.us/LAFDocSearch/tl41R01.aspx?&amp;lu_id=2459&amp;doc_yr=2016&amp;doc_code=AUD" TargetMode="External"/><Relationship Id="rId2124" Type="http://schemas.openxmlformats.org/officeDocument/2006/relationships/hyperlink" Target="https://treas-secure.state.mi.us/LAFDocSearch/tl41R01.aspx?&amp;lu_id=7058&amp;doc_yr=2016&amp;doc_code=AUD" TargetMode="External"/><Relationship Id="rId2331" Type="http://schemas.openxmlformats.org/officeDocument/2006/relationships/hyperlink" Target="https://treas-secure.state.mi.us/LAFDocSearch/tl41R01.aspx?&amp;lu_id=4751&amp;doc_yr=2016&amp;doc_code=AUD" TargetMode="External"/><Relationship Id="rId2569" Type="http://schemas.openxmlformats.org/officeDocument/2006/relationships/hyperlink" Target="https://treas-secure.state.mi.us/LAFDocSearch/tl41R01.aspx?&amp;lu_id=5259&amp;doc_yr=2016&amp;doc_code=AUD" TargetMode="External"/><Relationship Id="rId2776" Type="http://schemas.openxmlformats.org/officeDocument/2006/relationships/hyperlink" Target="https://treas-secure.state.mi.us/LAFDocSearch/tl41R01.aspx?&amp;lu_id=5918&amp;doc_yr=2016&amp;doc_code=AUD" TargetMode="External"/><Relationship Id="rId303" Type="http://schemas.openxmlformats.org/officeDocument/2006/relationships/hyperlink" Target="https://treas-secure.state.mi.us/LAFDocSearch/tl41R01.aspx?&amp;lu_id=441&amp;doc_yr=2016&amp;doc_code=AUD" TargetMode="External"/><Relationship Id="rId748" Type="http://schemas.openxmlformats.org/officeDocument/2006/relationships/hyperlink" Target="https://treas-secure.state.mi.us/LAFDocSearch/tl41R01.aspx?&amp;lu_id=1340&amp;doc_yr=2016&amp;doc_code=AUD" TargetMode="External"/><Relationship Id="rId955" Type="http://schemas.openxmlformats.org/officeDocument/2006/relationships/hyperlink" Target="https://treas-secure.state.mi.us/LAFDocSearch/tl41R01.aspx?&amp;lu_id=7554&amp;doc_yr=2016&amp;doc_code=AUD" TargetMode="External"/><Relationship Id="rId1140" Type="http://schemas.openxmlformats.org/officeDocument/2006/relationships/hyperlink" Target="https://treas-secure.state.mi.us/LAFDocSearch/tl41R01.aspx?&amp;lu_id=2212&amp;doc_yr=2016&amp;doc_code=AUD" TargetMode="External"/><Relationship Id="rId1378" Type="http://schemas.openxmlformats.org/officeDocument/2006/relationships/hyperlink" Target="https://treas-secure.state.mi.us/LAFDocSearch/tl41R01.aspx?&amp;lu_id=2688&amp;doc_yr=2016&amp;doc_code=AUD" TargetMode="External"/><Relationship Id="rId1585" Type="http://schemas.openxmlformats.org/officeDocument/2006/relationships/hyperlink" Target="https://treas-secure.state.mi.us/LAFDocSearch/tl41R01.aspx?&amp;lu_id=3135&amp;doc_yr=2016&amp;doc_code=AUD" TargetMode="External"/><Relationship Id="rId1792" Type="http://schemas.openxmlformats.org/officeDocument/2006/relationships/hyperlink" Target="https://treas-secure.state.mi.us/LAFDocSearch/tl41R01.aspx?&amp;lu_id=3537&amp;doc_yr=2016&amp;doc_code=AUD" TargetMode="External"/><Relationship Id="rId2429" Type="http://schemas.openxmlformats.org/officeDocument/2006/relationships/hyperlink" Target="https://treas-secure.state.mi.us/LAFDocSearch/tl41R01.aspx?&amp;lu_id=4937&amp;doc_yr=2016&amp;doc_code=AUD" TargetMode="External"/><Relationship Id="rId2636" Type="http://schemas.openxmlformats.org/officeDocument/2006/relationships/hyperlink" Target="https://treas-secure.state.mi.us/LAFDocSearch/tl41R01.aspx?&amp;lu_id=5267&amp;doc_yr=2016&amp;doc_code=AUD" TargetMode="External"/><Relationship Id="rId84" Type="http://schemas.openxmlformats.org/officeDocument/2006/relationships/hyperlink" Target="https://treas-secure.state.mi.us/LAFDocSearch/tl41R01.aspx?&amp;lu_id=139&amp;doc_yr=2016&amp;doc_code=AUD" TargetMode="External"/><Relationship Id="rId510" Type="http://schemas.openxmlformats.org/officeDocument/2006/relationships/hyperlink" Target="https://treas-secure.state.mi.us/LAFDocSearch/tl41R01.aspx?&amp;lu_id=902&amp;doc_yr=2016&amp;doc_code=AUD" TargetMode="External"/><Relationship Id="rId608" Type="http://schemas.openxmlformats.org/officeDocument/2006/relationships/hyperlink" Target="https://treas-secure.state.mi.us/LAFDocSearch/tl41R01.aspx?&amp;lu_id=5994&amp;doc_yr=2016&amp;doc_code=AUD" TargetMode="External"/><Relationship Id="rId815" Type="http://schemas.openxmlformats.org/officeDocument/2006/relationships/hyperlink" Target="https://treas-secure.state.mi.us/LAFDocSearch/tl41R01.aspx?&amp;lu_id=1540&amp;doc_yr=2016&amp;doc_code=AUD" TargetMode="External"/><Relationship Id="rId1238" Type="http://schemas.openxmlformats.org/officeDocument/2006/relationships/hyperlink" Target="https://treas-secure.state.mi.us/LAFDocSearch/tl41R01.aspx?&amp;lu_id=2357&amp;doc_yr=2016&amp;doc_code=AUD" TargetMode="External"/><Relationship Id="rId1445" Type="http://schemas.openxmlformats.org/officeDocument/2006/relationships/hyperlink" Target="https://treas-secure.state.mi.us/LAFDocSearch/tl41R01.aspx?&amp;lu_id=2787&amp;doc_yr=2016&amp;doc_code=AUD" TargetMode="External"/><Relationship Id="rId1652" Type="http://schemas.openxmlformats.org/officeDocument/2006/relationships/hyperlink" Target="https://treas-secure.state.mi.us/LAFDocSearch/tl41R01.aspx?&amp;lu_id=3290&amp;doc_yr=2016&amp;doc_code=AUD" TargetMode="External"/><Relationship Id="rId1000" Type="http://schemas.openxmlformats.org/officeDocument/2006/relationships/hyperlink" Target="https://treas-secure.state.mi.us/LAFDocSearch/tl41R01.aspx?&amp;lu_id=2001&amp;doc_yr=2016&amp;doc_code=AUD" TargetMode="External"/><Relationship Id="rId1305" Type="http://schemas.openxmlformats.org/officeDocument/2006/relationships/hyperlink" Target="https://treas-secure.state.mi.us/LAFDocSearch/tl41R01.aspx?&amp;lu_id=2450&amp;doc_yr=2016&amp;doc_code=AUD" TargetMode="External"/><Relationship Id="rId1957" Type="http://schemas.openxmlformats.org/officeDocument/2006/relationships/hyperlink" Target="https://treas-secure.state.mi.us/LAFDocSearch/tl41R01.aspx?&amp;lu_id=4183&amp;doc_yr=2016&amp;doc_code=AUD" TargetMode="External"/><Relationship Id="rId2703" Type="http://schemas.openxmlformats.org/officeDocument/2006/relationships/hyperlink" Target="https://treas-secure.state.mi.us/LAFDocSearch/tl41R01.aspx?&amp;lu_id=5438&amp;doc_yr=2016&amp;doc_code=AUD" TargetMode="External"/><Relationship Id="rId1512" Type="http://schemas.openxmlformats.org/officeDocument/2006/relationships/hyperlink" Target="https://treas-secure.state.mi.us/LAFDocSearch/tl41R01.aspx?&amp;lu_id=2930&amp;doc_yr=2016&amp;doc_code=AUD" TargetMode="External"/><Relationship Id="rId1817" Type="http://schemas.openxmlformats.org/officeDocument/2006/relationships/hyperlink" Target="https://treas-secure.state.mi.us/LAFDocSearch/tl41R01.aspx?&amp;lu_id=3654&amp;doc_yr=2016&amp;doc_code=AUD" TargetMode="External"/><Relationship Id="rId11" Type="http://schemas.openxmlformats.org/officeDocument/2006/relationships/hyperlink" Target="https://treas-secure.state.mi.us/LAFDocSearch/tl41R01.aspx?&amp;lu_id=11&amp;doc_yr=2016&amp;doc_code=AUD" TargetMode="External"/><Relationship Id="rId398" Type="http://schemas.openxmlformats.org/officeDocument/2006/relationships/hyperlink" Target="https://treas-secure.state.mi.us/LAFDocSearch/tl41R01.aspx?&amp;lu_id=683&amp;doc_yr=2016&amp;doc_code=AUD" TargetMode="External"/><Relationship Id="rId2079" Type="http://schemas.openxmlformats.org/officeDocument/2006/relationships/hyperlink" Target="https://treas-secure.state.mi.us/LAFDocSearch/tl41R01.aspx?&amp;lu_id=4273&amp;doc_yr=2016&amp;doc_code=AUD" TargetMode="External"/><Relationship Id="rId160" Type="http://schemas.openxmlformats.org/officeDocument/2006/relationships/hyperlink" Target="https://treas-secure.state.mi.us/LAFDocSearch/tl41R01.aspx?&amp;lu_id=309&amp;doc_yr=2016&amp;doc_code=AUD" TargetMode="External"/><Relationship Id="rId2286" Type="http://schemas.openxmlformats.org/officeDocument/2006/relationships/hyperlink" Target="https://treas-secure.state.mi.us/LAFDocSearch/tl41R01.aspx?&amp;lu_id=4698&amp;doc_yr=2016&amp;doc_code=AUD" TargetMode="External"/><Relationship Id="rId2493" Type="http://schemas.openxmlformats.org/officeDocument/2006/relationships/hyperlink" Target="https://treas-secure.state.mi.us/LAFDocSearch/tl41R01.aspx?&amp;lu_id=5101&amp;doc_yr=2016&amp;doc_code=AUD" TargetMode="External"/><Relationship Id="rId258" Type="http://schemas.openxmlformats.org/officeDocument/2006/relationships/hyperlink" Target="https://treas-secure.state.mi.us/LAFDocSearch/tl41R01.aspx?&amp;lu_id=549&amp;doc_yr=2016&amp;doc_code=AUD" TargetMode="External"/><Relationship Id="rId465" Type="http://schemas.openxmlformats.org/officeDocument/2006/relationships/hyperlink" Target="https://treas-secure.state.mi.us/LAFDocSearch/tl41R01.aspx?&amp;lu_id=791&amp;doc_yr=2016&amp;doc_code=AUD" TargetMode="External"/><Relationship Id="rId672" Type="http://schemas.openxmlformats.org/officeDocument/2006/relationships/hyperlink" Target="https://treas-secure.state.mi.us/LAFDocSearch/tl41R01.aspx?&amp;lu_id=1278&amp;doc_yr=2016&amp;doc_code=AUD" TargetMode="External"/><Relationship Id="rId1095" Type="http://schemas.openxmlformats.org/officeDocument/2006/relationships/hyperlink" Target="https://treas-secure.state.mi.us/LAFDocSearch/tl41R01.aspx?&amp;lu_id=2133&amp;doc_yr=2016&amp;doc_code=AUD" TargetMode="External"/><Relationship Id="rId2146" Type="http://schemas.openxmlformats.org/officeDocument/2006/relationships/hyperlink" Target="https://treas-secure.state.mi.us/LAFDocSearch/tl41R01.aspx?&amp;lu_id=4391&amp;doc_yr=2016&amp;doc_code=AUD" TargetMode="External"/><Relationship Id="rId2353" Type="http://schemas.openxmlformats.org/officeDocument/2006/relationships/hyperlink" Target="https://treas-secure.state.mi.us/LAFDocSearch/tl41R01.aspx?&amp;lu_id=4841&amp;doc_yr=2016&amp;doc_code=AUD" TargetMode="External"/><Relationship Id="rId2560" Type="http://schemas.openxmlformats.org/officeDocument/2006/relationships/hyperlink" Target="https://treas-secure.state.mi.us/LAFDocSearch/tl41R01.aspx?&amp;lu_id=5193&amp;doc_yr=2016&amp;doc_code=AUD" TargetMode="External"/><Relationship Id="rId118" Type="http://schemas.openxmlformats.org/officeDocument/2006/relationships/hyperlink" Target="https://treas-secure.state.mi.us/LAFDocSearch/tl41R01.aspx?&amp;lu_id=192&amp;doc_yr=2016&amp;doc_code=AUD" TargetMode="External"/><Relationship Id="rId325" Type="http://schemas.openxmlformats.org/officeDocument/2006/relationships/hyperlink" Target="https://treas-secure.state.mi.us/LAFDocSearch/tl41R01.aspx?&amp;lu_id=559&amp;doc_yr=2016&amp;doc_code=AUD" TargetMode="External"/><Relationship Id="rId532" Type="http://schemas.openxmlformats.org/officeDocument/2006/relationships/hyperlink" Target="https://treas-secure.state.mi.us/LAFDocSearch/tl41R01.aspx?&amp;lu_id=899&amp;doc_yr=2016&amp;doc_code=AUD" TargetMode="External"/><Relationship Id="rId977" Type="http://schemas.openxmlformats.org/officeDocument/2006/relationships/hyperlink" Target="https://treas-secure.state.mi.us/LAFDocSearch/tl41R01.aspx?&amp;lu_id=1891&amp;doc_yr=2016&amp;doc_code=AUD" TargetMode="External"/><Relationship Id="rId1162" Type="http://schemas.openxmlformats.org/officeDocument/2006/relationships/hyperlink" Target="https://treas-secure.state.mi.us/LAFDocSearch/tl41R01.aspx?&amp;lu_id=2293&amp;doc_yr=2016&amp;doc_code=AUD" TargetMode="External"/><Relationship Id="rId2006" Type="http://schemas.openxmlformats.org/officeDocument/2006/relationships/hyperlink" Target="https://treas-secure.state.mi.us/LAFDocSearch/tl41R01.aspx?&amp;lu_id=3886&amp;doc_yr=2016&amp;doc_code=AUD" TargetMode="External"/><Relationship Id="rId2213" Type="http://schemas.openxmlformats.org/officeDocument/2006/relationships/hyperlink" Target="https://treas-secure.state.mi.us/LAFDocSearch/tl41R01.aspx?&amp;lu_id=4535&amp;doc_yr=2016&amp;doc_code=AUD" TargetMode="External"/><Relationship Id="rId2420" Type="http://schemas.openxmlformats.org/officeDocument/2006/relationships/hyperlink" Target="https://treas-secure.state.mi.us/LAFDocSearch/tl41R01.aspx?&amp;lu_id=4981&amp;doc_yr=2016&amp;doc_code=AUD" TargetMode="External"/><Relationship Id="rId2658" Type="http://schemas.openxmlformats.org/officeDocument/2006/relationships/hyperlink" Target="https://treas-secure.state.mi.us/LAFDocSearch/tl41R01.aspx?&amp;lu_id=5792&amp;doc_yr=2016&amp;doc_code=AUD" TargetMode="External"/><Relationship Id="rId837" Type="http://schemas.openxmlformats.org/officeDocument/2006/relationships/hyperlink" Target="https://treas-secure.state.mi.us/LAFDocSearch/tl41R01.aspx?&amp;lu_id=1552&amp;doc_yr=2016&amp;doc_code=AUD" TargetMode="External"/><Relationship Id="rId1022" Type="http://schemas.openxmlformats.org/officeDocument/2006/relationships/hyperlink" Target="https://treas-secure.state.mi.us/LAFDocSearch/tl41R01.aspx?&amp;lu_id=7059&amp;doc_yr=2016&amp;doc_code=AUD" TargetMode="External"/><Relationship Id="rId1467" Type="http://schemas.openxmlformats.org/officeDocument/2006/relationships/hyperlink" Target="https://treas-secure.state.mi.us/LAFDocSearch/tl41R01.aspx?&amp;lu_id=2827&amp;doc_yr=2016&amp;doc_code=AUD" TargetMode="External"/><Relationship Id="rId1674" Type="http://schemas.openxmlformats.org/officeDocument/2006/relationships/hyperlink" Target="https://treas-secure.state.mi.us/LAFDocSearch/tl41R01.aspx?&amp;lu_id=3327&amp;doc_yr=2016&amp;doc_code=AUD" TargetMode="External"/><Relationship Id="rId1881" Type="http://schemas.openxmlformats.org/officeDocument/2006/relationships/hyperlink" Target="https://treas-secure.state.mi.us/LAFDocSearch/tl41R01.aspx?&amp;lu_id=3760&amp;doc_yr=2016&amp;doc_code=AUD" TargetMode="External"/><Relationship Id="rId2518" Type="http://schemas.openxmlformats.org/officeDocument/2006/relationships/hyperlink" Target="https://treas-secure.state.mi.us/LAFDocSearch/tl41R01.aspx?&amp;lu_id=5163&amp;doc_yr=2016&amp;doc_code=AUD" TargetMode="External"/><Relationship Id="rId2725" Type="http://schemas.openxmlformats.org/officeDocument/2006/relationships/hyperlink" Target="https://treas-secure.state.mi.us/LAFDocSearch/tl41R01.aspx?&amp;lu_id=5803&amp;doc_yr=2016&amp;doc_code=AUD" TargetMode="External"/><Relationship Id="rId904" Type="http://schemas.openxmlformats.org/officeDocument/2006/relationships/hyperlink" Target="https://treas-secure.state.mi.us/LAFDocSearch/tl41R01.aspx?&amp;lu_id=1773&amp;doc_yr=2016&amp;doc_code=AUD" TargetMode="External"/><Relationship Id="rId1327" Type="http://schemas.openxmlformats.org/officeDocument/2006/relationships/hyperlink" Target="https://treas-secure.state.mi.us/LAFDocSearch/tl41R01.aspx?&amp;lu_id=2479&amp;doc_yr=2016&amp;doc_code=AUD" TargetMode="External"/><Relationship Id="rId1534" Type="http://schemas.openxmlformats.org/officeDocument/2006/relationships/hyperlink" Target="https://treas-secure.state.mi.us/LAFDocSearch/tl41R01.aspx?&amp;lu_id=2974&amp;doc_yr=2016&amp;doc_code=AUD" TargetMode="External"/><Relationship Id="rId1741" Type="http://schemas.openxmlformats.org/officeDocument/2006/relationships/hyperlink" Target="https://treas-secure.state.mi.us/LAFDocSearch/tl41R01.aspx?&amp;lu_id=3485&amp;doc_yr=2016&amp;doc_code=AUD" TargetMode="External"/><Relationship Id="rId1979" Type="http://schemas.openxmlformats.org/officeDocument/2006/relationships/hyperlink" Target="https://treas-secure.state.mi.us/LAFDocSearch/tl41R01.aspx?&amp;lu_id=3835&amp;doc_yr=2016&amp;doc_code=AUD" TargetMode="External"/><Relationship Id="rId33" Type="http://schemas.openxmlformats.org/officeDocument/2006/relationships/hyperlink" Target="https://treas-secure.state.mi.us/LAFDocSearch/tl41R01.aspx?&amp;lu_id=123&amp;doc_yr=2016&amp;doc_code=AUD" TargetMode="External"/><Relationship Id="rId1601" Type="http://schemas.openxmlformats.org/officeDocument/2006/relationships/hyperlink" Target="https://treas-secure.state.mi.us/LAFDocSearch/tl41R01.aspx?&amp;lu_id=3216&amp;doc_yr=2016&amp;doc_code=AUD" TargetMode="External"/><Relationship Id="rId1839" Type="http://schemas.openxmlformats.org/officeDocument/2006/relationships/hyperlink" Target="https://treas-secure.state.mi.us/LAFDocSearch/tl41R01.aspx?&amp;lu_id=3610&amp;doc_yr=2016&amp;doc_code=AUD" TargetMode="External"/><Relationship Id="rId182" Type="http://schemas.openxmlformats.org/officeDocument/2006/relationships/hyperlink" Target="https://treas-secure.state.mi.us/LAFDocSearch/tl41R01.aspx?&amp;lu_id=317&amp;doc_yr=2016&amp;doc_code=AUD" TargetMode="External"/><Relationship Id="rId1906" Type="http://schemas.openxmlformats.org/officeDocument/2006/relationships/hyperlink" Target="https://treas-secure.state.mi.us/LAFDocSearch/tl41R01.aspx?&amp;lu_id=3811&amp;doc_yr=2016&amp;doc_code=AUD" TargetMode="External"/><Relationship Id="rId487" Type="http://schemas.openxmlformats.org/officeDocument/2006/relationships/hyperlink" Target="https://treas-secure.state.mi.us/LAFDocSearch/tl41R01.aspx?&amp;lu_id=811&amp;doc_yr=2016&amp;doc_code=AUD" TargetMode="External"/><Relationship Id="rId694" Type="http://schemas.openxmlformats.org/officeDocument/2006/relationships/hyperlink" Target="https://treas-secure.state.mi.us/LAFDocSearch/tl41R01.aspx?&amp;lu_id=1286&amp;doc_yr=2016&amp;doc_code=AUD" TargetMode="External"/><Relationship Id="rId2070" Type="http://schemas.openxmlformats.org/officeDocument/2006/relationships/hyperlink" Target="https://treas-secure.state.mi.us/LAFDocSearch/tl41R01.aspx?&amp;lu_id=4229&amp;doc_yr=2016&amp;doc_code=AUD" TargetMode="External"/><Relationship Id="rId2168" Type="http://schemas.openxmlformats.org/officeDocument/2006/relationships/hyperlink" Target="https://treas-secure.state.mi.us/LAFDocSearch/tl41R01.aspx?&amp;lu_id=4421&amp;doc_yr=2016&amp;doc_code=AUD" TargetMode="External"/><Relationship Id="rId2375" Type="http://schemas.openxmlformats.org/officeDocument/2006/relationships/hyperlink" Target="https://treas-secure.state.mi.us/LAFDocSearch/tl41R01.aspx?&amp;lu_id=4896&amp;doc_yr=2016&amp;doc_code=AUD" TargetMode="External"/><Relationship Id="rId347" Type="http://schemas.openxmlformats.org/officeDocument/2006/relationships/hyperlink" Target="https://treas-secure.state.mi.us/LAFDocSearch/tl41R01.aspx?&amp;lu_id=595&amp;doc_yr=2016&amp;doc_code=AUD" TargetMode="External"/><Relationship Id="rId999" Type="http://schemas.openxmlformats.org/officeDocument/2006/relationships/hyperlink" Target="https://treas-secure.state.mi.us/LAFDocSearch/tl41R01.aspx?&amp;lu_id=1921&amp;doc_yr=2016&amp;doc_code=AUD" TargetMode="External"/><Relationship Id="rId1184" Type="http://schemas.openxmlformats.org/officeDocument/2006/relationships/hyperlink" Target="https://treas-secure.state.mi.us/LAFDocSearch/tl41R01.aspx?&amp;lu_id=2279&amp;doc_yr=2016&amp;doc_code=AUD" TargetMode="External"/><Relationship Id="rId2028" Type="http://schemas.openxmlformats.org/officeDocument/2006/relationships/hyperlink" Target="https://treas-secure.state.mi.us/LAFDocSearch/tl41R01.aspx?&amp;lu_id=4082&amp;doc_yr=2016&amp;doc_code=AUD" TargetMode="External"/><Relationship Id="rId2582" Type="http://schemas.openxmlformats.org/officeDocument/2006/relationships/hyperlink" Target="https://treas-secure.state.mi.us/LAFDocSearch/tl41R01.aspx?&amp;lu_id=5404&amp;doc_yr=2016&amp;doc_code=AUD" TargetMode="External"/><Relationship Id="rId554" Type="http://schemas.openxmlformats.org/officeDocument/2006/relationships/hyperlink" Target="https://treas-secure.state.mi.us/LAFDocSearch/tl41R01.aspx?&amp;lu_id=933&amp;doc_yr=2016&amp;doc_code=AUD" TargetMode="External"/><Relationship Id="rId761" Type="http://schemas.openxmlformats.org/officeDocument/2006/relationships/hyperlink" Target="https://treas-secure.state.mi.us/LAFDocSearch/tl41R01.aspx?&amp;lu_id=1470&amp;doc_yr=2016&amp;doc_code=AUD" TargetMode="External"/><Relationship Id="rId859" Type="http://schemas.openxmlformats.org/officeDocument/2006/relationships/hyperlink" Target="https://treas-secure.state.mi.us/LAFDocSearch/tl41R01.aspx?&amp;lu_id=1613&amp;doc_yr=2016&amp;doc_code=AUD" TargetMode="External"/><Relationship Id="rId1391" Type="http://schemas.openxmlformats.org/officeDocument/2006/relationships/hyperlink" Target="https://treas-secure.state.mi.us/LAFDocSearch/tl41R01.aspx?&amp;lu_id=2697&amp;doc_yr=2016&amp;doc_code=AUD" TargetMode="External"/><Relationship Id="rId1489" Type="http://schemas.openxmlformats.org/officeDocument/2006/relationships/hyperlink" Target="https://treas-secure.state.mi.us/LAFDocSearch/tl41R01.aspx?&amp;lu_id=2915&amp;doc_yr=2016&amp;doc_code=AUD" TargetMode="External"/><Relationship Id="rId1696" Type="http://schemas.openxmlformats.org/officeDocument/2006/relationships/hyperlink" Target="https://treas-secure.state.mi.us/LAFDocSearch/tl41R01.aspx?&amp;lu_id=3394&amp;doc_yr=2016&amp;doc_code=AUD" TargetMode="External"/><Relationship Id="rId2235" Type="http://schemas.openxmlformats.org/officeDocument/2006/relationships/hyperlink" Target="https://treas-secure.state.mi.us/LAFDocSearch/tl41R01.aspx?&amp;lu_id=4566&amp;doc_yr=2016&amp;doc_code=AUD" TargetMode="External"/><Relationship Id="rId2442" Type="http://schemas.openxmlformats.org/officeDocument/2006/relationships/hyperlink" Target="https://treas-secure.state.mi.us/LAFDocSearch/tl41R01.aspx?&amp;lu_id=4992&amp;doc_yr=2016&amp;doc_code=AUD" TargetMode="External"/><Relationship Id="rId207" Type="http://schemas.openxmlformats.org/officeDocument/2006/relationships/hyperlink" Target="https://treas-secure.state.mi.us/LAFDocSearch/tl41R01.aspx?&amp;lu_id=388&amp;doc_yr=2016&amp;doc_code=AUD" TargetMode="External"/><Relationship Id="rId414" Type="http://schemas.openxmlformats.org/officeDocument/2006/relationships/hyperlink" Target="https://treas-secure.state.mi.us/LAFDocSearch/tl41R01.aspx?&amp;lu_id=693&amp;doc_yr=2016&amp;doc_code=AUD" TargetMode="External"/><Relationship Id="rId621" Type="http://schemas.openxmlformats.org/officeDocument/2006/relationships/hyperlink" Target="https://treas-secure.state.mi.us/LAFDocSearch/tl41R01.aspx?&amp;lu_id=1061&amp;doc_yr=2016&amp;doc_code=AUD" TargetMode="External"/><Relationship Id="rId1044" Type="http://schemas.openxmlformats.org/officeDocument/2006/relationships/hyperlink" Target="https://treas-secure.state.mi.us/LAFDocSearch/tl41R01.aspx?&amp;lu_id=2054&amp;doc_yr=2016&amp;doc_code=AUD" TargetMode="External"/><Relationship Id="rId1251" Type="http://schemas.openxmlformats.org/officeDocument/2006/relationships/hyperlink" Target="https://treas-secure.state.mi.us/LAFDocSearch/tl41R01.aspx?&amp;lu_id=2361&amp;doc_yr=2016&amp;doc_code=AUD" TargetMode="External"/><Relationship Id="rId1349" Type="http://schemas.openxmlformats.org/officeDocument/2006/relationships/hyperlink" Target="https://treas-secure.state.mi.us/LAFDocSearch/tl41R01.aspx?&amp;lu_id=2609&amp;doc_yr=2016&amp;doc_code=AUD" TargetMode="External"/><Relationship Id="rId2302" Type="http://schemas.openxmlformats.org/officeDocument/2006/relationships/hyperlink" Target="https://treas-secure.state.mi.us/LAFDocSearch/tl41R01.aspx?&amp;lu_id=4602&amp;doc_yr=2016&amp;doc_code=AUD" TargetMode="External"/><Relationship Id="rId2747" Type="http://schemas.openxmlformats.org/officeDocument/2006/relationships/hyperlink" Target="https://treas-secure.state.mi.us/LAFDocSearch/tl41R01.aspx?&amp;lu_id=5455&amp;doc_yr=2016&amp;doc_code=AUD" TargetMode="External"/><Relationship Id="rId719" Type="http://schemas.openxmlformats.org/officeDocument/2006/relationships/hyperlink" Target="https://treas-secure.state.mi.us/LAFDocSearch/tl41R01.aspx?&amp;lu_id=1459&amp;doc_yr=2016&amp;doc_code=AUD" TargetMode="External"/><Relationship Id="rId926" Type="http://schemas.openxmlformats.org/officeDocument/2006/relationships/hyperlink" Target="https://treas-secure.state.mi.us/LAFDocSearch/tl41R01.aspx?&amp;lu_id=1730&amp;doc_yr=2016&amp;doc_code=AUD" TargetMode="External"/><Relationship Id="rId1111" Type="http://schemas.openxmlformats.org/officeDocument/2006/relationships/hyperlink" Target="https://treas-secure.state.mi.us/LAFDocSearch/tl41R01.aspx?&amp;lu_id=2178&amp;doc_yr=2016&amp;doc_code=AUD" TargetMode="External"/><Relationship Id="rId1556" Type="http://schemas.openxmlformats.org/officeDocument/2006/relationships/hyperlink" Target="https://treas-secure.state.mi.us/LAFDocSearch/tl41R01.aspx?&amp;lu_id=2981&amp;doc_yr=2016&amp;doc_code=AUD" TargetMode="External"/><Relationship Id="rId1763" Type="http://schemas.openxmlformats.org/officeDocument/2006/relationships/hyperlink" Target="https://treas-secure.state.mi.us/LAFDocSearch/tl41R01.aspx?&amp;lu_id=3522&amp;doc_yr=2016&amp;doc_code=AUD" TargetMode="External"/><Relationship Id="rId1970" Type="http://schemas.openxmlformats.org/officeDocument/2006/relationships/hyperlink" Target="https://treas-secure.state.mi.us/LAFDocSearch/tl41R01.aspx?&amp;lu_id=4190&amp;doc_yr=2016&amp;doc_code=AUD" TargetMode="External"/><Relationship Id="rId2607" Type="http://schemas.openxmlformats.org/officeDocument/2006/relationships/hyperlink" Target="https://treas-secure.state.mi.us/LAFDocSearch/tl41R01.aspx?&amp;lu_id=5390&amp;doc_yr=2016&amp;doc_code=AUD" TargetMode="External"/><Relationship Id="rId55" Type="http://schemas.openxmlformats.org/officeDocument/2006/relationships/hyperlink" Target="https://treas-secure.state.mi.us/LAFDocSearch/tl41R01.aspx?&amp;lu_id=114&amp;doc_yr=2016&amp;doc_code=AUD" TargetMode="External"/><Relationship Id="rId1209" Type="http://schemas.openxmlformats.org/officeDocument/2006/relationships/hyperlink" Target="https://treas-secure.state.mi.us/LAFDocSearch/tl41R01.aspx?&amp;lu_id=2352&amp;doc_yr=2016&amp;doc_code=AUD" TargetMode="External"/><Relationship Id="rId1416" Type="http://schemas.openxmlformats.org/officeDocument/2006/relationships/hyperlink" Target="https://treas-secure.state.mi.us/LAFDocSearch/tl41R01.aspx?&amp;lu_id=2713&amp;doc_yr=2016&amp;doc_code=AUD" TargetMode="External"/><Relationship Id="rId1623" Type="http://schemas.openxmlformats.org/officeDocument/2006/relationships/hyperlink" Target="https://treas-secure.state.mi.us/LAFDocSearch/tl41R01.aspx?&amp;lu_id=7068&amp;doc_yr=2016&amp;doc_code=AUD" TargetMode="External"/><Relationship Id="rId1830" Type="http://schemas.openxmlformats.org/officeDocument/2006/relationships/hyperlink" Target="https://treas-secure.state.mi.us/LAFDocSearch/tl41R01.aspx?&amp;lu_id=3620&amp;doc_yr=2016&amp;doc_code=AUD" TargetMode="External"/><Relationship Id="rId218" Type="http://schemas.openxmlformats.org/officeDocument/2006/relationships/hyperlink" Target="https://treas-secure.state.mi.us/LAFDocSearch/tl41R01.aspx?&amp;lu_id=334&amp;doc_yr=2016&amp;doc_code=AUD" TargetMode="External"/><Relationship Id="rId425" Type="http://schemas.openxmlformats.org/officeDocument/2006/relationships/hyperlink" Target="https://treas-secure.state.mi.us/LAFDocSearch/tl41R01.aspx?&amp;lu_id=703&amp;doc_yr=2016&amp;doc_code=AUD" TargetMode="External"/><Relationship Id="rId632" Type="http://schemas.openxmlformats.org/officeDocument/2006/relationships/hyperlink" Target="https://treas-secure.state.mi.us/LAFDocSearch/tl41R01.aspx?&amp;lu_id=1092&amp;doc_yr=2016&amp;doc_code=AUD" TargetMode="External"/><Relationship Id="rId1055" Type="http://schemas.openxmlformats.org/officeDocument/2006/relationships/hyperlink" Target="https://treas-secure.state.mi.us/LAFDocSearch/tl41R01.aspx?&amp;lu_id=2116&amp;doc_yr=2016&amp;doc_code=AUD" TargetMode="External"/><Relationship Id="rId1262" Type="http://schemas.openxmlformats.org/officeDocument/2006/relationships/hyperlink" Target="https://treas-secure.state.mi.us/LAFDocSearch/tl41R01.aspx?&amp;lu_id=2440&amp;doc_yr=2016&amp;doc_code=AUD" TargetMode="External"/><Relationship Id="rId1928" Type="http://schemas.openxmlformats.org/officeDocument/2006/relationships/hyperlink" Target="https://treas-secure.state.mi.us/LAFDocSearch/tl41R01.aspx?&amp;lu_id=3817&amp;doc_yr=2016&amp;doc_code=AUD" TargetMode="External"/><Relationship Id="rId2092" Type="http://schemas.openxmlformats.org/officeDocument/2006/relationships/hyperlink" Target="https://treas-secure.state.mi.us/LAFDocSearch/tl41R01.aspx?&amp;lu_id=4293&amp;doc_yr=2016&amp;doc_code=AUD" TargetMode="External"/><Relationship Id="rId2106" Type="http://schemas.openxmlformats.org/officeDocument/2006/relationships/hyperlink" Target="https://treas-secure.state.mi.us/LAFDocSearch/tl41R01.aspx?&amp;lu_id=4309&amp;doc_yr=2016&amp;doc_code=AUD" TargetMode="External"/><Relationship Id="rId2313" Type="http://schemas.openxmlformats.org/officeDocument/2006/relationships/hyperlink" Target="https://treas-secure.state.mi.us/LAFDocSearch/tl41R01.aspx?&amp;lu_id=4729&amp;doc_yr=2016&amp;doc_code=AUD" TargetMode="External"/><Relationship Id="rId2520" Type="http://schemas.openxmlformats.org/officeDocument/2006/relationships/hyperlink" Target="https://treas-secure.state.mi.us/LAFDocSearch/tl41R01.aspx?&amp;lu_id=5112&amp;doc_yr=2016&amp;doc_code=AUD" TargetMode="External"/><Relationship Id="rId2758" Type="http://schemas.openxmlformats.org/officeDocument/2006/relationships/hyperlink" Target="https://treas-secure.state.mi.us/LAFDocSearch/tl41R01.aspx?&amp;lu_id=5839&amp;doc_yr=2016&amp;doc_code=AUD" TargetMode="External"/><Relationship Id="rId271" Type="http://schemas.openxmlformats.org/officeDocument/2006/relationships/hyperlink" Target="https://treas-secure.state.mi.us/LAFDocSearch/tl41R01.aspx?&amp;lu_id=450&amp;doc_yr=2016&amp;doc_code=AUD" TargetMode="External"/><Relationship Id="rId937" Type="http://schemas.openxmlformats.org/officeDocument/2006/relationships/hyperlink" Target="https://treas-secure.state.mi.us/LAFDocSearch/tl41R01.aspx?&amp;lu_id=1813&amp;doc_yr=2016&amp;doc_code=AUD" TargetMode="External"/><Relationship Id="rId1122" Type="http://schemas.openxmlformats.org/officeDocument/2006/relationships/hyperlink" Target="https://treas-secure.state.mi.us/LAFDocSearch/tl41R01.aspx?&amp;lu_id=2198&amp;doc_yr=2016&amp;doc_code=AUD" TargetMode="External"/><Relationship Id="rId1567" Type="http://schemas.openxmlformats.org/officeDocument/2006/relationships/hyperlink" Target="https://treas-secure.state.mi.us/LAFDocSearch/tl41R01.aspx?&amp;lu_id=5969&amp;doc_yr=2016&amp;doc_code=AUD" TargetMode="External"/><Relationship Id="rId1774" Type="http://schemas.openxmlformats.org/officeDocument/2006/relationships/hyperlink" Target="https://treas-secure.state.mi.us/LAFDocSearch/tl41R01.aspx?&amp;lu_id=3544&amp;doc_yr=2016&amp;doc_code=AUD" TargetMode="External"/><Relationship Id="rId1981" Type="http://schemas.openxmlformats.org/officeDocument/2006/relationships/hyperlink" Target="https://treas-secure.state.mi.us/LAFDocSearch/tl41R01.aspx?&amp;lu_id=3861&amp;doc_yr=2016&amp;doc_code=AUD" TargetMode="External"/><Relationship Id="rId2397" Type="http://schemas.openxmlformats.org/officeDocument/2006/relationships/hyperlink" Target="https://treas-secure.state.mi.us/LAFDocSearch/tl41R01.aspx?&amp;lu_id=4920&amp;doc_yr=2016&amp;doc_code=AUD" TargetMode="External"/><Relationship Id="rId2618" Type="http://schemas.openxmlformats.org/officeDocument/2006/relationships/hyperlink" Target="https://treas-secure.state.mi.us/LAFDocSearch/tl41R01.aspx?&amp;lu_id=5410&amp;doc_yr=2016&amp;doc_code=AUD" TargetMode="External"/><Relationship Id="rId66" Type="http://schemas.openxmlformats.org/officeDocument/2006/relationships/hyperlink" Target="https://treas-secure.state.mi.us/LAFDocSearch/tl41R01.aspx?&amp;lu_id=129&amp;doc_yr=2016&amp;doc_code=AUD" TargetMode="External"/><Relationship Id="rId131" Type="http://schemas.openxmlformats.org/officeDocument/2006/relationships/hyperlink" Target="https://treas-secure.state.mi.us/LAFDocSearch/tl41R01.aspx?&amp;lu_id=224&amp;doc_yr=2016&amp;doc_code=AUD" TargetMode="External"/><Relationship Id="rId369" Type="http://schemas.openxmlformats.org/officeDocument/2006/relationships/hyperlink" Target="https://treas-secure.state.mi.us/LAFDocSearch/tl41R01.aspx?&amp;lu_id=597&amp;doc_yr=2016&amp;doc_code=AUD" TargetMode="External"/><Relationship Id="rId576" Type="http://schemas.openxmlformats.org/officeDocument/2006/relationships/hyperlink" Target="https://treas-secure.state.mi.us/LAFDocSearch/tl41R01.aspx?&amp;lu_id=1005&amp;doc_yr=2016&amp;doc_code=AUD" TargetMode="External"/><Relationship Id="rId783" Type="http://schemas.openxmlformats.org/officeDocument/2006/relationships/hyperlink" Target="https://treas-secure.state.mi.us/LAFDocSearch/tl41R01.aspx?&amp;lu_id=1525&amp;doc_yr=2016&amp;doc_code=AUD" TargetMode="External"/><Relationship Id="rId990" Type="http://schemas.openxmlformats.org/officeDocument/2006/relationships/hyperlink" Target="https://treas-secure.state.mi.us/LAFDocSearch/tl41R01.aspx?&amp;lu_id=1983&amp;doc_yr=2016&amp;doc_code=AUD" TargetMode="External"/><Relationship Id="rId1427" Type="http://schemas.openxmlformats.org/officeDocument/2006/relationships/hyperlink" Target="https://treas-secure.state.mi.us/LAFDocSearch/tl41R01.aspx?&amp;lu_id=2733&amp;doc_yr=2016&amp;doc_code=AUD" TargetMode="External"/><Relationship Id="rId1634" Type="http://schemas.openxmlformats.org/officeDocument/2006/relationships/hyperlink" Target="https://treas-secure.state.mi.us/LAFDocSearch/tl41R01.aspx?&amp;lu_id=3298&amp;doc_yr=2016&amp;doc_code=AUD" TargetMode="External"/><Relationship Id="rId1841" Type="http://schemas.openxmlformats.org/officeDocument/2006/relationships/hyperlink" Target="https://treas-secure.state.mi.us/LAFDocSearch/tl41R01.aspx?&amp;lu_id=3612&amp;doc_yr=2016&amp;doc_code=AUD" TargetMode="External"/><Relationship Id="rId2257" Type="http://schemas.openxmlformats.org/officeDocument/2006/relationships/hyperlink" Target="https://treas-secure.state.mi.us/LAFDocSearch/tl41R01.aspx?&amp;lu_id=4585&amp;doc_yr=2016&amp;doc_code=AUD" TargetMode="External"/><Relationship Id="rId2464" Type="http://schemas.openxmlformats.org/officeDocument/2006/relationships/hyperlink" Target="https://treas-secure.state.mi.us/LAFDocSearch/tl41R01.aspx?&amp;lu_id=5035&amp;doc_yr=2016&amp;doc_code=AUD" TargetMode="External"/><Relationship Id="rId2671" Type="http://schemas.openxmlformats.org/officeDocument/2006/relationships/hyperlink" Target="https://treas-secure.state.mi.us/LAFDocSearch/tl41R01.aspx?&amp;lu_id=7816&amp;doc_yr=2016&amp;doc_code=AUD" TargetMode="External"/><Relationship Id="rId229" Type="http://schemas.openxmlformats.org/officeDocument/2006/relationships/hyperlink" Target="https://treas-secure.state.mi.us/LAFDocSearch/tl41R01.aspx?&amp;lu_id=420&amp;doc_yr=2016&amp;doc_code=AUD" TargetMode="External"/><Relationship Id="rId436" Type="http://schemas.openxmlformats.org/officeDocument/2006/relationships/hyperlink" Target="https://treas-secure.state.mi.us/LAFDocSearch/tl41R01.aspx?&amp;lu_id=757&amp;doc_yr=2016&amp;doc_code=AUD" TargetMode="External"/><Relationship Id="rId643" Type="http://schemas.openxmlformats.org/officeDocument/2006/relationships/hyperlink" Target="https://treas-secure.state.mi.us/LAFDocSearch/tl41R01.aspx?&amp;lu_id=5989&amp;doc_yr=2016&amp;doc_code=AUD" TargetMode="External"/><Relationship Id="rId1066" Type="http://schemas.openxmlformats.org/officeDocument/2006/relationships/hyperlink" Target="https://treas-secure.state.mi.us/LAFDocSearch/tl41R01.aspx?&amp;lu_id=2074&amp;doc_yr=2016&amp;doc_code=AUD" TargetMode="External"/><Relationship Id="rId1273" Type="http://schemas.openxmlformats.org/officeDocument/2006/relationships/hyperlink" Target="https://treas-secure.state.mi.us/LAFDocSearch/tl41R01.aspx?&amp;lu_id=2576&amp;doc_yr=2016&amp;doc_code=AUD" TargetMode="External"/><Relationship Id="rId1480" Type="http://schemas.openxmlformats.org/officeDocument/2006/relationships/hyperlink" Target="https://treas-secure.state.mi.us/LAFDocSearch/tl41R01.aspx?&amp;lu_id=2832&amp;doc_yr=2016&amp;doc_code=AUD" TargetMode="External"/><Relationship Id="rId1939" Type="http://schemas.openxmlformats.org/officeDocument/2006/relationships/hyperlink" Target="https://treas-secure.state.mi.us/LAFDocSearch/tl41R01.aspx?&amp;lu_id=4146&amp;doc_yr=2016&amp;doc_code=AUD" TargetMode="External"/><Relationship Id="rId2117" Type="http://schemas.openxmlformats.org/officeDocument/2006/relationships/hyperlink" Target="https://treas-secure.state.mi.us/LAFDocSearch/tl41R01.aspx?&amp;lu_id=4334&amp;doc_yr=2016&amp;doc_code=AUD" TargetMode="External"/><Relationship Id="rId2324" Type="http://schemas.openxmlformats.org/officeDocument/2006/relationships/hyperlink" Target="https://treas-secure.state.mi.us/LAFDocSearch/tl41R01.aspx?&amp;lu_id=4741&amp;doc_yr=2016&amp;doc_code=AUD" TargetMode="External"/><Relationship Id="rId2769" Type="http://schemas.openxmlformats.org/officeDocument/2006/relationships/hyperlink" Target="https://treas-secure.state.mi.us/LAFDocSearch/tl41R01.aspx?&amp;lu_id=5459&amp;doc_yr=2016&amp;doc_code=AUD" TargetMode="External"/><Relationship Id="rId850" Type="http://schemas.openxmlformats.org/officeDocument/2006/relationships/hyperlink" Target="https://treas-secure.state.mi.us/LAFDocSearch/tl41R01.aspx?&amp;lu_id=1601&amp;doc_yr=2016&amp;doc_code=AUD" TargetMode="External"/><Relationship Id="rId948" Type="http://schemas.openxmlformats.org/officeDocument/2006/relationships/hyperlink" Target="https://treas-secure.state.mi.us/LAFDocSearch/tl41R01.aspx?&amp;lu_id=1792&amp;doc_yr=2016&amp;doc_code=AUD" TargetMode="External"/><Relationship Id="rId1133" Type="http://schemas.openxmlformats.org/officeDocument/2006/relationships/hyperlink" Target="https://treas-secure.state.mi.us/LAFDocSearch/tl41R01.aspx?&amp;lu_id=2258&amp;doc_yr=2016&amp;doc_code=AUD" TargetMode="External"/><Relationship Id="rId1578" Type="http://schemas.openxmlformats.org/officeDocument/2006/relationships/hyperlink" Target="https://treas-secure.state.mi.us/LAFDocSearch/tl41R01.aspx?&amp;lu_id=6092&amp;doc_yr=2016&amp;doc_code=AUD" TargetMode="External"/><Relationship Id="rId1701" Type="http://schemas.openxmlformats.org/officeDocument/2006/relationships/hyperlink" Target="https://treas-secure.state.mi.us/LAFDocSearch/tl41R01.aspx?&amp;lu_id=3372&amp;doc_yr=2016&amp;doc_code=AUD" TargetMode="External"/><Relationship Id="rId1785" Type="http://schemas.openxmlformats.org/officeDocument/2006/relationships/hyperlink" Target="https://treas-secure.state.mi.us/LAFDocSearch/tl41R01.aspx?&amp;lu_id=3534&amp;doc_yr=2016&amp;doc_code=AUD" TargetMode="External"/><Relationship Id="rId1992" Type="http://schemas.openxmlformats.org/officeDocument/2006/relationships/hyperlink" Target="https://treas-secure.state.mi.us/LAFDocSearch/tl41R01.aspx?&amp;lu_id=3865&amp;doc_yr=2016&amp;doc_code=AUD" TargetMode="External"/><Relationship Id="rId2531" Type="http://schemas.openxmlformats.org/officeDocument/2006/relationships/hyperlink" Target="https://treas-secure.state.mi.us/LAFDocSearch/tl41R01.aspx?&amp;lu_id=5201&amp;doc_yr=2016&amp;doc_code=AUD" TargetMode="External"/><Relationship Id="rId2629" Type="http://schemas.openxmlformats.org/officeDocument/2006/relationships/hyperlink" Target="https://treas-secure.state.mi.us/LAFDocSearch/tl41R01.aspx?&amp;lu_id=5382&amp;doc_yr=2016&amp;doc_code=AUD" TargetMode="External"/><Relationship Id="rId77" Type="http://schemas.openxmlformats.org/officeDocument/2006/relationships/hyperlink" Target="https://treas-secure.state.mi.us/LAFDocSearch/tl41R01.aspx?&amp;lu_id=71&amp;doc_yr=2016&amp;doc_code=AUD" TargetMode="External"/><Relationship Id="rId282" Type="http://schemas.openxmlformats.org/officeDocument/2006/relationships/hyperlink" Target="https://treas-secure.state.mi.us/LAFDocSearch/tl41R01.aspx?&amp;lu_id=459&amp;doc_yr=2016&amp;doc_code=AUD" TargetMode="External"/><Relationship Id="rId503" Type="http://schemas.openxmlformats.org/officeDocument/2006/relationships/hyperlink" Target="https://treas-secure.state.mi.us/LAFDocSearch/tl41R01.aspx?&amp;lu_id=848&amp;doc_yr=2016&amp;doc_code=AUD" TargetMode="External"/><Relationship Id="rId587" Type="http://schemas.openxmlformats.org/officeDocument/2006/relationships/hyperlink" Target="https://treas-secure.state.mi.us/LAFDocSearch/tl41R01.aspx?&amp;lu_id=1033&amp;doc_yr=2016&amp;doc_code=AUD" TargetMode="External"/><Relationship Id="rId710" Type="http://schemas.openxmlformats.org/officeDocument/2006/relationships/hyperlink" Target="https://treas-secure.state.mi.us/LAFDocSearch/tl41R01.aspx?&amp;lu_id=1435&amp;doc_yr=2016&amp;doc_code=AUD" TargetMode="External"/><Relationship Id="rId808" Type="http://schemas.openxmlformats.org/officeDocument/2006/relationships/hyperlink" Target="https://treas-secure.state.mi.us/LAFDocSearch/tl41R01.aspx?&amp;lu_id=1543&amp;doc_yr=2016&amp;doc_code=AUD" TargetMode="External"/><Relationship Id="rId1340" Type="http://schemas.openxmlformats.org/officeDocument/2006/relationships/hyperlink" Target="https://treas-secure.state.mi.us/LAFDocSearch/tl41R01.aspx?&amp;lu_id=2604&amp;doc_yr=2016&amp;doc_code=AUD" TargetMode="External"/><Relationship Id="rId1438" Type="http://schemas.openxmlformats.org/officeDocument/2006/relationships/hyperlink" Target="https://treas-secure.state.mi.us/LAFDocSearch/tl41R01.aspx?&amp;lu_id=2740&amp;doc_yr=2016&amp;doc_code=AUD" TargetMode="External"/><Relationship Id="rId1645" Type="http://schemas.openxmlformats.org/officeDocument/2006/relationships/hyperlink" Target="https://treas-secure.state.mi.us/LAFDocSearch/tl41R01.aspx?&amp;lu_id=3293&amp;doc_yr=2016&amp;doc_code=AUD" TargetMode="External"/><Relationship Id="rId2170" Type="http://schemas.openxmlformats.org/officeDocument/2006/relationships/hyperlink" Target="https://treas-secure.state.mi.us/LAFDocSearch/tl41R01.aspx?&amp;lu_id=4479&amp;doc_yr=2016&amp;doc_code=AUD" TargetMode="External"/><Relationship Id="rId2268" Type="http://schemas.openxmlformats.org/officeDocument/2006/relationships/hyperlink" Target="https://treas-secure.state.mi.us/LAFDocSearch/tl41R01.aspx?&amp;lu_id=4589&amp;doc_yr=2016&amp;doc_code=AUD" TargetMode="External"/><Relationship Id="rId8" Type="http://schemas.openxmlformats.org/officeDocument/2006/relationships/hyperlink" Target="https://treas-secure.state.mi.us/LAFDocSearch/tl41R01.aspx?&amp;lu_id=9&amp;doc_yr=2016&amp;doc_code=AUD" TargetMode="External"/><Relationship Id="rId142" Type="http://schemas.openxmlformats.org/officeDocument/2006/relationships/hyperlink" Target="https://treas-secure.state.mi.us/LAFDocSearch/tl41R01.aspx?&amp;lu_id=250&amp;doc_yr=2016&amp;doc_code=AUD" TargetMode="External"/><Relationship Id="rId447" Type="http://schemas.openxmlformats.org/officeDocument/2006/relationships/hyperlink" Target="https://treas-secure.state.mi.us/LAFDocSearch/tl41R01.aspx?&amp;lu_id=784&amp;doc_yr=2016&amp;doc_code=AUD" TargetMode="External"/><Relationship Id="rId794" Type="http://schemas.openxmlformats.org/officeDocument/2006/relationships/hyperlink" Target="https://treas-secure.state.mi.us/LAFDocSearch/tl41R01.aspx?&amp;lu_id=1532&amp;doc_yr=2016&amp;doc_code=AUD" TargetMode="External"/><Relationship Id="rId1077" Type="http://schemas.openxmlformats.org/officeDocument/2006/relationships/hyperlink" Target="https://treas-secure.state.mi.us/LAFDocSearch/tl41R01.aspx?&amp;lu_id=2126&amp;doc_yr=2016&amp;doc_code=AUD" TargetMode="External"/><Relationship Id="rId1200" Type="http://schemas.openxmlformats.org/officeDocument/2006/relationships/hyperlink" Target="https://treas-secure.state.mi.us/LAFDocSearch/tl41R01.aspx?&amp;lu_id=2347&amp;doc_yr=2016&amp;doc_code=AUD" TargetMode="External"/><Relationship Id="rId1852" Type="http://schemas.openxmlformats.org/officeDocument/2006/relationships/hyperlink" Target="https://treas-secure.state.mi.us/LAFDocSearch/tl41R01.aspx?&amp;lu_id=3683&amp;doc_yr=2016&amp;doc_code=AUD" TargetMode="External"/><Relationship Id="rId2030" Type="http://schemas.openxmlformats.org/officeDocument/2006/relationships/hyperlink" Target="https://treas-secure.state.mi.us/LAFDocSearch/tl41R01.aspx?&amp;lu_id=3844&amp;doc_yr=2016&amp;doc_code=AUD" TargetMode="External"/><Relationship Id="rId2128" Type="http://schemas.openxmlformats.org/officeDocument/2006/relationships/hyperlink" Target="https://treas-secure.state.mi.us/LAFDocSearch/tl41R01.aspx?&amp;lu_id=4347&amp;doc_yr=2016&amp;doc_code=AUD" TargetMode="External"/><Relationship Id="rId2475" Type="http://schemas.openxmlformats.org/officeDocument/2006/relationships/hyperlink" Target="https://treas-secure.state.mi.us/LAFDocSearch/tl41R01.aspx?&amp;lu_id=5029&amp;doc_yr=2016&amp;doc_code=AUD" TargetMode="External"/><Relationship Id="rId2682" Type="http://schemas.openxmlformats.org/officeDocument/2006/relationships/hyperlink" Target="https://treas-secure.state.mi.us/LAFDocSearch/tl41R01.aspx?&amp;lu_id=7543&amp;doc_yr=2016&amp;doc_code=AUD" TargetMode="External"/><Relationship Id="rId654" Type="http://schemas.openxmlformats.org/officeDocument/2006/relationships/hyperlink" Target="https://treas-secure.state.mi.us/LAFDocSearch/tl41R01.aspx?&amp;lu_id=1264&amp;doc_yr=2016&amp;doc_code=AUD" TargetMode="External"/><Relationship Id="rId861" Type="http://schemas.openxmlformats.org/officeDocument/2006/relationships/hyperlink" Target="https://treas-secure.state.mi.us/LAFDocSearch/tl41R01.aspx?&amp;lu_id=1608&amp;doc_yr=2016&amp;doc_code=AUD" TargetMode="External"/><Relationship Id="rId959" Type="http://schemas.openxmlformats.org/officeDocument/2006/relationships/hyperlink" Target="https://treas-secure.state.mi.us/LAFDocSearch/tl41R01.aspx?&amp;lu_id=1783&amp;doc_yr=2016&amp;doc_code=AUD" TargetMode="External"/><Relationship Id="rId1284" Type="http://schemas.openxmlformats.org/officeDocument/2006/relationships/hyperlink" Target="https://treas-secure.state.mi.us/LAFDocSearch/tl41R01.aspx?&amp;lu_id=6096&amp;doc_yr=2016&amp;doc_code=AUD" TargetMode="External"/><Relationship Id="rId1491" Type="http://schemas.openxmlformats.org/officeDocument/2006/relationships/hyperlink" Target="https://treas-secure.state.mi.us/LAFDocSearch/tl41R01.aspx?&amp;lu_id=2913&amp;doc_yr=2016&amp;doc_code=AUD" TargetMode="External"/><Relationship Id="rId1505" Type="http://schemas.openxmlformats.org/officeDocument/2006/relationships/hyperlink" Target="https://treas-secure.state.mi.us/LAFDocSearch/tl41R01.aspx?&amp;lu_id=2927&amp;doc_yr=2016&amp;doc_code=AUD" TargetMode="External"/><Relationship Id="rId1589" Type="http://schemas.openxmlformats.org/officeDocument/2006/relationships/hyperlink" Target="https://treas-secure.state.mi.us/LAFDocSearch/tl41R01.aspx?&amp;lu_id=3184&amp;doc_yr=2016&amp;doc_code=AUD" TargetMode="External"/><Relationship Id="rId1712" Type="http://schemas.openxmlformats.org/officeDocument/2006/relationships/hyperlink" Target="https://treas-secure.state.mi.us/LAFDocSearch/tl41R01.aspx?&amp;lu_id=3417&amp;doc_yr=2016&amp;doc_code=AUD" TargetMode="External"/><Relationship Id="rId2335" Type="http://schemas.openxmlformats.org/officeDocument/2006/relationships/hyperlink" Target="https://treas-secure.state.mi.us/LAFDocSearch/tl41R01.aspx?&amp;lu_id=4745&amp;doc_yr=2016&amp;doc_code=AUD" TargetMode="External"/><Relationship Id="rId2542" Type="http://schemas.openxmlformats.org/officeDocument/2006/relationships/hyperlink" Target="https://treas-secure.state.mi.us/LAFDocSearch/tl41R01.aspx?&amp;lu_id=5240&amp;doc_yr=2016&amp;doc_code=AUD" TargetMode="External"/><Relationship Id="rId293" Type="http://schemas.openxmlformats.org/officeDocument/2006/relationships/hyperlink" Target="https://treas-secure.state.mi.us/LAFDocSearch/tl41R01.aspx?&amp;lu_id=546&amp;doc_yr=2016&amp;doc_code=AUD" TargetMode="External"/><Relationship Id="rId307" Type="http://schemas.openxmlformats.org/officeDocument/2006/relationships/hyperlink" Target="https://treas-secure.state.mi.us/LAFDocSearch/tl41R01.aspx?&amp;lu_id=463&amp;doc_yr=2016&amp;doc_code=AUD" TargetMode="External"/><Relationship Id="rId514" Type="http://schemas.openxmlformats.org/officeDocument/2006/relationships/hyperlink" Target="https://treas-secure.state.mi.us/LAFDocSearch/tl41R01.aspx?&amp;lu_id=904&amp;doc_yr=2016&amp;doc_code=AUD" TargetMode="External"/><Relationship Id="rId721" Type="http://schemas.openxmlformats.org/officeDocument/2006/relationships/hyperlink" Target="https://treas-secure.state.mi.us/LAFDocSearch/tl41R01.aspx?&amp;lu_id=1334&amp;doc_yr=2016&amp;doc_code=AUD" TargetMode="External"/><Relationship Id="rId1144" Type="http://schemas.openxmlformats.org/officeDocument/2006/relationships/hyperlink" Target="https://treas-secure.state.mi.us/LAFDocSearch/tl41R01.aspx?&amp;lu_id=2230&amp;doc_yr=2016&amp;doc_code=AUD" TargetMode="External"/><Relationship Id="rId1351" Type="http://schemas.openxmlformats.org/officeDocument/2006/relationships/hyperlink" Target="https://treas-secure.state.mi.us/LAFDocSearch/tl41R01.aspx?&amp;lu_id=2612&amp;doc_yr=2016&amp;doc_code=AUD" TargetMode="External"/><Relationship Id="rId1449" Type="http://schemas.openxmlformats.org/officeDocument/2006/relationships/hyperlink" Target="https://treas-secure.state.mi.us/LAFDocSearch/tl41R01.aspx?&amp;lu_id=2743&amp;doc_yr=2016&amp;doc_code=AUD" TargetMode="External"/><Relationship Id="rId1796" Type="http://schemas.openxmlformats.org/officeDocument/2006/relationships/hyperlink" Target="https://treas-secure.state.mi.us/LAFDocSearch/tl41R01.aspx?&amp;lu_id=6163&amp;doc_yr=2016&amp;doc_code=AUD" TargetMode="External"/><Relationship Id="rId2181" Type="http://schemas.openxmlformats.org/officeDocument/2006/relationships/hyperlink" Target="https://treas-secure.state.mi.us/LAFDocSearch/tl41R01.aspx?&amp;lu_id=4482&amp;doc_yr=2016&amp;doc_code=AUD" TargetMode="External"/><Relationship Id="rId2402" Type="http://schemas.openxmlformats.org/officeDocument/2006/relationships/hyperlink" Target="https://treas-secure.state.mi.us/LAFDocSearch/tl41R01.aspx?&amp;lu_id=4925&amp;doc_yr=2016&amp;doc_code=AUD" TargetMode="External"/><Relationship Id="rId88" Type="http://schemas.openxmlformats.org/officeDocument/2006/relationships/hyperlink" Target="https://treas-secure.state.mi.us/LAFDocSearch/tl41R01.aspx?&amp;lu_id=155&amp;doc_yr=2016&amp;doc_code=AUD" TargetMode="External"/><Relationship Id="rId153" Type="http://schemas.openxmlformats.org/officeDocument/2006/relationships/hyperlink" Target="https://treas-secure.state.mi.us/LAFDocSearch/tl41R01.aspx?&amp;lu_id=254&amp;doc_yr=2016&amp;doc_code=AUD" TargetMode="External"/><Relationship Id="rId360" Type="http://schemas.openxmlformats.org/officeDocument/2006/relationships/hyperlink" Target="https://treas-secure.state.mi.us/LAFDocSearch/tl41R01.aspx?&amp;lu_id=677&amp;doc_yr=2016&amp;doc_code=AUD" TargetMode="External"/><Relationship Id="rId598" Type="http://schemas.openxmlformats.org/officeDocument/2006/relationships/hyperlink" Target="https://treas-secure.state.mi.us/LAFDocSearch/tl41R01.aspx?&amp;lu_id=1017&amp;doc_yr=2016&amp;doc_code=AUD" TargetMode="External"/><Relationship Id="rId819" Type="http://schemas.openxmlformats.org/officeDocument/2006/relationships/hyperlink" Target="https://treas-secure.state.mi.us/LAFDocSearch/tl41R01.aspx?&amp;lu_id=1547&amp;doc_yr=2016&amp;doc_code=AUD" TargetMode="External"/><Relationship Id="rId1004" Type="http://schemas.openxmlformats.org/officeDocument/2006/relationships/hyperlink" Target="https://treas-secure.state.mi.us/LAFDocSearch/tl41R01.aspx?&amp;lu_id=2029&amp;doc_yr=2016&amp;doc_code=AUD" TargetMode="External"/><Relationship Id="rId1211" Type="http://schemas.openxmlformats.org/officeDocument/2006/relationships/hyperlink" Target="https://treas-secure.state.mi.us/LAFDocSearch/tl41R01.aspx?&amp;lu_id=7640&amp;doc_yr=2016&amp;doc_code=AUD" TargetMode="External"/><Relationship Id="rId1656" Type="http://schemas.openxmlformats.org/officeDocument/2006/relationships/hyperlink" Target="https://treas-secure.state.mi.us/LAFDocSearch/tl41R01.aspx?&amp;lu_id=3307&amp;doc_yr=2016&amp;doc_code=AUD" TargetMode="External"/><Relationship Id="rId1863" Type="http://schemas.openxmlformats.org/officeDocument/2006/relationships/hyperlink" Target="https://treas-secure.state.mi.us/LAFDocSearch/tl41R01.aspx?&amp;lu_id=3689&amp;doc_yr=2016&amp;doc_code=AUD" TargetMode="External"/><Relationship Id="rId2041" Type="http://schemas.openxmlformats.org/officeDocument/2006/relationships/hyperlink" Target="https://treas-secure.state.mi.us/LAFDocSearch/tl41R01.aspx?&amp;lu_id=4134&amp;doc_yr=2016&amp;doc_code=AUD" TargetMode="External"/><Relationship Id="rId2279" Type="http://schemas.openxmlformats.org/officeDocument/2006/relationships/hyperlink" Target="https://treas-secure.state.mi.us/LAFDocSearch/tl41R01.aspx?&amp;lu_id=4610&amp;doc_yr=2016&amp;doc_code=AUD" TargetMode="External"/><Relationship Id="rId2486" Type="http://schemas.openxmlformats.org/officeDocument/2006/relationships/hyperlink" Target="https://treas-secure.state.mi.us/LAFDocSearch/tl41R01.aspx?&amp;lu_id=5162&amp;doc_yr=2016&amp;doc_code=AUD" TargetMode="External"/><Relationship Id="rId2693" Type="http://schemas.openxmlformats.org/officeDocument/2006/relationships/hyperlink" Target="https://treas-secure.state.mi.us/LAFDocSearch/tl41R01.aspx?&amp;lu_id=5432&amp;doc_yr=2016&amp;doc_code=AUD" TargetMode="External"/><Relationship Id="rId2707" Type="http://schemas.openxmlformats.org/officeDocument/2006/relationships/hyperlink" Target="https://treas-secure.state.mi.us/LAFDocSearch/tl41R01.aspx?&amp;lu_id=5690&amp;doc_yr=2016&amp;doc_code=AUD" TargetMode="External"/><Relationship Id="rId220" Type="http://schemas.openxmlformats.org/officeDocument/2006/relationships/hyperlink" Target="https://treas-secure.state.mi.us/LAFDocSearch/tl41R01.aspx?&amp;lu_id=335&amp;doc_yr=2016&amp;doc_code=AUD" TargetMode="External"/><Relationship Id="rId458" Type="http://schemas.openxmlformats.org/officeDocument/2006/relationships/hyperlink" Target="https://treas-secure.state.mi.us/LAFDocSearch/tl41R01.aspx?&amp;lu_id=781&amp;doc_yr=2016&amp;doc_code=AUD" TargetMode="External"/><Relationship Id="rId665" Type="http://schemas.openxmlformats.org/officeDocument/2006/relationships/hyperlink" Target="https://treas-secure.state.mi.us/LAFDocSearch/tl41R01.aspx?&amp;lu_id=1104&amp;doc_yr=2016&amp;doc_code=AUD" TargetMode="External"/><Relationship Id="rId872" Type="http://schemas.openxmlformats.org/officeDocument/2006/relationships/hyperlink" Target="https://treas-secure.state.mi.us/LAFDocSearch/tl41R01.aspx?&amp;lu_id=1651&amp;doc_yr=2016&amp;doc_code=AUD" TargetMode="External"/><Relationship Id="rId1088" Type="http://schemas.openxmlformats.org/officeDocument/2006/relationships/hyperlink" Target="https://treas-secure.state.mi.us/LAFDocSearch/tl41R01.aspx?&amp;lu_id=2125&amp;doc_yr=2016&amp;doc_code=AUD" TargetMode="External"/><Relationship Id="rId1295" Type="http://schemas.openxmlformats.org/officeDocument/2006/relationships/hyperlink" Target="https://treas-secure.state.mi.us/LAFDocSearch/tl41R01.aspx?&amp;lu_id=2527&amp;doc_yr=2016&amp;doc_code=AUD" TargetMode="External"/><Relationship Id="rId1309" Type="http://schemas.openxmlformats.org/officeDocument/2006/relationships/hyperlink" Target="https://treas-secure.state.mi.us/LAFDocSearch/tl41R01.aspx?&amp;lu_id=2589&amp;doc_yr=2016&amp;doc_code=AUD" TargetMode="External"/><Relationship Id="rId1516" Type="http://schemas.openxmlformats.org/officeDocument/2006/relationships/hyperlink" Target="https://treas-secure.state.mi.us/LAFDocSearch/tl41R01.aspx?&amp;lu_id=2941&amp;doc_yr=2016&amp;doc_code=AUD" TargetMode="External"/><Relationship Id="rId1723" Type="http://schemas.openxmlformats.org/officeDocument/2006/relationships/hyperlink" Target="https://treas-secure.state.mi.us/LAFDocSearch/tl41R01.aspx?&amp;lu_id=3423&amp;doc_yr=2016&amp;doc_code=AUD" TargetMode="External"/><Relationship Id="rId1930" Type="http://schemas.openxmlformats.org/officeDocument/2006/relationships/hyperlink" Target="https://treas-secure.state.mi.us/LAFDocSearch/tl41R01.aspx?&amp;lu_id=3819&amp;doc_yr=2016&amp;doc_code=AUD" TargetMode="External"/><Relationship Id="rId2139" Type="http://schemas.openxmlformats.org/officeDocument/2006/relationships/hyperlink" Target="https://treas-secure.state.mi.us/LAFDocSearch/tl41R01.aspx?&amp;lu_id=4382&amp;doc_yr=2016&amp;doc_code=AUD" TargetMode="External"/><Relationship Id="rId2346" Type="http://schemas.openxmlformats.org/officeDocument/2006/relationships/hyperlink" Target="https://treas-secure.state.mi.us/LAFDocSearch/tl41R01.aspx?&amp;lu_id=4753&amp;doc_yr=2016&amp;doc_code=AUD" TargetMode="External"/><Relationship Id="rId2553" Type="http://schemas.openxmlformats.org/officeDocument/2006/relationships/hyperlink" Target="https://treas-secure.state.mi.us/LAFDocSearch/tl41R01.aspx?&amp;lu_id=5237&amp;doc_yr=2016&amp;doc_code=AUD" TargetMode="External"/><Relationship Id="rId2760" Type="http://schemas.openxmlformats.org/officeDocument/2006/relationships/hyperlink" Target="https://treas-secure.state.mi.us/LAFDocSearch/tl41R01.aspx?&amp;lu_id=6229&amp;doc_yr=2016&amp;doc_code=AUD" TargetMode="External"/><Relationship Id="rId15" Type="http://schemas.openxmlformats.org/officeDocument/2006/relationships/hyperlink" Target="https://treas-secure.state.mi.us/LAFDocSearch/tl41R01.aspx?&amp;lu_id=25&amp;doc_yr=2016&amp;doc_code=AUD" TargetMode="External"/><Relationship Id="rId318" Type="http://schemas.openxmlformats.org/officeDocument/2006/relationships/hyperlink" Target="https://treas-secure.state.mi.us/LAFDocSearch/tl41R01.aspx?&amp;lu_id=533&amp;doc_yr=2016&amp;doc_code=AUD" TargetMode="External"/><Relationship Id="rId525" Type="http://schemas.openxmlformats.org/officeDocument/2006/relationships/hyperlink" Target="https://treas-secure.state.mi.us/LAFDocSearch/tl41R01.aspx?&amp;lu_id=894&amp;doc_yr=2016&amp;doc_code=AUD" TargetMode="External"/><Relationship Id="rId732" Type="http://schemas.openxmlformats.org/officeDocument/2006/relationships/hyperlink" Target="https://treas-secure.state.mi.us/LAFDocSearch/tl41R01.aspx?&amp;lu_id=1405&amp;doc_yr=2016&amp;doc_code=AUD" TargetMode="External"/><Relationship Id="rId1155" Type="http://schemas.openxmlformats.org/officeDocument/2006/relationships/hyperlink" Target="https://treas-secure.state.mi.us/LAFDocSearch/tl41R01.aspx?&amp;lu_id=2226&amp;doc_yr=2016&amp;doc_code=AUD" TargetMode="External"/><Relationship Id="rId1362" Type="http://schemas.openxmlformats.org/officeDocument/2006/relationships/hyperlink" Target="https://treas-secure.state.mi.us/LAFDocSearch/tl41R01.aspx?&amp;lu_id=2622&amp;doc_yr=2016&amp;doc_code=AUD" TargetMode="External"/><Relationship Id="rId2192" Type="http://schemas.openxmlformats.org/officeDocument/2006/relationships/hyperlink" Target="https://treas-secure.state.mi.us/LAFDocSearch/tl41R01.aspx?&amp;lu_id=4426&amp;doc_yr=2016&amp;doc_code=AUD" TargetMode="External"/><Relationship Id="rId2206" Type="http://schemas.openxmlformats.org/officeDocument/2006/relationships/hyperlink" Target="https://treas-secure.state.mi.us/LAFDocSearch/tl41R01.aspx?&amp;lu_id=4516&amp;doc_yr=2016&amp;doc_code=AUD" TargetMode="External"/><Relationship Id="rId2413" Type="http://schemas.openxmlformats.org/officeDocument/2006/relationships/hyperlink" Target="https://treas-secure.state.mi.us/LAFDocSearch/tl41R01.aspx?&amp;lu_id=4986&amp;doc_yr=2016&amp;doc_code=AUD" TargetMode="External"/><Relationship Id="rId2620" Type="http://schemas.openxmlformats.org/officeDocument/2006/relationships/hyperlink" Target="https://treas-secure.state.mi.us/LAFDocSearch/tl41R01.aspx?&amp;lu_id=5282&amp;doc_yr=2016&amp;doc_code=AUD" TargetMode="External"/><Relationship Id="rId99" Type="http://schemas.openxmlformats.org/officeDocument/2006/relationships/hyperlink" Target="https://treas-secure.state.mi.us/LAFDocSearch/tl41R01.aspx?&amp;lu_id=178&amp;doc_yr=2016&amp;doc_code=AUD" TargetMode="External"/><Relationship Id="rId164" Type="http://schemas.openxmlformats.org/officeDocument/2006/relationships/hyperlink" Target="https://treas-secure.state.mi.us/LAFDocSearch/tl41R01.aspx?&amp;lu_id=312&amp;doc_yr=2016&amp;doc_code=AUD" TargetMode="External"/><Relationship Id="rId371" Type="http://schemas.openxmlformats.org/officeDocument/2006/relationships/hyperlink" Target="https://treas-secure.state.mi.us/LAFDocSearch/tl41R01.aspx?&amp;lu_id=669&amp;doc_yr=2016&amp;doc_code=AUD" TargetMode="External"/><Relationship Id="rId1015" Type="http://schemas.openxmlformats.org/officeDocument/2006/relationships/hyperlink" Target="https://treas-secure.state.mi.us/LAFDocSearch/tl41R01.aspx?&amp;lu_id=1911&amp;doc_yr=2016&amp;doc_code=AUD" TargetMode="External"/><Relationship Id="rId1222" Type="http://schemas.openxmlformats.org/officeDocument/2006/relationships/hyperlink" Target="https://treas-secure.state.mi.us/LAFDocSearch/tl41R01.aspx?&amp;lu_id=2406&amp;doc_yr=2016&amp;doc_code=AUD" TargetMode="External"/><Relationship Id="rId1667" Type="http://schemas.openxmlformats.org/officeDocument/2006/relationships/hyperlink" Target="https://treas-secure.state.mi.us/LAFDocSearch/tl41R01.aspx?&amp;lu_id=3333&amp;doc_yr=2016&amp;doc_code=AUD" TargetMode="External"/><Relationship Id="rId1874" Type="http://schemas.openxmlformats.org/officeDocument/2006/relationships/hyperlink" Target="https://treas-secure.state.mi.us/LAFDocSearch/tl41R01.aspx?&amp;lu_id=3712&amp;doc_yr=2016&amp;doc_code=AUD" TargetMode="External"/><Relationship Id="rId2052" Type="http://schemas.openxmlformats.org/officeDocument/2006/relationships/hyperlink" Target="https://treas-secure.state.mi.us/LAFDocSearch/tl41R01.aspx?&amp;lu_id=4223&amp;doc_yr=2016&amp;doc_code=AUD" TargetMode="External"/><Relationship Id="rId2497" Type="http://schemas.openxmlformats.org/officeDocument/2006/relationships/hyperlink" Target="https://treas-secure.state.mi.us/LAFDocSearch/tl41R01.aspx?&amp;lu_id=5104&amp;doc_yr=2016&amp;doc_code=AUD" TargetMode="External"/><Relationship Id="rId2718" Type="http://schemas.openxmlformats.org/officeDocument/2006/relationships/hyperlink" Target="https://treas-secure.state.mi.us/LAFDocSearch/tl41R01.aspx?&amp;lu_id=5818&amp;doc_yr=2016&amp;doc_code=AUD" TargetMode="External"/><Relationship Id="rId469" Type="http://schemas.openxmlformats.org/officeDocument/2006/relationships/hyperlink" Target="https://treas-secure.state.mi.us/LAFDocSearch/tl41R01.aspx?&amp;lu_id=825&amp;doc_yr=2016&amp;doc_code=AUD" TargetMode="External"/><Relationship Id="rId676" Type="http://schemas.openxmlformats.org/officeDocument/2006/relationships/hyperlink" Target="https://treas-secure.state.mi.us/LAFDocSearch/tl41R01.aspx?&amp;lu_id=1275&amp;doc_yr=2016&amp;doc_code=AUD" TargetMode="External"/><Relationship Id="rId883" Type="http://schemas.openxmlformats.org/officeDocument/2006/relationships/hyperlink" Target="https://treas-secure.state.mi.us/LAFDocSearch/tl41R01.aspx?&amp;lu_id=1702&amp;doc_yr=2016&amp;doc_code=AUD" TargetMode="External"/><Relationship Id="rId1099" Type="http://schemas.openxmlformats.org/officeDocument/2006/relationships/hyperlink" Target="https://treas-secure.state.mi.us/LAFDocSearch/tl41R01.aspx?&amp;lu_id=2164&amp;doc_yr=2016&amp;doc_code=AUD" TargetMode="External"/><Relationship Id="rId1527" Type="http://schemas.openxmlformats.org/officeDocument/2006/relationships/hyperlink" Target="https://treas-secure.state.mi.us/LAFDocSearch/tl41R01.aspx?&amp;lu_id=2948&amp;doc_yr=2016&amp;doc_code=AUD" TargetMode="External"/><Relationship Id="rId1734" Type="http://schemas.openxmlformats.org/officeDocument/2006/relationships/hyperlink" Target="https://treas-secure.state.mi.us/LAFDocSearch/tl41R01.aspx?&amp;lu_id=3459&amp;doc_yr=2016&amp;doc_code=AUD" TargetMode="External"/><Relationship Id="rId1941" Type="http://schemas.openxmlformats.org/officeDocument/2006/relationships/hyperlink" Target="https://treas-secure.state.mi.us/LAFDocSearch/tl41R01.aspx?&amp;lu_id=4139&amp;doc_yr=2016&amp;doc_code=AUD" TargetMode="External"/><Relationship Id="rId2357" Type="http://schemas.openxmlformats.org/officeDocument/2006/relationships/hyperlink" Target="https://treas-secure.state.mi.us/LAFDocSearch/tl41R01.aspx?&amp;lu_id=4844&amp;doc_yr=2016&amp;doc_code=AUD" TargetMode="External"/><Relationship Id="rId2564" Type="http://schemas.openxmlformats.org/officeDocument/2006/relationships/hyperlink" Target="https://treas-secure.state.mi.us/LAFDocSearch/tl41R01.aspx?&amp;lu_id=5195&amp;doc_yr=2016&amp;doc_code=AUD" TargetMode="External"/><Relationship Id="rId26" Type="http://schemas.openxmlformats.org/officeDocument/2006/relationships/hyperlink" Target="https://treas-secure.state.mi.us/LAFDocSearch/tl41R01.aspx?&amp;lu_id=72&amp;doc_yr=2016&amp;doc_code=AUD" TargetMode="External"/><Relationship Id="rId231" Type="http://schemas.openxmlformats.org/officeDocument/2006/relationships/hyperlink" Target="https://treas-secure.state.mi.us/LAFDocSearch/tl41R01.aspx?&amp;lu_id=393&amp;doc_yr=2016&amp;doc_code=AUD" TargetMode="External"/><Relationship Id="rId329" Type="http://schemas.openxmlformats.org/officeDocument/2006/relationships/hyperlink" Target="https://treas-secure.state.mi.us/LAFDocSearch/tl41R01.aspx?&amp;lu_id=5988&amp;doc_yr=2016&amp;doc_code=AUD" TargetMode="External"/><Relationship Id="rId536" Type="http://schemas.openxmlformats.org/officeDocument/2006/relationships/hyperlink" Target="https://treas-secure.state.mi.us/LAFDocSearch/tl41R01.aspx?&amp;lu_id=984&amp;doc_yr=2016&amp;doc_code=AUD" TargetMode="External"/><Relationship Id="rId1166" Type="http://schemas.openxmlformats.org/officeDocument/2006/relationships/hyperlink" Target="https://treas-secure.state.mi.us/LAFDocSearch/tl41R01.aspx?&amp;lu_id=2276&amp;doc_yr=2016&amp;doc_code=AUD" TargetMode="External"/><Relationship Id="rId1373" Type="http://schemas.openxmlformats.org/officeDocument/2006/relationships/hyperlink" Target="https://treas-secure.state.mi.us/LAFDocSearch/tl41R01.aspx?&amp;lu_id=2645&amp;doc_yr=2016&amp;doc_code=AUD" TargetMode="External"/><Relationship Id="rId2217" Type="http://schemas.openxmlformats.org/officeDocument/2006/relationships/hyperlink" Target="https://treas-secure.state.mi.us/LAFDocSearch/tl41R01.aspx?&amp;lu_id=4510&amp;doc_yr=2016&amp;doc_code=AUD" TargetMode="External"/><Relationship Id="rId2771" Type="http://schemas.openxmlformats.org/officeDocument/2006/relationships/hyperlink" Target="https://treas-secure.state.mi.us/LAFDocSearch/tl41R01.aspx?&amp;lu_id=5796&amp;doc_yr=2016&amp;doc_code=AUD" TargetMode="External"/><Relationship Id="rId175" Type="http://schemas.openxmlformats.org/officeDocument/2006/relationships/hyperlink" Target="https://treas-secure.state.mi.us/LAFDocSearch/tl41R01.aspx?&amp;lu_id=282&amp;doc_yr=2016&amp;doc_code=AUD" TargetMode="External"/><Relationship Id="rId743" Type="http://schemas.openxmlformats.org/officeDocument/2006/relationships/hyperlink" Target="https://treas-secure.state.mi.us/LAFDocSearch/tl41R01.aspx?&amp;lu_id=1446&amp;doc_yr=2016&amp;doc_code=AUD" TargetMode="External"/><Relationship Id="rId950" Type="http://schemas.openxmlformats.org/officeDocument/2006/relationships/hyperlink" Target="https://treas-secure.state.mi.us/LAFDocSearch/tl41R01.aspx?&amp;lu_id=1814&amp;doc_yr=2016&amp;doc_code=AUD" TargetMode="External"/><Relationship Id="rId1026" Type="http://schemas.openxmlformats.org/officeDocument/2006/relationships/hyperlink" Target="https://treas-secure.state.mi.us/LAFDocSearch/tl41R01.aspx?&amp;lu_id=1926&amp;doc_yr=2016&amp;doc_code=AUD" TargetMode="External"/><Relationship Id="rId1580" Type="http://schemas.openxmlformats.org/officeDocument/2006/relationships/hyperlink" Target="https://treas-secure.state.mi.us/LAFDocSearch/tl41R01.aspx?&amp;lu_id=7882&amp;doc_yr=2016&amp;doc_code=AUD" TargetMode="External"/><Relationship Id="rId1678" Type="http://schemas.openxmlformats.org/officeDocument/2006/relationships/hyperlink" Target="https://treas-secure.state.mi.us/LAFDocSearch/tl41R01.aspx?&amp;lu_id=3350&amp;doc_yr=2016&amp;doc_code=AUD" TargetMode="External"/><Relationship Id="rId1801" Type="http://schemas.openxmlformats.org/officeDocument/2006/relationships/hyperlink" Target="https://treas-secure.state.mi.us/LAFDocSearch/tl41R01.aspx?&amp;lu_id=3592&amp;doc_yr=2016&amp;doc_code=AUD" TargetMode="External"/><Relationship Id="rId1885" Type="http://schemas.openxmlformats.org/officeDocument/2006/relationships/hyperlink" Target="https://treas-secure.state.mi.us/LAFDocSearch/tl41R01.aspx?&amp;lu_id=3686&amp;doc_yr=2016&amp;doc_code=AUD" TargetMode="External"/><Relationship Id="rId2424" Type="http://schemas.openxmlformats.org/officeDocument/2006/relationships/hyperlink" Target="https://treas-secure.state.mi.us/LAFDocSearch/tl41R01.aspx?&amp;lu_id=4933&amp;doc_yr=2016&amp;doc_code=AUD" TargetMode="External"/><Relationship Id="rId2631" Type="http://schemas.openxmlformats.org/officeDocument/2006/relationships/hyperlink" Target="https://treas-secure.state.mi.us/LAFDocSearch/tl41R01.aspx?&amp;lu_id=5354&amp;doc_yr=2016&amp;doc_code=AUD" TargetMode="External"/><Relationship Id="rId2729" Type="http://schemas.openxmlformats.org/officeDocument/2006/relationships/hyperlink" Target="https://treas-secure.state.mi.us/LAFDocSearch/tl41R01.aspx?&amp;lu_id=5851&amp;doc_yr=2016&amp;doc_code=AUD" TargetMode="External"/><Relationship Id="rId382" Type="http://schemas.openxmlformats.org/officeDocument/2006/relationships/hyperlink" Target="https://treas-secure.state.mi.us/LAFDocSearch/tl41R01.aspx?&amp;lu_id=611&amp;doc_yr=2016&amp;doc_code=AUD" TargetMode="External"/><Relationship Id="rId603" Type="http://schemas.openxmlformats.org/officeDocument/2006/relationships/hyperlink" Target="https://treas-secure.state.mi.us/LAFDocSearch/tl41R01.aspx?&amp;lu_id=1020&amp;doc_yr=2016&amp;doc_code=AUD" TargetMode="External"/><Relationship Id="rId687" Type="http://schemas.openxmlformats.org/officeDocument/2006/relationships/hyperlink" Target="https://treas-secure.state.mi.us/LAFDocSearch/tl41R01.aspx?&amp;lu_id=1285&amp;doc_yr=2016&amp;doc_code=AUD" TargetMode="External"/><Relationship Id="rId810" Type="http://schemas.openxmlformats.org/officeDocument/2006/relationships/hyperlink" Target="https://treas-secure.state.mi.us/LAFDocSearch/tl41R01.aspx?&amp;lu_id=1555&amp;doc_yr=2016&amp;doc_code=AUD" TargetMode="External"/><Relationship Id="rId908" Type="http://schemas.openxmlformats.org/officeDocument/2006/relationships/hyperlink" Target="https://treas-secure.state.mi.us/LAFDocSearch/tl41R01.aspx?&amp;lu_id=1757&amp;doc_yr=2016&amp;doc_code=AUD" TargetMode="External"/><Relationship Id="rId1233" Type="http://schemas.openxmlformats.org/officeDocument/2006/relationships/hyperlink" Target="https://treas-secure.state.mi.us/LAFDocSearch/tl41R01.aspx?&amp;lu_id=2364&amp;doc_yr=2016&amp;doc_code=AUD" TargetMode="External"/><Relationship Id="rId1440" Type="http://schemas.openxmlformats.org/officeDocument/2006/relationships/hyperlink" Target="https://treas-secure.state.mi.us/LAFDocSearch/tl41R01.aspx?&amp;lu_id=2819&amp;doc_yr=2016&amp;doc_code=AUD" TargetMode="External"/><Relationship Id="rId1538" Type="http://schemas.openxmlformats.org/officeDocument/2006/relationships/hyperlink" Target="https://treas-secure.state.mi.us/LAFDocSearch/tl41R01.aspx?&amp;lu_id=2986&amp;doc_yr=2016&amp;doc_code=AUD" TargetMode="External"/><Relationship Id="rId2063" Type="http://schemas.openxmlformats.org/officeDocument/2006/relationships/hyperlink" Target="https://treas-secure.state.mi.us/LAFDocSearch/tl41R01.aspx?&amp;lu_id=4233&amp;doc_yr=2016&amp;doc_code=AUD" TargetMode="External"/><Relationship Id="rId2270" Type="http://schemas.openxmlformats.org/officeDocument/2006/relationships/hyperlink" Target="https://treas-secure.state.mi.us/LAFDocSearch/tl41R01.aspx?&amp;lu_id=4703&amp;doc_yr=2016&amp;doc_code=AUD" TargetMode="External"/><Relationship Id="rId2368" Type="http://schemas.openxmlformats.org/officeDocument/2006/relationships/hyperlink" Target="https://treas-secure.state.mi.us/LAFDocSearch/tl41R01.aspx?&amp;lu_id=4894&amp;doc_yr=2016&amp;doc_code=AUD" TargetMode="External"/><Relationship Id="rId242" Type="http://schemas.openxmlformats.org/officeDocument/2006/relationships/hyperlink" Target="https://treas-secure.state.mi.us/LAFDocSearch/tl41R01.aspx?&amp;lu_id=408&amp;doc_yr=2016&amp;doc_code=AUD" TargetMode="External"/><Relationship Id="rId894" Type="http://schemas.openxmlformats.org/officeDocument/2006/relationships/hyperlink" Target="https://treas-secure.state.mi.us/LAFDocSearch/tl41R01.aspx?&amp;lu_id=1711&amp;doc_yr=2016&amp;doc_code=AUD" TargetMode="External"/><Relationship Id="rId1177" Type="http://schemas.openxmlformats.org/officeDocument/2006/relationships/hyperlink" Target="https://treas-secure.state.mi.us/LAFDocSearch/tl41R01.aspx?&amp;lu_id=2342&amp;doc_yr=2016&amp;doc_code=AUD" TargetMode="External"/><Relationship Id="rId1300" Type="http://schemas.openxmlformats.org/officeDocument/2006/relationships/hyperlink" Target="https://treas-secure.state.mi.us/LAFDocSearch/tl41R01.aspx?&amp;lu_id=2575&amp;doc_yr=2016&amp;doc_code=AUD" TargetMode="External"/><Relationship Id="rId1745" Type="http://schemas.openxmlformats.org/officeDocument/2006/relationships/hyperlink" Target="https://treas-secure.state.mi.us/LAFDocSearch/tl41R01.aspx?&amp;lu_id=3464&amp;doc_yr=2016&amp;doc_code=AUD" TargetMode="External"/><Relationship Id="rId1952" Type="http://schemas.openxmlformats.org/officeDocument/2006/relationships/hyperlink" Target="https://treas-secure.state.mi.us/LAFDocSearch/tl41R01.aspx?&amp;lu_id=3829&amp;doc_yr=2016&amp;doc_code=AUD" TargetMode="External"/><Relationship Id="rId2130" Type="http://schemas.openxmlformats.org/officeDocument/2006/relationships/hyperlink" Target="https://treas-secure.state.mi.us/LAFDocSearch/tl41R01.aspx?&amp;lu_id=4371&amp;doc_yr=2016&amp;doc_code=AUD" TargetMode="External"/><Relationship Id="rId2575" Type="http://schemas.openxmlformats.org/officeDocument/2006/relationships/hyperlink" Target="https://treas-secure.state.mi.us/LAFDocSearch/tl41R01.aspx?&amp;lu_id=5235&amp;doc_yr=2016&amp;doc_code=AUD" TargetMode="External"/><Relationship Id="rId2782" Type="http://schemas.openxmlformats.org/officeDocument/2006/relationships/hyperlink" Target="https://treas-secure.state.mi.us/LAFDocSearch/tl41R01.aspx?&amp;lu_id=5885&amp;doc_yr=2016&amp;doc_code=AUD" TargetMode="External"/><Relationship Id="rId37" Type="http://schemas.openxmlformats.org/officeDocument/2006/relationships/hyperlink" Target="https://treas-secure.state.mi.us/LAFDocSearch/tl41R01.aspx?&amp;lu_id=51&amp;doc_yr=2016&amp;doc_code=AUD" TargetMode="External"/><Relationship Id="rId102" Type="http://schemas.openxmlformats.org/officeDocument/2006/relationships/hyperlink" Target="https://treas-secure.state.mi.us/LAFDocSearch/tl41R01.aspx?&amp;lu_id=167&amp;doc_yr=2016&amp;doc_code=AUD" TargetMode="External"/><Relationship Id="rId547" Type="http://schemas.openxmlformats.org/officeDocument/2006/relationships/hyperlink" Target="https://treas-secure.state.mi.us/LAFDocSearch/tl41R01.aspx?&amp;lu_id=943&amp;doc_yr=2016&amp;doc_code=AUD" TargetMode="External"/><Relationship Id="rId754" Type="http://schemas.openxmlformats.org/officeDocument/2006/relationships/hyperlink" Target="https://treas-secure.state.mi.us/LAFDocSearch/tl41R01.aspx?&amp;lu_id=1354&amp;doc_yr=2016&amp;doc_code=AUD" TargetMode="External"/><Relationship Id="rId961" Type="http://schemas.openxmlformats.org/officeDocument/2006/relationships/hyperlink" Target="https://treas-secure.state.mi.us/LAFDocSearch/tl41R01.aspx?&amp;lu_id=1895&amp;doc_yr=2016&amp;doc_code=AUD" TargetMode="External"/><Relationship Id="rId1384" Type="http://schemas.openxmlformats.org/officeDocument/2006/relationships/hyperlink" Target="https://treas-secure.state.mi.us/LAFDocSearch/tl41R01.aspx?&amp;lu_id=2650&amp;doc_yr=2016&amp;doc_code=AUD" TargetMode="External"/><Relationship Id="rId1591" Type="http://schemas.openxmlformats.org/officeDocument/2006/relationships/hyperlink" Target="https://treas-secure.state.mi.us/LAFDocSearch/tl41R01.aspx?&amp;lu_id=2997&amp;doc_yr=2016&amp;doc_code=AUD" TargetMode="External"/><Relationship Id="rId1605" Type="http://schemas.openxmlformats.org/officeDocument/2006/relationships/hyperlink" Target="https://treas-secure.state.mi.us/LAFDocSearch/tl41R01.aspx?&amp;lu_id=3198&amp;doc_yr=2016&amp;doc_code=AUD" TargetMode="External"/><Relationship Id="rId1689" Type="http://schemas.openxmlformats.org/officeDocument/2006/relationships/hyperlink" Target="https://treas-secure.state.mi.us/LAFDocSearch/tl41R01.aspx?&amp;lu_id=3364&amp;doc_yr=2016&amp;doc_code=AUD" TargetMode="External"/><Relationship Id="rId1812" Type="http://schemas.openxmlformats.org/officeDocument/2006/relationships/hyperlink" Target="https://treas-secure.state.mi.us/LAFDocSearch/tl41R01.aspx?&amp;lu_id=3595&amp;doc_yr=2016&amp;doc_code=AUD" TargetMode="External"/><Relationship Id="rId2228" Type="http://schemas.openxmlformats.org/officeDocument/2006/relationships/hyperlink" Target="https://treas-secure.state.mi.us/LAFDocSearch/tl41R01.aspx?&amp;lu_id=4548&amp;doc_yr=2016&amp;doc_code=AUD" TargetMode="External"/><Relationship Id="rId2435" Type="http://schemas.openxmlformats.org/officeDocument/2006/relationships/hyperlink" Target="https://treas-secure.state.mi.us/LAFDocSearch/tl41R01.aspx?&amp;lu_id=4997&amp;doc_yr=2016&amp;doc_code=AUD" TargetMode="External"/><Relationship Id="rId2642" Type="http://schemas.openxmlformats.org/officeDocument/2006/relationships/hyperlink" Target="https://treas-secure.state.mi.us/LAFDocSearch/tl41R01.aspx?&amp;lu_id=5292&amp;doc_yr=2016&amp;doc_code=AUD" TargetMode="External"/><Relationship Id="rId90" Type="http://schemas.openxmlformats.org/officeDocument/2006/relationships/hyperlink" Target="https://treas-secure.state.mi.us/LAFDocSearch/tl41R01.aspx?&amp;lu_id=7100&amp;doc_yr=2016&amp;doc_code=AUD" TargetMode="External"/><Relationship Id="rId186" Type="http://schemas.openxmlformats.org/officeDocument/2006/relationships/hyperlink" Target="https://treas-secure.state.mi.us/LAFDocSearch/tl41R01.aspx?&amp;lu_id=304&amp;doc_yr=2016&amp;doc_code=AUD" TargetMode="External"/><Relationship Id="rId393" Type="http://schemas.openxmlformats.org/officeDocument/2006/relationships/hyperlink" Target="https://treas-secure.state.mi.us/LAFDocSearch/tl41R01.aspx?&amp;lu_id=622&amp;doc_yr=2016&amp;doc_code=AUD" TargetMode="External"/><Relationship Id="rId407" Type="http://schemas.openxmlformats.org/officeDocument/2006/relationships/hyperlink" Target="https://treas-secure.state.mi.us/LAFDocSearch/tl41R01.aspx?&amp;lu_id=6132&amp;doc_yr=2016&amp;doc_code=AUD" TargetMode="External"/><Relationship Id="rId614" Type="http://schemas.openxmlformats.org/officeDocument/2006/relationships/hyperlink" Target="https://treas-secure.state.mi.us/LAFDocSearch/tl41R01.aspx?&amp;lu_id=1075&amp;doc_yr=2016&amp;doc_code=AUD" TargetMode="External"/><Relationship Id="rId821" Type="http://schemas.openxmlformats.org/officeDocument/2006/relationships/hyperlink" Target="https://treas-secure.state.mi.us/LAFDocSearch/tl41R01.aspx?&amp;lu_id=1556&amp;doc_yr=2016&amp;doc_code=AUD" TargetMode="External"/><Relationship Id="rId1037" Type="http://schemas.openxmlformats.org/officeDocument/2006/relationships/hyperlink" Target="https://treas-secure.state.mi.us/LAFDocSearch/tl41R01.aspx?&amp;lu_id=2050&amp;doc_yr=2016&amp;doc_code=AUD" TargetMode="External"/><Relationship Id="rId1244" Type="http://schemas.openxmlformats.org/officeDocument/2006/relationships/hyperlink" Target="https://treas-secure.state.mi.us/LAFDocSearch/tl41R01.aspx?&amp;lu_id=2409&amp;doc_yr=2016&amp;doc_code=AUD" TargetMode="External"/><Relationship Id="rId1451" Type="http://schemas.openxmlformats.org/officeDocument/2006/relationships/hyperlink" Target="https://treas-secure.state.mi.us/LAFDocSearch/tl41R01.aspx?&amp;lu_id=2757&amp;doc_yr=2016&amp;doc_code=AUD" TargetMode="External"/><Relationship Id="rId1896" Type="http://schemas.openxmlformats.org/officeDocument/2006/relationships/hyperlink" Target="https://treas-secure.state.mi.us/LAFDocSearch/tl41R01.aspx?&amp;lu_id=3748&amp;doc_yr=2016&amp;doc_code=AUD" TargetMode="External"/><Relationship Id="rId2074" Type="http://schemas.openxmlformats.org/officeDocument/2006/relationships/hyperlink" Target="https://treas-secure.state.mi.us/LAFDocSearch/tl41R01.aspx?&amp;lu_id=4267&amp;doc_yr=2016&amp;doc_code=AUD" TargetMode="External"/><Relationship Id="rId2281" Type="http://schemas.openxmlformats.org/officeDocument/2006/relationships/hyperlink" Target="https://treas-secure.state.mi.us/LAFDocSearch/tl41R01.aspx?&amp;lu_id=4595&amp;doc_yr=2016&amp;doc_code=AUD" TargetMode="External"/><Relationship Id="rId2502" Type="http://schemas.openxmlformats.org/officeDocument/2006/relationships/hyperlink" Target="https://treas-secure.state.mi.us/LAFDocSearch/tl41R01.aspx?&amp;lu_id=5157&amp;doc_yr=2016&amp;doc_code=AUD" TargetMode="External"/><Relationship Id="rId253" Type="http://schemas.openxmlformats.org/officeDocument/2006/relationships/hyperlink" Target="https://treas-secure.state.mi.us/LAFDocSearch/tl41R01.aspx?&amp;lu_id=6110&amp;doc_yr=2016&amp;doc_code=AUD" TargetMode="External"/><Relationship Id="rId460" Type="http://schemas.openxmlformats.org/officeDocument/2006/relationships/hyperlink" Target="https://treas-secure.state.mi.us/LAFDocSearch/tl41R01.aspx?&amp;lu_id=753&amp;doc_yr=2016&amp;doc_code=AUD" TargetMode="External"/><Relationship Id="rId698" Type="http://schemas.openxmlformats.org/officeDocument/2006/relationships/hyperlink" Target="https://treas-secure.state.mi.us/LAFDocSearch/tl41R01.aspx?&amp;lu_id=1304&amp;doc_yr=2016&amp;doc_code=AUD" TargetMode="External"/><Relationship Id="rId919" Type="http://schemas.openxmlformats.org/officeDocument/2006/relationships/hyperlink" Target="https://treas-secure.state.mi.us/LAFDocSearch/tl41R01.aspx?&amp;lu_id=1739&amp;doc_yr=2016&amp;doc_code=AUD" TargetMode="External"/><Relationship Id="rId1090" Type="http://schemas.openxmlformats.org/officeDocument/2006/relationships/hyperlink" Target="https://treas-secure.state.mi.us/LAFDocSearch/tl41R01.aspx?&amp;lu_id=2172&amp;doc_yr=2016&amp;doc_code=AUD" TargetMode="External"/><Relationship Id="rId1104" Type="http://schemas.openxmlformats.org/officeDocument/2006/relationships/hyperlink" Target="https://treas-secure.state.mi.us/LAFDocSearch/tl41R01.aspx?&amp;lu_id=2176&amp;doc_yr=2016&amp;doc_code=AUD" TargetMode="External"/><Relationship Id="rId1311" Type="http://schemas.openxmlformats.org/officeDocument/2006/relationships/hyperlink" Target="https://treas-secure.state.mi.us/LAFDocSearch/tl41R01.aspx?&amp;lu_id=6143&amp;doc_yr=2016&amp;doc_code=AUD" TargetMode="External"/><Relationship Id="rId1549" Type="http://schemas.openxmlformats.org/officeDocument/2006/relationships/hyperlink" Target="https://treas-secure.state.mi.us/LAFDocSearch/tl41R01.aspx?&amp;lu_id=2988&amp;doc_yr=2016&amp;doc_code=AUD" TargetMode="External"/><Relationship Id="rId1756" Type="http://schemas.openxmlformats.org/officeDocument/2006/relationships/hyperlink" Target="https://treas-secure.state.mi.us/LAFDocSearch/tl41R01.aspx?&amp;lu_id=3501&amp;doc_yr=2016&amp;doc_code=AUD" TargetMode="External"/><Relationship Id="rId1963" Type="http://schemas.openxmlformats.org/officeDocument/2006/relationships/hyperlink" Target="https://treas-secure.state.mi.us/LAFDocSearch/tl41R01.aspx?&amp;lu_id=3831&amp;doc_yr=2016&amp;doc_code=AUD" TargetMode="External"/><Relationship Id="rId2141" Type="http://schemas.openxmlformats.org/officeDocument/2006/relationships/hyperlink" Target="https://treas-secure.state.mi.us/LAFDocSearch/tl41R01.aspx?&amp;lu_id=4405&amp;doc_yr=2016&amp;doc_code=AUD" TargetMode="External"/><Relationship Id="rId2379" Type="http://schemas.openxmlformats.org/officeDocument/2006/relationships/hyperlink" Target="https://treas-secure.state.mi.us/LAFDocSearch/tl41R01.aspx?&amp;lu_id=4854&amp;doc_yr=2016&amp;doc_code=AUD" TargetMode="External"/><Relationship Id="rId2586" Type="http://schemas.openxmlformats.org/officeDocument/2006/relationships/hyperlink" Target="https://treas-secure.state.mi.us/LAFDocSearch/tl41R01.aspx?&amp;lu_id=5293&amp;doc_yr=2016&amp;doc_code=AUD" TargetMode="External"/><Relationship Id="rId2793" Type="http://schemas.openxmlformats.org/officeDocument/2006/relationships/hyperlink" Target="https://treas-secure.state.mi.us/LAFDocSearch/tl41R01.aspx?&amp;lu_id=5875&amp;doc_yr=2016&amp;doc_code=AUD" TargetMode="External"/><Relationship Id="rId48" Type="http://schemas.openxmlformats.org/officeDocument/2006/relationships/hyperlink" Target="https://treas-secure.state.mi.us/LAFDocSearch/tl41R01.aspx?&amp;lu_id=55&amp;doc_yr=2016&amp;doc_code=AUD" TargetMode="External"/><Relationship Id="rId113" Type="http://schemas.openxmlformats.org/officeDocument/2006/relationships/hyperlink" Target="https://treas-secure.state.mi.us/LAFDocSearch/tl41R01.aspx?&amp;lu_id=191&amp;doc_yr=2016&amp;doc_code=AUD" TargetMode="External"/><Relationship Id="rId320" Type="http://schemas.openxmlformats.org/officeDocument/2006/relationships/hyperlink" Target="https://treas-secure.state.mi.us/LAFDocSearch/tl41R01.aspx?&amp;lu_id=447&amp;doc_yr=2016&amp;doc_code=AUD" TargetMode="External"/><Relationship Id="rId558" Type="http://schemas.openxmlformats.org/officeDocument/2006/relationships/hyperlink" Target="https://treas-secure.state.mi.us/LAFDocSearch/tl41R01.aspx?&amp;lu_id=934&amp;doc_yr=2016&amp;doc_code=AUD" TargetMode="External"/><Relationship Id="rId765" Type="http://schemas.openxmlformats.org/officeDocument/2006/relationships/hyperlink" Target="https://treas-secure.state.mi.us/LAFDocSearch/tl41R01.aspx?&amp;lu_id=1484&amp;doc_yr=2016&amp;doc_code=AUD" TargetMode="External"/><Relationship Id="rId972" Type="http://schemas.openxmlformats.org/officeDocument/2006/relationships/hyperlink" Target="https://treas-secure.state.mi.us/LAFDocSearch/tl41R01.aspx?&amp;lu_id=1877&amp;doc_yr=2016&amp;doc_code=AUD" TargetMode="External"/><Relationship Id="rId1188" Type="http://schemas.openxmlformats.org/officeDocument/2006/relationships/hyperlink" Target="https://treas-secure.state.mi.us/LAFDocSearch/tl41R01.aspx?&amp;lu_id=2282&amp;doc_yr=2016&amp;doc_code=AUD" TargetMode="External"/><Relationship Id="rId1395" Type="http://schemas.openxmlformats.org/officeDocument/2006/relationships/hyperlink" Target="https://treas-secure.state.mi.us/LAFDocSearch/tl41R01.aspx?&amp;lu_id=2651&amp;doc_yr=2016&amp;doc_code=AUD" TargetMode="External"/><Relationship Id="rId1409" Type="http://schemas.openxmlformats.org/officeDocument/2006/relationships/hyperlink" Target="https://treas-secure.state.mi.us/LAFDocSearch/tl41R01.aspx?&amp;lu_id=2708&amp;doc_yr=2016&amp;doc_code=AUD" TargetMode="External"/><Relationship Id="rId1616" Type="http://schemas.openxmlformats.org/officeDocument/2006/relationships/hyperlink" Target="https://treas-secure.state.mi.us/LAFDocSearch/tl41R01.aspx?&amp;lu_id=3210&amp;doc_yr=2016&amp;doc_code=AUD" TargetMode="External"/><Relationship Id="rId1823" Type="http://schemas.openxmlformats.org/officeDocument/2006/relationships/hyperlink" Target="https://treas-secure.state.mi.us/LAFDocSearch/tl41R01.aspx?&amp;lu_id=3605&amp;doc_yr=2016&amp;doc_code=AUD" TargetMode="External"/><Relationship Id="rId2001" Type="http://schemas.openxmlformats.org/officeDocument/2006/relationships/hyperlink" Target="https://treas-secure.state.mi.us/LAFDocSearch/tl41R01.aspx?&amp;lu_id=4174&amp;doc_yr=2016&amp;doc_code=AUD" TargetMode="External"/><Relationship Id="rId2239" Type="http://schemas.openxmlformats.org/officeDocument/2006/relationships/hyperlink" Target="https://treas-secure.state.mi.us/LAFDocSearch/tl41R01.aspx?&amp;lu_id=4555&amp;doc_yr=2016&amp;doc_code=AUD" TargetMode="External"/><Relationship Id="rId2446" Type="http://schemas.openxmlformats.org/officeDocument/2006/relationships/hyperlink" Target="https://treas-secure.state.mi.us/LAFDocSearch/tl41R01.aspx?&amp;lu_id=5017&amp;doc_yr=2016&amp;doc_code=AUD" TargetMode="External"/><Relationship Id="rId2653" Type="http://schemas.openxmlformats.org/officeDocument/2006/relationships/hyperlink" Target="https://treas-secure.state.mi.us/LAFDocSearch/tl41R01.aspx?&amp;lu_id=5787&amp;doc_yr=2016&amp;doc_code=AUD" TargetMode="External"/><Relationship Id="rId197" Type="http://schemas.openxmlformats.org/officeDocument/2006/relationships/hyperlink" Target="https://treas-secure.state.mi.us/LAFDocSearch/tl41R01.aspx?&amp;lu_id=339&amp;doc_yr=2016&amp;doc_code=AUD" TargetMode="External"/><Relationship Id="rId418" Type="http://schemas.openxmlformats.org/officeDocument/2006/relationships/hyperlink" Target="https://treas-secure.state.mi.us/LAFDocSearch/tl41R01.aspx?&amp;lu_id=730&amp;doc_yr=2016&amp;doc_code=AUD" TargetMode="External"/><Relationship Id="rId625" Type="http://schemas.openxmlformats.org/officeDocument/2006/relationships/hyperlink" Target="https://treas-secure.state.mi.us/LAFDocSearch/tl41R01.aspx?&amp;lu_id=1079&amp;doc_yr=2016&amp;doc_code=AUD" TargetMode="External"/><Relationship Id="rId832" Type="http://schemas.openxmlformats.org/officeDocument/2006/relationships/hyperlink" Target="https://treas-secure.state.mi.us/LAFDocSearch/tl41R01.aspx?&amp;lu_id=1588&amp;doc_yr=2016&amp;doc_code=AUD" TargetMode="External"/><Relationship Id="rId1048" Type="http://schemas.openxmlformats.org/officeDocument/2006/relationships/hyperlink" Target="https://treas-secure.state.mi.us/LAFDocSearch/tl41R01.aspx?&amp;lu_id=2111&amp;doc_yr=2016&amp;doc_code=AUD" TargetMode="External"/><Relationship Id="rId1255" Type="http://schemas.openxmlformats.org/officeDocument/2006/relationships/hyperlink" Target="https://treas-secure.state.mi.us/LAFDocSearch/tl41R01.aspx?&amp;lu_id=2431&amp;doc_yr=2016&amp;doc_code=AUD" TargetMode="External"/><Relationship Id="rId1462" Type="http://schemas.openxmlformats.org/officeDocument/2006/relationships/hyperlink" Target="https://treas-secure.state.mi.us/LAFDocSearch/tl41R01.aspx?&amp;lu_id=2753&amp;doc_yr=2016&amp;doc_code=AUD" TargetMode="External"/><Relationship Id="rId2085" Type="http://schemas.openxmlformats.org/officeDocument/2006/relationships/hyperlink" Target="https://treas-secure.state.mi.us/LAFDocSearch/tl41R01.aspx?&amp;lu_id=4274&amp;doc_yr=2016&amp;doc_code=AUD" TargetMode="External"/><Relationship Id="rId2292" Type="http://schemas.openxmlformats.org/officeDocument/2006/relationships/hyperlink" Target="https://treas-secure.state.mi.us/LAFDocSearch/tl41R01.aspx?&amp;lu_id=4694&amp;doc_yr=2016&amp;doc_code=AUD" TargetMode="External"/><Relationship Id="rId2306" Type="http://schemas.openxmlformats.org/officeDocument/2006/relationships/hyperlink" Target="https://treas-secure.state.mi.us/LAFDocSearch/tl41R01.aspx?&amp;lu_id=4748&amp;doc_yr=2016&amp;doc_code=AUD" TargetMode="External"/><Relationship Id="rId2513" Type="http://schemas.openxmlformats.org/officeDocument/2006/relationships/hyperlink" Target="https://treas-secure.state.mi.us/LAFDocSearch/tl41R01.aspx?&amp;lu_id=5111&amp;doc_yr=2016&amp;doc_code=AUD" TargetMode="External"/><Relationship Id="rId264" Type="http://schemas.openxmlformats.org/officeDocument/2006/relationships/hyperlink" Target="https://treas-secure.state.mi.us/LAFDocSearch/tl41R01.aspx?&amp;lu_id=5949&amp;doc_yr=2016&amp;doc_code=AUD" TargetMode="External"/><Relationship Id="rId471" Type="http://schemas.openxmlformats.org/officeDocument/2006/relationships/hyperlink" Target="https://treas-secure.state.mi.us/LAFDocSearch/tl41R01.aspx?&amp;lu_id=789&amp;doc_yr=2016&amp;doc_code=AUD" TargetMode="External"/><Relationship Id="rId1115" Type="http://schemas.openxmlformats.org/officeDocument/2006/relationships/hyperlink" Target="https://treas-secure.state.mi.us/LAFDocSearch/tl41R01.aspx?&amp;lu_id=2175&amp;doc_yr=2016&amp;doc_code=AUD" TargetMode="External"/><Relationship Id="rId1322" Type="http://schemas.openxmlformats.org/officeDocument/2006/relationships/hyperlink" Target="https://treas-secure.state.mi.us/LAFDocSearch/tl41R01.aspx?&amp;lu_id=2571&amp;doc_yr=2016&amp;doc_code=AUD" TargetMode="External"/><Relationship Id="rId1767" Type="http://schemas.openxmlformats.org/officeDocument/2006/relationships/hyperlink" Target="https://treas-secure.state.mi.us/LAFDocSearch/tl41R01.aspx?&amp;lu_id=3505&amp;doc_yr=2016&amp;doc_code=AUD" TargetMode="External"/><Relationship Id="rId1974" Type="http://schemas.openxmlformats.org/officeDocument/2006/relationships/hyperlink" Target="https://treas-secure.state.mi.us/LAFDocSearch/tl41R01.aspx?&amp;lu_id=3833&amp;doc_yr=2016&amp;doc_code=AUD" TargetMode="External"/><Relationship Id="rId2152" Type="http://schemas.openxmlformats.org/officeDocument/2006/relationships/hyperlink" Target="https://treas-secure.state.mi.us/LAFDocSearch/tl41R01.aspx?&amp;lu_id=4409&amp;doc_yr=2016&amp;doc_code=AUD" TargetMode="External"/><Relationship Id="rId2597" Type="http://schemas.openxmlformats.org/officeDocument/2006/relationships/hyperlink" Target="https://treas-secure.state.mi.us/LAFDocSearch/tl41R01.aspx?&amp;lu_id=5272&amp;doc_yr=2016&amp;doc_code=AUD" TargetMode="External"/><Relationship Id="rId2720" Type="http://schemas.openxmlformats.org/officeDocument/2006/relationships/hyperlink" Target="https://treas-secure.state.mi.us/LAFDocSearch/tl41R01.aspx?&amp;lu_id=7095&amp;doc_yr=2016&amp;doc_code=AUD" TargetMode="External"/><Relationship Id="rId59" Type="http://schemas.openxmlformats.org/officeDocument/2006/relationships/hyperlink" Target="https://treas-secure.state.mi.us/LAFDocSearch/tl41R01.aspx?&amp;lu_id=61&amp;doc_yr=2016&amp;doc_code=AUD" TargetMode="External"/><Relationship Id="rId124" Type="http://schemas.openxmlformats.org/officeDocument/2006/relationships/hyperlink" Target="https://treas-secure.state.mi.us/LAFDocSearch/tl41R01.aspx?&amp;lu_id=245&amp;doc_yr=2016&amp;doc_code=AUD" TargetMode="External"/><Relationship Id="rId569" Type="http://schemas.openxmlformats.org/officeDocument/2006/relationships/hyperlink" Target="https://treas-secure.state.mi.us/LAFDocSearch/tl41R01.aspx?&amp;lu_id=940&amp;doc_yr=2016&amp;doc_code=AUD" TargetMode="External"/><Relationship Id="rId776" Type="http://schemas.openxmlformats.org/officeDocument/2006/relationships/hyperlink" Target="https://treas-secure.state.mi.us/LAFDocSearch/tl41R01.aspx?&amp;lu_id=1478&amp;doc_yr=2016&amp;doc_code=AUD" TargetMode="External"/><Relationship Id="rId983" Type="http://schemas.openxmlformats.org/officeDocument/2006/relationships/hyperlink" Target="https://treas-secure.state.mi.us/LAFDocSearch/tl41R01.aspx?&amp;lu_id=1810&amp;doc_yr=2016&amp;doc_code=AUD" TargetMode="External"/><Relationship Id="rId1199" Type="http://schemas.openxmlformats.org/officeDocument/2006/relationships/hyperlink" Target="https://treas-secure.state.mi.us/LAFDocSearch/tl41R01.aspx?&amp;lu_id=2289&amp;doc_yr=2016&amp;doc_code=AUD" TargetMode="External"/><Relationship Id="rId1627" Type="http://schemas.openxmlformats.org/officeDocument/2006/relationships/hyperlink" Target="https://treas-secure.state.mi.us/LAFDocSearch/tl41R01.aspx?&amp;lu_id=3302&amp;doc_yr=2016&amp;doc_code=AUD" TargetMode="External"/><Relationship Id="rId1834" Type="http://schemas.openxmlformats.org/officeDocument/2006/relationships/hyperlink" Target="https://treas-secure.state.mi.us/LAFDocSearch/tl41R01.aspx?&amp;lu_id=3652&amp;doc_yr=2016&amp;doc_code=AUD" TargetMode="External"/><Relationship Id="rId2457" Type="http://schemas.openxmlformats.org/officeDocument/2006/relationships/hyperlink" Target="https://treas-secure.state.mi.us/LAFDocSearch/tl41R01.aspx?&amp;lu_id=5039&amp;doc_yr=2016&amp;doc_code=AUD" TargetMode="External"/><Relationship Id="rId2664" Type="http://schemas.openxmlformats.org/officeDocument/2006/relationships/hyperlink" Target="https://treas-secure.state.mi.us/LAFDocSearch/tl41R01.aspx?&amp;lu_id=5853&amp;doc_yr=2016&amp;doc_code=AUD" TargetMode="External"/><Relationship Id="rId331" Type="http://schemas.openxmlformats.org/officeDocument/2006/relationships/hyperlink" Target="https://treas-secure.state.mi.us/LAFDocSearch/tl41R01.aspx?&amp;lu_id=596&amp;doc_yr=2016&amp;doc_code=AUD" TargetMode="External"/><Relationship Id="rId429" Type="http://schemas.openxmlformats.org/officeDocument/2006/relationships/hyperlink" Target="https://treas-secure.state.mi.us/LAFDocSearch/tl41R01.aspx?&amp;lu_id=717&amp;doc_yr=2016&amp;doc_code=AUD" TargetMode="External"/><Relationship Id="rId636" Type="http://schemas.openxmlformats.org/officeDocument/2006/relationships/hyperlink" Target="https://treas-secure.state.mi.us/LAFDocSearch/tl41R01.aspx?&amp;lu_id=1094&amp;doc_yr=2016&amp;doc_code=AUD" TargetMode="External"/><Relationship Id="rId1059" Type="http://schemas.openxmlformats.org/officeDocument/2006/relationships/hyperlink" Target="https://treas-secure.state.mi.us/LAFDocSearch/tl41R01.aspx?&amp;lu_id=2072&amp;doc_yr=2016&amp;doc_code=AUD" TargetMode="External"/><Relationship Id="rId1266" Type="http://schemas.openxmlformats.org/officeDocument/2006/relationships/hyperlink" Target="https://treas-secure.state.mi.us/LAFDocSearch/tl41R01.aspx?&amp;lu_id=7571&amp;doc_yr=2016&amp;doc_code=AUD" TargetMode="External"/><Relationship Id="rId1473" Type="http://schemas.openxmlformats.org/officeDocument/2006/relationships/hyperlink" Target="https://treas-secure.state.mi.us/LAFDocSearch/tl41R01.aspx?&amp;lu_id=2830&amp;doc_yr=2016&amp;doc_code=AUD" TargetMode="External"/><Relationship Id="rId2012" Type="http://schemas.openxmlformats.org/officeDocument/2006/relationships/hyperlink" Target="https://treas-secure.state.mi.us/LAFDocSearch/tl41R01.aspx?&amp;lu_id=4130&amp;doc_yr=2016&amp;doc_code=AUD" TargetMode="External"/><Relationship Id="rId2096" Type="http://schemas.openxmlformats.org/officeDocument/2006/relationships/hyperlink" Target="https://treas-secure.state.mi.us/LAFDocSearch/tl41R01.aspx?&amp;lu_id=4301&amp;doc_yr=2016&amp;doc_code=AUD" TargetMode="External"/><Relationship Id="rId2317" Type="http://schemas.openxmlformats.org/officeDocument/2006/relationships/hyperlink" Target="https://treas-secure.state.mi.us/LAFDocSearch/tl41R01.aspx?&amp;lu_id=4733&amp;doc_yr=2016&amp;doc_code=AUD" TargetMode="External"/><Relationship Id="rId843" Type="http://schemas.openxmlformats.org/officeDocument/2006/relationships/hyperlink" Target="https://treas-secure.state.mi.us/LAFDocSearch/tl41R01.aspx?&amp;lu_id=1598&amp;doc_yr=2016&amp;doc_code=AUD" TargetMode="External"/><Relationship Id="rId1126" Type="http://schemas.openxmlformats.org/officeDocument/2006/relationships/hyperlink" Target="https://treas-secure.state.mi.us/LAFDocSearch/tl41R01.aspx?&amp;lu_id=6027&amp;doc_yr=2016&amp;doc_code=AUD" TargetMode="External"/><Relationship Id="rId1680" Type="http://schemas.openxmlformats.org/officeDocument/2006/relationships/hyperlink" Target="https://treas-secure.state.mi.us/LAFDocSearch/tl41R01.aspx?&amp;lu_id=3359&amp;doc_yr=2016&amp;doc_code=AUD" TargetMode="External"/><Relationship Id="rId1778" Type="http://schemas.openxmlformats.org/officeDocument/2006/relationships/hyperlink" Target="https://treas-secure.state.mi.us/LAFDocSearch/tl41R01.aspx?&amp;lu_id=3530&amp;doc_yr=2016&amp;doc_code=AUD" TargetMode="External"/><Relationship Id="rId1901" Type="http://schemas.openxmlformats.org/officeDocument/2006/relationships/hyperlink" Target="https://treas-secure.state.mi.us/LAFDocSearch/tl41R01.aspx?&amp;lu_id=3709&amp;doc_yr=2016&amp;doc_code=AUD" TargetMode="External"/><Relationship Id="rId1985" Type="http://schemas.openxmlformats.org/officeDocument/2006/relationships/hyperlink" Target="https://treas-secure.state.mi.us/LAFDocSearch/tl41R01.aspx?&amp;lu_id=3863&amp;doc_yr=2016&amp;doc_code=AUD" TargetMode="External"/><Relationship Id="rId2524" Type="http://schemas.openxmlformats.org/officeDocument/2006/relationships/hyperlink" Target="https://treas-secure.state.mi.us/LAFDocSearch/tl41R01.aspx?&amp;lu_id=5246&amp;doc_yr=2016&amp;doc_code=AUD" TargetMode="External"/><Relationship Id="rId2731" Type="http://schemas.openxmlformats.org/officeDocument/2006/relationships/hyperlink" Target="https://treas-secure.state.mi.us/LAFDocSearch/tl41R01.aspx?&amp;lu_id=5424&amp;doc_yr=2016&amp;doc_code=AUD" TargetMode="External"/><Relationship Id="rId275" Type="http://schemas.openxmlformats.org/officeDocument/2006/relationships/hyperlink" Target="https://treas-secure.state.mi.us/LAFDocSearch/tl41R01.aspx?&amp;lu_id=524&amp;doc_yr=2016&amp;doc_code=AUD" TargetMode="External"/><Relationship Id="rId482" Type="http://schemas.openxmlformats.org/officeDocument/2006/relationships/hyperlink" Target="https://treas-secure.state.mi.us/LAFDocSearch/tl41R01.aspx?&amp;lu_id=824&amp;doc_yr=2016&amp;doc_code=AUD" TargetMode="External"/><Relationship Id="rId703" Type="http://schemas.openxmlformats.org/officeDocument/2006/relationships/hyperlink" Target="https://treas-secure.state.mi.us/LAFDocSearch/tl41R01.aspx?&amp;lu_id=1345&amp;doc_yr=2016&amp;doc_code=AUD" TargetMode="External"/><Relationship Id="rId910" Type="http://schemas.openxmlformats.org/officeDocument/2006/relationships/hyperlink" Target="https://treas-secure.state.mi.us/LAFDocSearch/tl41R01.aspx?&amp;lu_id=1726&amp;doc_yr=2016&amp;doc_code=AUD" TargetMode="External"/><Relationship Id="rId1333" Type="http://schemas.openxmlformats.org/officeDocument/2006/relationships/hyperlink" Target="https://treas-secure.state.mi.us/LAFDocSearch/tl41R01.aspx?&amp;lu_id=2570&amp;doc_yr=2016&amp;doc_code=AUD" TargetMode="External"/><Relationship Id="rId1540" Type="http://schemas.openxmlformats.org/officeDocument/2006/relationships/hyperlink" Target="https://treas-secure.state.mi.us/LAFDocSearch/tl41R01.aspx?&amp;lu_id=3182&amp;doc_yr=2016&amp;doc_code=AUD" TargetMode="External"/><Relationship Id="rId1638" Type="http://schemas.openxmlformats.org/officeDocument/2006/relationships/hyperlink" Target="https://treas-secure.state.mi.us/LAFDocSearch/tl41R01.aspx?&amp;lu_id=3299&amp;doc_yr=2016&amp;doc_code=AUD" TargetMode="External"/><Relationship Id="rId2163" Type="http://schemas.openxmlformats.org/officeDocument/2006/relationships/hyperlink" Target="https://treas-secure.state.mi.us/LAFDocSearch/tl41R01.aspx?&amp;lu_id=4419&amp;doc_yr=2016&amp;doc_code=AUD" TargetMode="External"/><Relationship Id="rId2370" Type="http://schemas.openxmlformats.org/officeDocument/2006/relationships/hyperlink" Target="https://treas-secure.state.mi.us/LAFDocSearch/tl41R01.aspx?&amp;lu_id=4890&amp;doc_yr=2016&amp;doc_code=AUD" TargetMode="External"/><Relationship Id="rId135" Type="http://schemas.openxmlformats.org/officeDocument/2006/relationships/hyperlink" Target="https://treas-secure.state.mi.us/LAFDocSearch/tl41R01.aspx?&amp;lu_id=220&amp;doc_yr=2016&amp;doc_code=AUD" TargetMode="External"/><Relationship Id="rId342" Type="http://schemas.openxmlformats.org/officeDocument/2006/relationships/hyperlink" Target="https://treas-secure.state.mi.us/LAFDocSearch/tl41R01.aspx?&amp;lu_id=568&amp;doc_yr=2016&amp;doc_code=AUD" TargetMode="External"/><Relationship Id="rId787" Type="http://schemas.openxmlformats.org/officeDocument/2006/relationships/hyperlink" Target="https://treas-secure.state.mi.us/LAFDocSearch/tl41R01.aspx?&amp;lu_id=1519&amp;doc_yr=2016&amp;doc_code=AUD" TargetMode="External"/><Relationship Id="rId994" Type="http://schemas.openxmlformats.org/officeDocument/2006/relationships/hyperlink" Target="https://treas-secure.state.mi.us/LAFDocSearch/tl41R01.aspx?&amp;lu_id=1989&amp;doc_yr=2016&amp;doc_code=AUD" TargetMode="External"/><Relationship Id="rId1400" Type="http://schemas.openxmlformats.org/officeDocument/2006/relationships/hyperlink" Target="https://treas-secure.state.mi.us/LAFDocSearch/tl41R01.aspx?&amp;lu_id=2654&amp;doc_yr=2016&amp;doc_code=AUD" TargetMode="External"/><Relationship Id="rId1845" Type="http://schemas.openxmlformats.org/officeDocument/2006/relationships/hyperlink" Target="https://treas-secure.state.mi.us/LAFDocSearch/tl41R01.aspx?&amp;lu_id=3659&amp;doc_yr=2016&amp;doc_code=AUD" TargetMode="External"/><Relationship Id="rId2023" Type="http://schemas.openxmlformats.org/officeDocument/2006/relationships/hyperlink" Target="https://treas-secure.state.mi.us/LAFDocSearch/tl41R01.aspx?&amp;lu_id=4153&amp;doc_yr=2016&amp;doc_code=AUD" TargetMode="External"/><Relationship Id="rId2230" Type="http://schemas.openxmlformats.org/officeDocument/2006/relationships/hyperlink" Target="https://treas-secure.state.mi.us/LAFDocSearch/tl41R01.aspx?&amp;lu_id=4570&amp;doc_yr=2016&amp;doc_code=AUD" TargetMode="External"/><Relationship Id="rId2468" Type="http://schemas.openxmlformats.org/officeDocument/2006/relationships/hyperlink" Target="https://treas-secure.state.mi.us/LAFDocSearch/tl41R01.aspx?&amp;lu_id=5026&amp;doc_yr=2016&amp;doc_code=AUD" TargetMode="External"/><Relationship Id="rId2675" Type="http://schemas.openxmlformats.org/officeDocument/2006/relationships/hyperlink" Target="https://treas-secure.state.mi.us/LAFDocSearch/tl41R01.aspx?&amp;lu_id=5732&amp;doc_yr=2016&amp;doc_code=AUD" TargetMode="External"/><Relationship Id="rId202" Type="http://schemas.openxmlformats.org/officeDocument/2006/relationships/hyperlink" Target="https://treas-secure.state.mi.us/LAFDocSearch/tl41R01.aspx?&amp;lu_id=386&amp;doc_yr=2016&amp;doc_code=AUD" TargetMode="External"/><Relationship Id="rId647" Type="http://schemas.openxmlformats.org/officeDocument/2006/relationships/hyperlink" Target="https://treas-secure.state.mi.us/LAFDocSearch/tl41R01.aspx?&amp;lu_id=1097&amp;doc_yr=2016&amp;doc_code=AUD" TargetMode="External"/><Relationship Id="rId854" Type="http://schemas.openxmlformats.org/officeDocument/2006/relationships/hyperlink" Target="https://treas-secure.state.mi.us/LAFDocSearch/tl41R01.aspx?&amp;lu_id=1602&amp;doc_yr=2016&amp;doc_code=AUD" TargetMode="External"/><Relationship Id="rId1277" Type="http://schemas.openxmlformats.org/officeDocument/2006/relationships/hyperlink" Target="https://treas-secure.state.mi.us/LAFDocSearch/tl41R01.aspx?&amp;lu_id=2482&amp;doc_yr=2016&amp;doc_code=AUD" TargetMode="External"/><Relationship Id="rId1484" Type="http://schemas.openxmlformats.org/officeDocument/2006/relationships/hyperlink" Target="https://treas-secure.state.mi.us/LAFDocSearch/tl41R01.aspx?&amp;lu_id=2835&amp;doc_yr=2016&amp;doc_code=AUD" TargetMode="External"/><Relationship Id="rId1691" Type="http://schemas.openxmlformats.org/officeDocument/2006/relationships/hyperlink" Target="https://treas-secure.state.mi.us/LAFDocSearch/tl41R01.aspx?&amp;lu_id=3397&amp;doc_yr=2016&amp;doc_code=AUD" TargetMode="External"/><Relationship Id="rId1705" Type="http://schemas.openxmlformats.org/officeDocument/2006/relationships/hyperlink" Target="https://treas-secure.state.mi.us/LAFDocSearch/tl41R01.aspx?&amp;lu_id=3411&amp;doc_yr=2016&amp;doc_code=AUD" TargetMode="External"/><Relationship Id="rId1912" Type="http://schemas.openxmlformats.org/officeDocument/2006/relationships/hyperlink" Target="https://treas-secure.state.mi.us/LAFDocSearch/tl41R01.aspx?&amp;lu_id=3772&amp;doc_yr=2016&amp;doc_code=AUD" TargetMode="External"/><Relationship Id="rId2328" Type="http://schemas.openxmlformats.org/officeDocument/2006/relationships/hyperlink" Target="https://treas-secure.state.mi.us/LAFDocSearch/tl41R01.aspx?&amp;lu_id=4750&amp;doc_yr=2016&amp;doc_code=AUD" TargetMode="External"/><Relationship Id="rId2535" Type="http://schemas.openxmlformats.org/officeDocument/2006/relationships/hyperlink" Target="https://treas-secure.state.mi.us/LAFDocSearch/tl41R01.aspx?&amp;lu_id=5241&amp;doc_yr=2016&amp;doc_code=AUD" TargetMode="External"/><Relationship Id="rId2742" Type="http://schemas.openxmlformats.org/officeDocument/2006/relationships/hyperlink" Target="https://treas-secure.state.mi.us/LAFDocSearch/tl41R01.aspx?&amp;lu_id=5750&amp;doc_yr=2016&amp;doc_code=AUD" TargetMode="External"/><Relationship Id="rId286" Type="http://schemas.openxmlformats.org/officeDocument/2006/relationships/hyperlink" Target="https://treas-secure.state.mi.us/LAFDocSearch/tl41R01.aspx?&amp;lu_id=461&amp;doc_yr=2016&amp;doc_code=AUD" TargetMode="External"/><Relationship Id="rId493" Type="http://schemas.openxmlformats.org/officeDocument/2006/relationships/hyperlink" Target="https://treas-secure.state.mi.us/LAFDocSearch/tl41R01.aspx?&amp;lu_id=873&amp;doc_yr=2016&amp;doc_code=AUD" TargetMode="External"/><Relationship Id="rId507" Type="http://schemas.openxmlformats.org/officeDocument/2006/relationships/hyperlink" Target="https://treas-secure.state.mi.us/LAFDocSearch/tl41R01.aspx?&amp;lu_id=6162&amp;doc_yr=2016&amp;doc_code=AUD" TargetMode="External"/><Relationship Id="rId714" Type="http://schemas.openxmlformats.org/officeDocument/2006/relationships/hyperlink" Target="https://treas-secure.state.mi.us/LAFDocSearch/tl41R01.aspx?&amp;lu_id=1349&amp;doc_yr=2016&amp;doc_code=AUD" TargetMode="External"/><Relationship Id="rId921" Type="http://schemas.openxmlformats.org/officeDocument/2006/relationships/hyperlink" Target="https://treas-secure.state.mi.us/LAFDocSearch/tl41R01.aspx?&amp;lu_id=1754&amp;doc_yr=2016&amp;doc_code=AUD" TargetMode="External"/><Relationship Id="rId1137" Type="http://schemas.openxmlformats.org/officeDocument/2006/relationships/hyperlink" Target="https://treas-secure.state.mi.us/LAFDocSearch/tl41R01.aspx?&amp;lu_id=2211&amp;doc_yr=2016&amp;doc_code=AUD" TargetMode="External"/><Relationship Id="rId1344" Type="http://schemas.openxmlformats.org/officeDocument/2006/relationships/hyperlink" Target="https://treas-secure.state.mi.us/LAFDocSearch/tl41R01.aspx?&amp;lu_id=2597&amp;doc_yr=2016&amp;doc_code=AUD" TargetMode="External"/><Relationship Id="rId1551" Type="http://schemas.openxmlformats.org/officeDocument/2006/relationships/hyperlink" Target="https://treas-secure.state.mi.us/LAFDocSearch/tl41R01.aspx?&amp;lu_id=3147&amp;doc_yr=2016&amp;doc_code=AUD" TargetMode="External"/><Relationship Id="rId1789" Type="http://schemas.openxmlformats.org/officeDocument/2006/relationships/hyperlink" Target="https://treas-secure.state.mi.us/LAFDocSearch/tl41R01.aspx?&amp;lu_id=3536&amp;doc_yr=2016&amp;doc_code=AUD" TargetMode="External"/><Relationship Id="rId1996" Type="http://schemas.openxmlformats.org/officeDocument/2006/relationships/hyperlink" Target="https://treas-secure.state.mi.us/LAFDocSearch/tl41R01.aspx?&amp;lu_id=4160&amp;doc_yr=2016&amp;doc_code=AUD" TargetMode="External"/><Relationship Id="rId2174" Type="http://schemas.openxmlformats.org/officeDocument/2006/relationships/hyperlink" Target="https://treas-secure.state.mi.us/LAFDocSearch/tl41R01.aspx?&amp;lu_id=4471&amp;doc_yr=2016&amp;doc_code=AUD" TargetMode="External"/><Relationship Id="rId2381" Type="http://schemas.openxmlformats.org/officeDocument/2006/relationships/hyperlink" Target="https://treas-secure.state.mi.us/LAFDocSearch/tl41R01.aspx?&amp;lu_id=4895&amp;doc_yr=2016&amp;doc_code=AUD" TargetMode="External"/><Relationship Id="rId2602" Type="http://schemas.openxmlformats.org/officeDocument/2006/relationships/hyperlink" Target="https://treas-secure.state.mi.us/LAFDocSearch/tl41R01.aspx?&amp;lu_id=5275&amp;doc_yr=2016&amp;doc_code=AUD" TargetMode="External"/><Relationship Id="rId50" Type="http://schemas.openxmlformats.org/officeDocument/2006/relationships/hyperlink" Target="https://treas-secure.state.mi.us/LAFDocSearch/tl41R01.aspx?&amp;lu_id=56&amp;doc_yr=2016&amp;doc_code=AUD" TargetMode="External"/><Relationship Id="rId146" Type="http://schemas.openxmlformats.org/officeDocument/2006/relationships/hyperlink" Target="https://treas-secure.state.mi.us/LAFDocSearch/tl41R01.aspx?&amp;lu_id=265&amp;doc_yr=2016&amp;doc_code=AUD" TargetMode="External"/><Relationship Id="rId353" Type="http://schemas.openxmlformats.org/officeDocument/2006/relationships/hyperlink" Target="https://treas-secure.state.mi.us/LAFDocSearch/tl41R01.aspx?&amp;lu_id=675&amp;doc_yr=2016&amp;doc_code=AUD" TargetMode="External"/><Relationship Id="rId560" Type="http://schemas.openxmlformats.org/officeDocument/2006/relationships/hyperlink" Target="https://treas-secure.state.mi.us/LAFDocSearch/tl41R01.aspx?&amp;lu_id=936&amp;doc_yr=2016&amp;doc_code=AUD" TargetMode="External"/><Relationship Id="rId798" Type="http://schemas.openxmlformats.org/officeDocument/2006/relationships/hyperlink" Target="https://treas-secure.state.mi.us/LAFDocSearch/tl41R01.aspx?&amp;lu_id=1512&amp;doc_yr=2016&amp;doc_code=AUD" TargetMode="External"/><Relationship Id="rId1190" Type="http://schemas.openxmlformats.org/officeDocument/2006/relationships/hyperlink" Target="https://treas-secure.state.mi.us/LAFDocSearch/tl41R01.aspx?&amp;lu_id=2283&amp;doc_yr=2016&amp;doc_code=AUD" TargetMode="External"/><Relationship Id="rId1204" Type="http://schemas.openxmlformats.org/officeDocument/2006/relationships/hyperlink" Target="https://treas-secure.state.mi.us/LAFDocSearch/tl41R01.aspx?&amp;lu_id=7884&amp;doc_yr=2016&amp;doc_code=AUD" TargetMode="External"/><Relationship Id="rId1411" Type="http://schemas.openxmlformats.org/officeDocument/2006/relationships/hyperlink" Target="https://treas-secure.state.mi.us/LAFDocSearch/tl41R01.aspx?&amp;lu_id=2717&amp;doc_yr=2016&amp;doc_code=AUD" TargetMode="External"/><Relationship Id="rId1649" Type="http://schemas.openxmlformats.org/officeDocument/2006/relationships/hyperlink" Target="https://treas-secure.state.mi.us/LAFDocSearch/tl41R01.aspx?&amp;lu_id=3259&amp;doc_yr=2016&amp;doc_code=AUD" TargetMode="External"/><Relationship Id="rId1856" Type="http://schemas.openxmlformats.org/officeDocument/2006/relationships/hyperlink" Target="https://treas-secure.state.mi.us/LAFDocSearch/tl41R01.aspx?&amp;lu_id=3684&amp;doc_yr=2016&amp;doc_code=AUD" TargetMode="External"/><Relationship Id="rId2034" Type="http://schemas.openxmlformats.org/officeDocument/2006/relationships/hyperlink" Target="https://treas-secure.state.mi.us/LAFDocSearch/tl41R01.aspx?&amp;lu_id=3874&amp;doc_yr=2016&amp;doc_code=AUD" TargetMode="External"/><Relationship Id="rId2241" Type="http://schemas.openxmlformats.org/officeDocument/2006/relationships/hyperlink" Target="https://treas-secure.state.mi.us/LAFDocSearch/tl41R01.aspx?&amp;lu_id=4556&amp;doc_yr=2016&amp;doc_code=AUD" TargetMode="External"/><Relationship Id="rId2479" Type="http://schemas.openxmlformats.org/officeDocument/2006/relationships/hyperlink" Target="https://treas-secure.state.mi.us/LAFDocSearch/tl41R01.aspx?&amp;lu_id=5161&amp;doc_yr=2016&amp;doc_code=AUD" TargetMode="External"/><Relationship Id="rId2686" Type="http://schemas.openxmlformats.org/officeDocument/2006/relationships/hyperlink" Target="https://treas-secure.state.mi.us/LAFDocSearch/tl41R01.aspx?&amp;lu_id=5842&amp;doc_yr=2016&amp;doc_code=AUD" TargetMode="External"/><Relationship Id="rId213" Type="http://schemas.openxmlformats.org/officeDocument/2006/relationships/hyperlink" Target="https://treas-secure.state.mi.us/LAFDocSearch/tl41R01.aspx?&amp;lu_id=364&amp;doc_yr=2016&amp;doc_code=AUD" TargetMode="External"/><Relationship Id="rId420" Type="http://schemas.openxmlformats.org/officeDocument/2006/relationships/hyperlink" Target="https://treas-secure.state.mi.us/LAFDocSearch/tl41R01.aspx?&amp;lu_id=698&amp;doc_yr=2016&amp;doc_code=AUD" TargetMode="External"/><Relationship Id="rId658" Type="http://schemas.openxmlformats.org/officeDocument/2006/relationships/hyperlink" Target="https://treas-secure.state.mi.us/LAFDocSearch/tl41R01.aspx?&amp;lu_id=1265&amp;doc_yr=2016&amp;doc_code=AUD" TargetMode="External"/><Relationship Id="rId865" Type="http://schemas.openxmlformats.org/officeDocument/2006/relationships/hyperlink" Target="https://treas-secure.state.mi.us/LAFDocSearch/tl41R01.aspx?&amp;lu_id=1653&amp;doc_yr=2016&amp;doc_code=AUD" TargetMode="External"/><Relationship Id="rId1050" Type="http://schemas.openxmlformats.org/officeDocument/2006/relationships/hyperlink" Target="https://treas-secure.state.mi.us/LAFDocSearch/tl41R01.aspx?&amp;lu_id=2108&amp;doc_yr=2016&amp;doc_code=AUD" TargetMode="External"/><Relationship Id="rId1288" Type="http://schemas.openxmlformats.org/officeDocument/2006/relationships/hyperlink" Target="https://treas-secure.state.mi.us/LAFDocSearch/tl41R01.aspx?&amp;lu_id=2461&amp;doc_yr=2016&amp;doc_code=AUD" TargetMode="External"/><Relationship Id="rId1495" Type="http://schemas.openxmlformats.org/officeDocument/2006/relationships/hyperlink" Target="https://treas-secure.state.mi.us/LAFDocSearch/tl41R01.aspx?&amp;lu_id=2838&amp;doc_yr=2016&amp;doc_code=AUD" TargetMode="External"/><Relationship Id="rId1509" Type="http://schemas.openxmlformats.org/officeDocument/2006/relationships/hyperlink" Target="https://treas-secure.state.mi.us/LAFDocSearch/tl41R01.aspx?&amp;lu_id=2925&amp;doc_yr=2016&amp;doc_code=AUD" TargetMode="External"/><Relationship Id="rId1716" Type="http://schemas.openxmlformats.org/officeDocument/2006/relationships/hyperlink" Target="https://treas-secure.state.mi.us/LAFDocSearch/tl41R01.aspx?&amp;lu_id=3407&amp;doc_yr=2016&amp;doc_code=AUD" TargetMode="External"/><Relationship Id="rId1923" Type="http://schemas.openxmlformats.org/officeDocument/2006/relationships/hyperlink" Target="https://treas-secure.state.mi.us/LAFDocSearch/tl41R01.aspx?&amp;lu_id=3790&amp;doc_yr=2016&amp;doc_code=AUD" TargetMode="External"/><Relationship Id="rId2101" Type="http://schemas.openxmlformats.org/officeDocument/2006/relationships/hyperlink" Target="https://treas-secure.state.mi.us/LAFDocSearch/tl41R01.aspx?&amp;lu_id=4310&amp;doc_yr=2016&amp;doc_code=AUD" TargetMode="External"/><Relationship Id="rId2339" Type="http://schemas.openxmlformats.org/officeDocument/2006/relationships/hyperlink" Target="https://treas-secure.state.mi.us/LAFDocSearch/tl41R01.aspx?&amp;lu_id=4821&amp;doc_yr=2016&amp;doc_code=AUD" TargetMode="External"/><Relationship Id="rId2546" Type="http://schemas.openxmlformats.org/officeDocument/2006/relationships/hyperlink" Target="https://treas-secure.state.mi.us/LAFDocSearch/tl41R01.aspx?&amp;lu_id=5238&amp;doc_yr=2016&amp;doc_code=AUD" TargetMode="External"/><Relationship Id="rId2753" Type="http://schemas.openxmlformats.org/officeDocument/2006/relationships/hyperlink" Target="https://treas-secure.state.mi.us/LAFDocSearch/tl41R01.aspx?&amp;lu_id=5775&amp;doc_yr=2016&amp;doc_code=AUD" TargetMode="External"/><Relationship Id="rId297" Type="http://schemas.openxmlformats.org/officeDocument/2006/relationships/hyperlink" Target="https://treas-secure.state.mi.us/LAFDocSearch/tl41R01.aspx?&amp;lu_id=6146&amp;doc_yr=2016&amp;doc_code=AUD" TargetMode="External"/><Relationship Id="rId518" Type="http://schemas.openxmlformats.org/officeDocument/2006/relationships/hyperlink" Target="https://treas-secure.state.mi.us/LAFDocSearch/tl41R01.aspx?&amp;lu_id=889&amp;doc_yr=2016&amp;doc_code=AUD" TargetMode="External"/><Relationship Id="rId725" Type="http://schemas.openxmlformats.org/officeDocument/2006/relationships/hyperlink" Target="https://treas-secure.state.mi.us/LAFDocSearch/tl41R01.aspx?&amp;lu_id=1337&amp;doc_yr=2016&amp;doc_code=AUD" TargetMode="External"/><Relationship Id="rId932" Type="http://schemas.openxmlformats.org/officeDocument/2006/relationships/hyperlink" Target="https://treas-secure.state.mi.us/LAFDocSearch/tl41R01.aspx?&amp;lu_id=1764&amp;doc_yr=2016&amp;doc_code=AUD" TargetMode="External"/><Relationship Id="rId1148" Type="http://schemas.openxmlformats.org/officeDocument/2006/relationships/hyperlink" Target="https://treas-secure.state.mi.us/LAFDocSearch/tl41R01.aspx?&amp;lu_id=2223&amp;doc_yr=2016&amp;doc_code=AUD" TargetMode="External"/><Relationship Id="rId1355" Type="http://schemas.openxmlformats.org/officeDocument/2006/relationships/hyperlink" Target="https://treas-secure.state.mi.us/LAFDocSearch/tl41R01.aspx?&amp;lu_id=2615&amp;doc_yr=2016&amp;doc_code=AUD" TargetMode="External"/><Relationship Id="rId1562" Type="http://schemas.openxmlformats.org/officeDocument/2006/relationships/hyperlink" Target="https://treas-secure.state.mi.us/LAFDocSearch/tl41R01.aspx?&amp;lu_id=2990&amp;doc_yr=2016&amp;doc_code=AUD" TargetMode="External"/><Relationship Id="rId2185" Type="http://schemas.openxmlformats.org/officeDocument/2006/relationships/hyperlink" Target="https://treas-secure.state.mi.us/LAFDocSearch/tl41R01.aspx?&amp;lu_id=4414&amp;doc_yr=2016&amp;doc_code=AUD" TargetMode="External"/><Relationship Id="rId2392" Type="http://schemas.openxmlformats.org/officeDocument/2006/relationships/hyperlink" Target="https://treas-secure.state.mi.us/LAFDocSearch/tl41R01.aspx?&amp;lu_id=4944&amp;doc_yr=2016&amp;doc_code=AUD" TargetMode="External"/><Relationship Id="rId2406" Type="http://schemas.openxmlformats.org/officeDocument/2006/relationships/hyperlink" Target="https://treas-secure.state.mi.us/LAFDocSearch/tl41R01.aspx?&amp;lu_id=4940&amp;doc_yr=2016&amp;doc_code=AUD" TargetMode="External"/><Relationship Id="rId2613" Type="http://schemas.openxmlformats.org/officeDocument/2006/relationships/hyperlink" Target="https://treas-secure.state.mi.us/LAFDocSearch/tl41R01.aspx?&amp;lu_id=5376&amp;doc_yr=2016&amp;doc_code=AUD" TargetMode="External"/><Relationship Id="rId157" Type="http://schemas.openxmlformats.org/officeDocument/2006/relationships/hyperlink" Target="https://treas-secure.state.mi.us/LAFDocSearch/tl41R01.aspx?&amp;lu_id=276&amp;doc_yr=2016&amp;doc_code=AUD" TargetMode="External"/><Relationship Id="rId364" Type="http://schemas.openxmlformats.org/officeDocument/2006/relationships/hyperlink" Target="https://treas-secure.state.mi.us/LAFDocSearch/tl41R01.aspx?&amp;lu_id=665&amp;doc_yr=2016&amp;doc_code=AUD" TargetMode="External"/><Relationship Id="rId1008" Type="http://schemas.openxmlformats.org/officeDocument/2006/relationships/hyperlink" Target="https://treas-secure.state.mi.us/LAFDocSearch/tl41R01.aspx?&amp;lu_id=1999&amp;doc_yr=2016&amp;doc_code=AUD" TargetMode="External"/><Relationship Id="rId1215" Type="http://schemas.openxmlformats.org/officeDocument/2006/relationships/hyperlink" Target="https://treas-secure.state.mi.us/LAFDocSearch/tl41R01.aspx?&amp;lu_id=6181&amp;doc_yr=2016&amp;doc_code=AUD" TargetMode="External"/><Relationship Id="rId1422" Type="http://schemas.openxmlformats.org/officeDocument/2006/relationships/hyperlink" Target="https://treas-secure.state.mi.us/LAFDocSearch/tl41R01.aspx?&amp;lu_id=2719&amp;doc_yr=2016&amp;doc_code=AUD" TargetMode="External"/><Relationship Id="rId1867" Type="http://schemas.openxmlformats.org/officeDocument/2006/relationships/hyperlink" Target="https://treas-secure.state.mi.us/LAFDocSearch/tl41R01.aspx?&amp;lu_id=3711&amp;doc_yr=2016&amp;doc_code=AUD" TargetMode="External"/><Relationship Id="rId2045" Type="http://schemas.openxmlformats.org/officeDocument/2006/relationships/hyperlink" Target="https://treas-secure.state.mi.us/LAFDocSearch/tl41R01.aspx?&amp;lu_id=4189&amp;doc_yr=2016&amp;doc_code=AUD" TargetMode="External"/><Relationship Id="rId2697" Type="http://schemas.openxmlformats.org/officeDocument/2006/relationships/hyperlink" Target="https://treas-secure.state.mi.us/LAFDocSearch/tl41R01.aspx?&amp;lu_id=5434&amp;doc_yr=2016&amp;doc_code=AUD" TargetMode="External"/><Relationship Id="rId61" Type="http://schemas.openxmlformats.org/officeDocument/2006/relationships/hyperlink" Target="https://treas-secure.state.mi.us/LAFDocSearch/tl41R01.aspx?&amp;lu_id=80&amp;doc_yr=2016&amp;doc_code=AUD" TargetMode="External"/><Relationship Id="rId571" Type="http://schemas.openxmlformats.org/officeDocument/2006/relationships/hyperlink" Target="https://treas-secure.state.mi.us/LAFDocSearch/tl41R01.aspx?&amp;lu_id=942&amp;doc_yr=2016&amp;doc_code=AUD" TargetMode="External"/><Relationship Id="rId669" Type="http://schemas.openxmlformats.org/officeDocument/2006/relationships/hyperlink" Target="https://treas-secure.state.mi.us/LAFDocSearch/tl41R01.aspx?&amp;lu_id=1315&amp;doc_yr=2016&amp;doc_code=AUD" TargetMode="External"/><Relationship Id="rId876" Type="http://schemas.openxmlformats.org/officeDocument/2006/relationships/hyperlink" Target="https://treas-secure.state.mi.us/LAFDocSearch/tl41R01.aspx?&amp;lu_id=1652&amp;doc_yr=2016&amp;doc_code=AUD" TargetMode="External"/><Relationship Id="rId1299" Type="http://schemas.openxmlformats.org/officeDocument/2006/relationships/hyperlink" Target="https://treas-secure.state.mi.us/LAFDocSearch/tl41R01.aspx?&amp;lu_id=2585&amp;doc_yr=2016&amp;doc_code=AUD" TargetMode="External"/><Relationship Id="rId1727" Type="http://schemas.openxmlformats.org/officeDocument/2006/relationships/hyperlink" Target="https://treas-secure.state.mi.us/LAFDocSearch/tl41R01.aspx?&amp;lu_id=3451&amp;doc_yr=2016&amp;doc_code=AUD" TargetMode="External"/><Relationship Id="rId1934" Type="http://schemas.openxmlformats.org/officeDocument/2006/relationships/hyperlink" Target="https://treas-secure.state.mi.us/LAFDocSearch/tl41R01.aspx?&amp;lu_id=3791&amp;doc_yr=2016&amp;doc_code=AUD" TargetMode="External"/><Relationship Id="rId2252" Type="http://schemas.openxmlformats.org/officeDocument/2006/relationships/hyperlink" Target="https://treas-secure.state.mi.us/LAFDocSearch/tl41R01.aspx?&amp;lu_id=4582&amp;doc_yr=2016&amp;doc_code=AUD" TargetMode="External"/><Relationship Id="rId2557" Type="http://schemas.openxmlformats.org/officeDocument/2006/relationships/hyperlink" Target="https://treas-secure.state.mi.us/LAFDocSearch/tl41R01.aspx?&amp;lu_id=5257&amp;doc_yr=2016&amp;doc_code=AUD" TargetMode="External"/><Relationship Id="rId19" Type="http://schemas.openxmlformats.org/officeDocument/2006/relationships/hyperlink" Target="https://treas-secure.state.mi.us/LAFDocSearch/tl41R01.aspx?&amp;lu_id=28&amp;doc_yr=2016&amp;doc_code=AUD" TargetMode="External"/><Relationship Id="rId224" Type="http://schemas.openxmlformats.org/officeDocument/2006/relationships/hyperlink" Target="https://treas-secure.state.mi.us/LAFDocSearch/tl41R01.aspx?&amp;lu_id=337&amp;doc_yr=2016&amp;doc_code=AUD" TargetMode="External"/><Relationship Id="rId431" Type="http://schemas.openxmlformats.org/officeDocument/2006/relationships/hyperlink" Target="https://treas-secure.state.mi.us/LAFDocSearch/tl41R01.aspx?&amp;lu_id=705&amp;doc_yr=2016&amp;doc_code=AUD" TargetMode="External"/><Relationship Id="rId529" Type="http://schemas.openxmlformats.org/officeDocument/2006/relationships/hyperlink" Target="https://treas-secure.state.mi.us/LAFDocSearch/tl41R01.aspx?&amp;lu_id=921&amp;doc_yr=2016&amp;doc_code=AUD" TargetMode="External"/><Relationship Id="rId736" Type="http://schemas.openxmlformats.org/officeDocument/2006/relationships/hyperlink" Target="https://treas-secure.state.mi.us/LAFDocSearch/tl41R01.aspx?&amp;lu_id=1357&amp;doc_yr=2016&amp;doc_code=AUD" TargetMode="External"/><Relationship Id="rId1061" Type="http://schemas.openxmlformats.org/officeDocument/2006/relationships/hyperlink" Target="https://treas-secure.state.mi.us/LAFDocSearch/tl41R01.aspx?&amp;lu_id=2073&amp;doc_yr=2016&amp;doc_code=AUD" TargetMode="External"/><Relationship Id="rId1159" Type="http://schemas.openxmlformats.org/officeDocument/2006/relationships/hyperlink" Target="https://treas-secure.state.mi.us/LAFDocSearch/tl41R01.aspx?&amp;lu_id=2291&amp;doc_yr=2016&amp;doc_code=AUD" TargetMode="External"/><Relationship Id="rId1366" Type="http://schemas.openxmlformats.org/officeDocument/2006/relationships/hyperlink" Target="https://treas-secure.state.mi.us/LAFDocSearch/tl41R01.aspx?&amp;lu_id=2659&amp;doc_yr=2016&amp;doc_code=AUD" TargetMode="External"/><Relationship Id="rId2112" Type="http://schemas.openxmlformats.org/officeDocument/2006/relationships/hyperlink" Target="https://treas-secure.state.mi.us/LAFDocSearch/tl41R01.aspx?&amp;lu_id=4330&amp;doc_yr=2016&amp;doc_code=AUD" TargetMode="External"/><Relationship Id="rId2196" Type="http://schemas.openxmlformats.org/officeDocument/2006/relationships/hyperlink" Target="https://treas-secure.state.mi.us/LAFDocSearch/tl41R01.aspx?&amp;lu_id=4439&amp;doc_yr=2016&amp;doc_code=AUD" TargetMode="External"/><Relationship Id="rId2417" Type="http://schemas.openxmlformats.org/officeDocument/2006/relationships/hyperlink" Target="https://treas-secure.state.mi.us/LAFDocSearch/tl41R01.aspx?&amp;lu_id=4977&amp;doc_yr=2016&amp;doc_code=AUD" TargetMode="External"/><Relationship Id="rId2764" Type="http://schemas.openxmlformats.org/officeDocument/2006/relationships/hyperlink" Target="https://treas-secure.state.mi.us/LAFDocSearch/tl41R01.aspx?&amp;lu_id=5800&amp;doc_yr=2016&amp;doc_code=AUD" TargetMode="External"/><Relationship Id="rId168" Type="http://schemas.openxmlformats.org/officeDocument/2006/relationships/hyperlink" Target="https://treas-secure.state.mi.us/LAFDocSearch/tl41R01.aspx?&amp;lu_id=291&amp;doc_yr=2016&amp;doc_code=AUD" TargetMode="External"/><Relationship Id="rId943" Type="http://schemas.openxmlformats.org/officeDocument/2006/relationships/hyperlink" Target="https://treas-secure.state.mi.us/LAFDocSearch/tl41R01.aspx?&amp;lu_id=1788&amp;doc_yr=2016&amp;doc_code=AUD" TargetMode="External"/><Relationship Id="rId1019" Type="http://schemas.openxmlformats.org/officeDocument/2006/relationships/hyperlink" Target="https://treas-secure.state.mi.us/LAFDocSearch/tl41R01.aspx?&amp;lu_id=2028&amp;doc_yr=2016&amp;doc_code=AUD" TargetMode="External"/><Relationship Id="rId1573" Type="http://schemas.openxmlformats.org/officeDocument/2006/relationships/hyperlink" Target="https://treas-secure.state.mi.us/LAFDocSearch/tl41R01.aspx?&amp;lu_id=3180&amp;doc_yr=2016&amp;doc_code=AUD" TargetMode="External"/><Relationship Id="rId1780" Type="http://schemas.openxmlformats.org/officeDocument/2006/relationships/hyperlink" Target="https://treas-secure.state.mi.us/LAFDocSearch/tl41R01.aspx?&amp;lu_id=3531&amp;doc_yr=2016&amp;doc_code=AUD" TargetMode="External"/><Relationship Id="rId1878" Type="http://schemas.openxmlformats.org/officeDocument/2006/relationships/hyperlink" Target="https://treas-secure.state.mi.us/LAFDocSearch/tl41R01.aspx?&amp;lu_id=3697&amp;doc_yr=2016&amp;doc_code=AUD" TargetMode="External"/><Relationship Id="rId2624" Type="http://schemas.openxmlformats.org/officeDocument/2006/relationships/hyperlink" Target="https://treas-secure.state.mi.us/LAFDocSearch/tl41R01.aspx?&amp;lu_id=5266&amp;doc_yr=2016&amp;doc_code=AUD" TargetMode="External"/><Relationship Id="rId72" Type="http://schemas.openxmlformats.org/officeDocument/2006/relationships/hyperlink" Target="https://treas-secure.state.mi.us/LAFDocSearch/tl41R01.aspx?&amp;lu_id=117&amp;doc_yr=2016&amp;doc_code=AUD" TargetMode="External"/><Relationship Id="rId375" Type="http://schemas.openxmlformats.org/officeDocument/2006/relationships/hyperlink" Target="https://treas-secure.state.mi.us/LAFDocSearch/tl41R01.aspx?&amp;lu_id=606&amp;doc_yr=2016&amp;doc_code=AUD" TargetMode="External"/><Relationship Id="rId582" Type="http://schemas.openxmlformats.org/officeDocument/2006/relationships/hyperlink" Target="https://treas-secure.state.mi.us/LAFDocSearch/tl41R01.aspx?&amp;lu_id=996&amp;doc_yr=2016&amp;doc_code=AUD" TargetMode="External"/><Relationship Id="rId803" Type="http://schemas.openxmlformats.org/officeDocument/2006/relationships/hyperlink" Target="https://treas-secure.state.mi.us/LAFDocSearch/tl41R01.aspx?&amp;lu_id=1541&amp;doc_yr=2016&amp;doc_code=AUD" TargetMode="External"/><Relationship Id="rId1226" Type="http://schemas.openxmlformats.org/officeDocument/2006/relationships/hyperlink" Target="https://treas-secure.state.mi.us/LAFDocSearch/tl41R01.aspx?&amp;lu_id=6109&amp;doc_yr=2016&amp;doc_code=AUD" TargetMode="External"/><Relationship Id="rId1433" Type="http://schemas.openxmlformats.org/officeDocument/2006/relationships/hyperlink" Target="https://treas-secure.state.mi.us/LAFDocSearch/tl41R01.aspx?&amp;lu_id=2762&amp;doc_yr=2016&amp;doc_code=AUD" TargetMode="External"/><Relationship Id="rId1640" Type="http://schemas.openxmlformats.org/officeDocument/2006/relationships/hyperlink" Target="https://treas-secure.state.mi.us/LAFDocSearch/tl41R01.aspx?&amp;lu_id=3256&amp;doc_yr=2016&amp;doc_code=AUD" TargetMode="External"/><Relationship Id="rId1738" Type="http://schemas.openxmlformats.org/officeDocument/2006/relationships/hyperlink" Target="https://treas-secure.state.mi.us/LAFDocSearch/tl41R01.aspx?&amp;lu_id=3449&amp;doc_yr=2016&amp;doc_code=AUD" TargetMode="External"/><Relationship Id="rId2056" Type="http://schemas.openxmlformats.org/officeDocument/2006/relationships/hyperlink" Target="https://treas-secure.state.mi.us/LAFDocSearch/tl41R01.aspx?&amp;lu_id=4252&amp;doc_yr=2016&amp;doc_code=AUD" TargetMode="External"/><Relationship Id="rId2263" Type="http://schemas.openxmlformats.org/officeDocument/2006/relationships/hyperlink" Target="https://treas-secure.state.mi.us/LAFDocSearch/tl41R01.aspx?&amp;lu_id=4604&amp;doc_yr=2016&amp;doc_code=AUD" TargetMode="External"/><Relationship Id="rId2470" Type="http://schemas.openxmlformats.org/officeDocument/2006/relationships/hyperlink" Target="https://treas-secure.state.mi.us/LAFDocSearch/tl41R01.aspx?&amp;lu_id=5027&amp;doc_yr=2016&amp;doc_code=AUD" TargetMode="External"/><Relationship Id="rId3" Type="http://schemas.openxmlformats.org/officeDocument/2006/relationships/hyperlink" Target="https://treas-secure.state.mi.us/LAFDocSearch/tl41R01.aspx?&amp;lu_id=2&amp;doc_yr=2016&amp;doc_code=AUD" TargetMode="External"/><Relationship Id="rId235" Type="http://schemas.openxmlformats.org/officeDocument/2006/relationships/hyperlink" Target="https://treas-secure.state.mi.us/LAFDocSearch/tl41R01.aspx?&amp;lu_id=406&amp;doc_yr=2016&amp;doc_code=AUD" TargetMode="External"/><Relationship Id="rId442" Type="http://schemas.openxmlformats.org/officeDocument/2006/relationships/hyperlink" Target="https://treas-secure.state.mi.us/LAFDocSearch/tl41R01.aspx?&amp;lu_id=740&amp;doc_yr=2016&amp;doc_code=AUD" TargetMode="External"/><Relationship Id="rId887" Type="http://schemas.openxmlformats.org/officeDocument/2006/relationships/hyperlink" Target="https://treas-secure.state.mi.us/LAFDocSearch/tl41R01.aspx?&amp;lu_id=1677&amp;doc_yr=2016&amp;doc_code=AUD" TargetMode="External"/><Relationship Id="rId1072" Type="http://schemas.openxmlformats.org/officeDocument/2006/relationships/hyperlink" Target="https://treas-secure.state.mi.us/LAFDocSearch/tl41R01.aspx?&amp;lu_id=2064&amp;doc_yr=2016&amp;doc_code=AUD" TargetMode="External"/><Relationship Id="rId1500" Type="http://schemas.openxmlformats.org/officeDocument/2006/relationships/hyperlink" Target="https://treas-secure.state.mi.us/LAFDocSearch/tl41R01.aspx?&amp;lu_id=2840&amp;doc_yr=2016&amp;doc_code=AUD" TargetMode="External"/><Relationship Id="rId1945" Type="http://schemas.openxmlformats.org/officeDocument/2006/relationships/hyperlink" Target="https://treas-secure.state.mi.us/LAFDocSearch/tl41R01.aspx?&amp;lu_id=4179&amp;doc_yr=2016&amp;doc_code=AUD" TargetMode="External"/><Relationship Id="rId2123" Type="http://schemas.openxmlformats.org/officeDocument/2006/relationships/hyperlink" Target="https://treas-secure.state.mi.us/LAFDocSearch/tl41R01.aspx?&amp;lu_id=4343&amp;doc_yr=2016&amp;doc_code=AUD" TargetMode="External"/><Relationship Id="rId2330" Type="http://schemas.openxmlformats.org/officeDocument/2006/relationships/hyperlink" Target="https://treas-secure.state.mi.us/LAFDocSearch/tl41R01.aspx?&amp;lu_id=4743&amp;doc_yr=2016&amp;doc_code=AUD" TargetMode="External"/><Relationship Id="rId2568" Type="http://schemas.openxmlformats.org/officeDocument/2006/relationships/hyperlink" Target="https://treas-secure.state.mi.us/LAFDocSearch/tl41R01.aspx?&amp;lu_id=5227&amp;doc_yr=2016&amp;doc_code=AUD" TargetMode="External"/><Relationship Id="rId2775" Type="http://schemas.openxmlformats.org/officeDocument/2006/relationships/hyperlink" Target="https://treas-secure.state.mi.us/LAFDocSearch/tl41R01.aspx?&amp;lu_id=5913&amp;doc_yr=2016&amp;doc_code=AUD" TargetMode="External"/><Relationship Id="rId302" Type="http://schemas.openxmlformats.org/officeDocument/2006/relationships/hyperlink" Target="https://treas-secure.state.mi.us/LAFDocSearch/tl41R01.aspx?&amp;lu_id=523&amp;doc_yr=2016&amp;doc_code=AUD" TargetMode="External"/><Relationship Id="rId747" Type="http://schemas.openxmlformats.org/officeDocument/2006/relationships/hyperlink" Target="https://treas-secure.state.mi.us/LAFDocSearch/tl41R01.aspx?&amp;lu_id=1392&amp;doc_yr=2016&amp;doc_code=AUD" TargetMode="External"/><Relationship Id="rId954" Type="http://schemas.openxmlformats.org/officeDocument/2006/relationships/hyperlink" Target="https://treas-secure.state.mi.us/LAFDocSearch/tl41R01.aspx?&amp;lu_id=1884&amp;doc_yr=2016&amp;doc_code=AUD" TargetMode="External"/><Relationship Id="rId1377" Type="http://schemas.openxmlformats.org/officeDocument/2006/relationships/hyperlink" Target="https://treas-secure.state.mi.us/LAFDocSearch/tl41R01.aspx?&amp;lu_id=2682&amp;doc_yr=2016&amp;doc_code=AUD" TargetMode="External"/><Relationship Id="rId1584" Type="http://schemas.openxmlformats.org/officeDocument/2006/relationships/hyperlink" Target="https://treas-secure.state.mi.us/LAFDocSearch/tl41R01.aspx?&amp;lu_id=3168&amp;doc_yr=2016&amp;doc_code=AUD" TargetMode="External"/><Relationship Id="rId1791" Type="http://schemas.openxmlformats.org/officeDocument/2006/relationships/hyperlink" Target="https://treas-secure.state.mi.us/LAFDocSearch/tl41R01.aspx?&amp;lu_id=3524&amp;doc_yr=2016&amp;doc_code=AUD" TargetMode="External"/><Relationship Id="rId1805" Type="http://schemas.openxmlformats.org/officeDocument/2006/relationships/hyperlink" Target="https://treas-secure.state.mi.us/LAFDocSearch/tl41R01.aspx?&amp;lu_id=3580&amp;doc_yr=2016&amp;doc_code=AUD" TargetMode="External"/><Relationship Id="rId2428" Type="http://schemas.openxmlformats.org/officeDocument/2006/relationships/hyperlink" Target="https://treas-secure.state.mi.us/LAFDocSearch/tl41R01.aspx?&amp;lu_id=4936&amp;doc_yr=2016&amp;doc_code=AUD" TargetMode="External"/><Relationship Id="rId2635" Type="http://schemas.openxmlformats.org/officeDocument/2006/relationships/hyperlink" Target="https://treas-secure.state.mi.us/LAFDocSearch/tl41R01.aspx?&amp;lu_id=7563&amp;doc_yr=2016&amp;doc_code=AUD" TargetMode="External"/><Relationship Id="rId83" Type="http://schemas.openxmlformats.org/officeDocument/2006/relationships/hyperlink" Target="https://treas-secure.state.mi.us/LAFDocSearch/tl41R01.aspx?&amp;lu_id=137&amp;doc_yr=2016&amp;doc_code=AUD" TargetMode="External"/><Relationship Id="rId179" Type="http://schemas.openxmlformats.org/officeDocument/2006/relationships/hyperlink" Target="https://treas-secure.state.mi.us/LAFDocSearch/tl41R01.aspx?&amp;lu_id=293&amp;doc_yr=2016&amp;doc_code=AUD" TargetMode="External"/><Relationship Id="rId386" Type="http://schemas.openxmlformats.org/officeDocument/2006/relationships/hyperlink" Target="https://treas-secure.state.mi.us/LAFDocSearch/tl41R01.aspx?&amp;lu_id=614&amp;doc_yr=2016&amp;doc_code=AUD" TargetMode="External"/><Relationship Id="rId593" Type="http://schemas.openxmlformats.org/officeDocument/2006/relationships/hyperlink" Target="https://treas-secure.state.mi.us/LAFDocSearch/tl41R01.aspx?&amp;lu_id=1008&amp;doc_yr=2016&amp;doc_code=AUD" TargetMode="External"/><Relationship Id="rId607" Type="http://schemas.openxmlformats.org/officeDocument/2006/relationships/hyperlink" Target="https://treas-secure.state.mi.us/LAFDocSearch/tl41R01.aspx?&amp;lu_id=1047&amp;doc_yr=2016&amp;doc_code=AUD" TargetMode="External"/><Relationship Id="rId814" Type="http://schemas.openxmlformats.org/officeDocument/2006/relationships/hyperlink" Target="https://treas-secure.state.mi.us/LAFDocSearch/tl41R01.aspx?&amp;lu_id=1539&amp;doc_yr=2016&amp;doc_code=AUD" TargetMode="External"/><Relationship Id="rId1237" Type="http://schemas.openxmlformats.org/officeDocument/2006/relationships/hyperlink" Target="https://treas-secure.state.mi.us/LAFDocSearch/tl41R01.aspx?&amp;lu_id=2420&amp;doc_yr=2016&amp;doc_code=AUD" TargetMode="External"/><Relationship Id="rId1444" Type="http://schemas.openxmlformats.org/officeDocument/2006/relationships/hyperlink" Target="https://treas-secure.state.mi.us/LAFDocSearch/tl41R01.aspx?&amp;lu_id=2800&amp;doc_yr=2016&amp;doc_code=AUD" TargetMode="External"/><Relationship Id="rId1651" Type="http://schemas.openxmlformats.org/officeDocument/2006/relationships/hyperlink" Target="https://treas-secure.state.mi.us/LAFDocSearch/tl41R01.aspx?&amp;lu_id=6151&amp;doc_yr=2016&amp;doc_code=AUD" TargetMode="External"/><Relationship Id="rId1889" Type="http://schemas.openxmlformats.org/officeDocument/2006/relationships/hyperlink" Target="https://treas-secure.state.mi.us/LAFDocSearch/tl41R01.aspx?&amp;lu_id=3707&amp;doc_yr=2016&amp;doc_code=AUD" TargetMode="External"/><Relationship Id="rId2067" Type="http://schemas.openxmlformats.org/officeDocument/2006/relationships/hyperlink" Target="https://treas-secure.state.mi.us/LAFDocSearch/tl41R01.aspx?&amp;lu_id=4253&amp;doc_yr=2016&amp;doc_code=AUD" TargetMode="External"/><Relationship Id="rId2274" Type="http://schemas.openxmlformats.org/officeDocument/2006/relationships/hyperlink" Target="https://treas-secure.state.mi.us/LAFDocSearch/tl41R01.aspx?&amp;lu_id=4594&amp;doc_yr=2016&amp;doc_code=AUD" TargetMode="External"/><Relationship Id="rId2481" Type="http://schemas.openxmlformats.org/officeDocument/2006/relationships/hyperlink" Target="https://treas-secure.state.mi.us/LAFDocSearch/tl41R01.aspx?&amp;lu_id=5094&amp;doc_yr=2016&amp;doc_code=AUD" TargetMode="External"/><Relationship Id="rId2702" Type="http://schemas.openxmlformats.org/officeDocument/2006/relationships/hyperlink" Target="https://treas-secure.state.mi.us/LAFDocSearch/tl41R01.aspx?&amp;lu_id=5437&amp;doc_yr=2016&amp;doc_code=AUD" TargetMode="External"/><Relationship Id="rId246" Type="http://schemas.openxmlformats.org/officeDocument/2006/relationships/hyperlink" Target="https://treas-secure.state.mi.us/LAFDocSearch/tl41R01.aspx?&amp;lu_id=409&amp;doc_yr=2016&amp;doc_code=AUD" TargetMode="External"/><Relationship Id="rId453" Type="http://schemas.openxmlformats.org/officeDocument/2006/relationships/hyperlink" Target="https://treas-secure.state.mi.us/LAFDocSearch/tl41R01.aspx?&amp;lu_id=780&amp;doc_yr=2016&amp;doc_code=AUD" TargetMode="External"/><Relationship Id="rId660" Type="http://schemas.openxmlformats.org/officeDocument/2006/relationships/hyperlink" Target="https://treas-secure.state.mi.us/LAFDocSearch/tl41R01.aspx?&amp;lu_id=1101&amp;doc_yr=2016&amp;doc_code=AUD" TargetMode="External"/><Relationship Id="rId898" Type="http://schemas.openxmlformats.org/officeDocument/2006/relationships/hyperlink" Target="https://treas-secure.state.mi.us/LAFDocSearch/tl41R01.aspx?&amp;lu_id=1712&amp;doc_yr=2016&amp;doc_code=AUD" TargetMode="External"/><Relationship Id="rId1083" Type="http://schemas.openxmlformats.org/officeDocument/2006/relationships/hyperlink" Target="https://treas-secure.state.mi.us/LAFDocSearch/tl41R01.aspx?&amp;lu_id=2168&amp;doc_yr=2016&amp;doc_code=AUD" TargetMode="External"/><Relationship Id="rId1290" Type="http://schemas.openxmlformats.org/officeDocument/2006/relationships/hyperlink" Target="https://treas-secure.state.mi.us/LAFDocSearch/tl41R01.aspx?&amp;lu_id=2475&amp;doc_yr=2016&amp;doc_code=AUD" TargetMode="External"/><Relationship Id="rId1304" Type="http://schemas.openxmlformats.org/officeDocument/2006/relationships/hyperlink" Target="https://treas-secure.state.mi.us/LAFDocSearch/tl41R01.aspx?&amp;lu_id=2574&amp;doc_yr=2016&amp;doc_code=AUD" TargetMode="External"/><Relationship Id="rId1511" Type="http://schemas.openxmlformats.org/officeDocument/2006/relationships/hyperlink" Target="https://treas-secure.state.mi.us/LAFDocSearch/tl41R01.aspx?&amp;lu_id=2928&amp;doc_yr=2016&amp;doc_code=AUD" TargetMode="External"/><Relationship Id="rId1749" Type="http://schemas.openxmlformats.org/officeDocument/2006/relationships/hyperlink" Target="https://treas-secure.state.mi.us/LAFDocSearch/tl41R01.aspx?&amp;lu_id=3484&amp;doc_yr=2016&amp;doc_code=AUD" TargetMode="External"/><Relationship Id="rId1956" Type="http://schemas.openxmlformats.org/officeDocument/2006/relationships/hyperlink" Target="https://treas-secure.state.mi.us/LAFDocSearch/tl41R01.aspx?&amp;lu_id=4182&amp;doc_yr=2016&amp;doc_code=AUD" TargetMode="External"/><Relationship Id="rId2134" Type="http://schemas.openxmlformats.org/officeDocument/2006/relationships/hyperlink" Target="https://treas-secure.state.mi.us/LAFDocSearch/tl41R01.aspx?&amp;lu_id=4374&amp;doc_yr=2016&amp;doc_code=AUD" TargetMode="External"/><Relationship Id="rId2341" Type="http://schemas.openxmlformats.org/officeDocument/2006/relationships/hyperlink" Target="https://treas-secure.state.mi.us/LAFDocSearch/tl41R01.aspx?&amp;lu_id=4823&amp;doc_yr=2016&amp;doc_code=AUD" TargetMode="External"/><Relationship Id="rId2579" Type="http://schemas.openxmlformats.org/officeDocument/2006/relationships/hyperlink" Target="https://treas-secure.state.mi.us/LAFDocSearch/tl41R01.aspx?&amp;lu_id=5268&amp;doc_yr=2016&amp;doc_code=AUD" TargetMode="External"/><Relationship Id="rId2786" Type="http://schemas.openxmlformats.org/officeDocument/2006/relationships/hyperlink" Target="https://treas-secure.state.mi.us/LAFDocSearch/tl41R01.aspx?&amp;lu_id=5887&amp;doc_yr=2016&amp;doc_code=AUD" TargetMode="External"/><Relationship Id="rId106" Type="http://schemas.openxmlformats.org/officeDocument/2006/relationships/hyperlink" Target="https://treas-secure.state.mi.us/LAFDocSearch/tl41R01.aspx?&amp;lu_id=180&amp;doc_yr=2016&amp;doc_code=AUD" TargetMode="External"/><Relationship Id="rId313" Type="http://schemas.openxmlformats.org/officeDocument/2006/relationships/hyperlink" Target="https://treas-secure.state.mi.us/LAFDocSearch/tl41R01.aspx?&amp;lu_id=444&amp;doc_yr=2016&amp;doc_code=AUD" TargetMode="External"/><Relationship Id="rId758" Type="http://schemas.openxmlformats.org/officeDocument/2006/relationships/hyperlink" Target="https://treas-secure.state.mi.us/LAFDocSearch/tl41R01.aspx?&amp;lu_id=1468&amp;doc_yr=2016&amp;doc_code=AUD" TargetMode="External"/><Relationship Id="rId965" Type="http://schemas.openxmlformats.org/officeDocument/2006/relationships/hyperlink" Target="https://treas-secure.state.mi.us/LAFDocSearch/tl41R01.aspx?&amp;lu_id=1797&amp;doc_yr=2016&amp;doc_code=AUD" TargetMode="External"/><Relationship Id="rId1150" Type="http://schemas.openxmlformats.org/officeDocument/2006/relationships/hyperlink" Target="https://treas-secure.state.mi.us/LAFDocSearch/tl41R01.aspx?&amp;lu_id=2224&amp;doc_yr=2016&amp;doc_code=AUD" TargetMode="External"/><Relationship Id="rId1388" Type="http://schemas.openxmlformats.org/officeDocument/2006/relationships/hyperlink" Target="https://treas-secure.state.mi.us/LAFDocSearch/tl41R01.aspx?&amp;lu_id=2695&amp;doc_yr=2016&amp;doc_code=AUD" TargetMode="External"/><Relationship Id="rId1595" Type="http://schemas.openxmlformats.org/officeDocument/2006/relationships/hyperlink" Target="https://treas-secure.state.mi.us/LAFDocSearch/tl41R01.aspx?&amp;lu_id=3156&amp;doc_yr=2016&amp;doc_code=AUD" TargetMode="External"/><Relationship Id="rId1609" Type="http://schemas.openxmlformats.org/officeDocument/2006/relationships/hyperlink" Target="https://treas-secure.state.mi.us/LAFDocSearch/tl41R01.aspx?&amp;lu_id=3199&amp;doc_yr=2016&amp;doc_code=AUD" TargetMode="External"/><Relationship Id="rId1816" Type="http://schemas.openxmlformats.org/officeDocument/2006/relationships/hyperlink" Target="https://treas-secure.state.mi.us/LAFDocSearch/tl41R01.aspx?&amp;lu_id=3656&amp;doc_yr=2016&amp;doc_code=AUD" TargetMode="External"/><Relationship Id="rId2439" Type="http://schemas.openxmlformats.org/officeDocument/2006/relationships/hyperlink" Target="https://treas-secure.state.mi.us/LAFDocSearch/tl41R01.aspx?&amp;lu_id=5008&amp;doc_yr=2016&amp;doc_code=AUD" TargetMode="External"/><Relationship Id="rId2646" Type="http://schemas.openxmlformats.org/officeDocument/2006/relationships/hyperlink" Target="https://treas-secure.state.mi.us/LAFDocSearch/tl41R01.aspx?&amp;lu_id=5362&amp;doc_yr=2016&amp;doc_code=AUD" TargetMode="External"/><Relationship Id="rId10" Type="http://schemas.openxmlformats.org/officeDocument/2006/relationships/hyperlink" Target="https://treas-secure.state.mi.us/LAFDocSearch/tl41R01.aspx?&amp;lu_id=18&amp;doc_yr=2016&amp;doc_code=AUD" TargetMode="External"/><Relationship Id="rId94" Type="http://schemas.openxmlformats.org/officeDocument/2006/relationships/hyperlink" Target="https://treas-secure.state.mi.us/LAFDocSearch/tl41R01.aspx?&amp;lu_id=162&amp;doc_yr=2016&amp;doc_code=AUD" TargetMode="External"/><Relationship Id="rId397" Type="http://schemas.openxmlformats.org/officeDocument/2006/relationships/hyperlink" Target="https://treas-secure.state.mi.us/LAFDocSearch/tl41R01.aspx?&amp;lu_id=682&amp;doc_yr=2016&amp;doc_code=AUD" TargetMode="External"/><Relationship Id="rId520" Type="http://schemas.openxmlformats.org/officeDocument/2006/relationships/hyperlink" Target="https://treas-secure.state.mi.us/LAFDocSearch/tl41R01.aspx?&amp;lu_id=891&amp;doc_yr=2016&amp;doc_code=AUD" TargetMode="External"/><Relationship Id="rId618" Type="http://schemas.openxmlformats.org/officeDocument/2006/relationships/hyperlink" Target="https://treas-secure.state.mi.us/LAFDocSearch/tl41R01.aspx?&amp;lu_id=1083&amp;doc_yr=2016&amp;doc_code=AUD" TargetMode="External"/><Relationship Id="rId825" Type="http://schemas.openxmlformats.org/officeDocument/2006/relationships/hyperlink" Target="https://treas-secure.state.mi.us/LAFDocSearch/tl41R01.aspx?&amp;lu_id=1583&amp;doc_yr=2016&amp;doc_code=AUD" TargetMode="External"/><Relationship Id="rId1248" Type="http://schemas.openxmlformats.org/officeDocument/2006/relationships/hyperlink" Target="https://treas-secure.state.mi.us/LAFDocSearch/tl41R01.aspx?&amp;lu_id=2360&amp;doc_yr=2016&amp;doc_code=AUD" TargetMode="External"/><Relationship Id="rId1455" Type="http://schemas.openxmlformats.org/officeDocument/2006/relationships/hyperlink" Target="https://treas-secure.state.mi.us/LAFDocSearch/tl41R01.aspx?&amp;lu_id=2747&amp;doc_yr=2016&amp;doc_code=AUD" TargetMode="External"/><Relationship Id="rId1662" Type="http://schemas.openxmlformats.org/officeDocument/2006/relationships/hyperlink" Target="https://treas-secure.state.mi.us/LAFDocSearch/tl41R01.aspx?&amp;lu_id=3335&amp;doc_yr=2016&amp;doc_code=AUD" TargetMode="External"/><Relationship Id="rId2078" Type="http://schemas.openxmlformats.org/officeDocument/2006/relationships/hyperlink" Target="https://treas-secure.state.mi.us/LAFDocSearch/tl41R01.aspx?&amp;lu_id=4261&amp;doc_yr=2016&amp;doc_code=AUD" TargetMode="External"/><Relationship Id="rId2201" Type="http://schemas.openxmlformats.org/officeDocument/2006/relationships/hyperlink" Target="https://treas-secure.state.mi.us/LAFDocSearch/tl41R01.aspx?&amp;lu_id=4431&amp;doc_yr=2016&amp;doc_code=AUD" TargetMode="External"/><Relationship Id="rId2285" Type="http://schemas.openxmlformats.org/officeDocument/2006/relationships/hyperlink" Target="https://treas-secure.state.mi.us/LAFDocSearch/tl41R01.aspx?&amp;lu_id=4701&amp;doc_yr=2016&amp;doc_code=AUD" TargetMode="External"/><Relationship Id="rId2492" Type="http://schemas.openxmlformats.org/officeDocument/2006/relationships/hyperlink" Target="https://treas-secure.state.mi.us/LAFDocSearch/tl41R01.aspx?&amp;lu_id=5100&amp;doc_yr=2016&amp;doc_code=AUD" TargetMode="External"/><Relationship Id="rId2506" Type="http://schemas.openxmlformats.org/officeDocument/2006/relationships/hyperlink" Target="https://treas-secure.state.mi.us/LAFDocSearch/tl41R01.aspx?&amp;lu_id=5172&amp;doc_yr=2016&amp;doc_code=AUD" TargetMode="External"/><Relationship Id="rId257" Type="http://schemas.openxmlformats.org/officeDocument/2006/relationships/hyperlink" Target="https://treas-secure.state.mi.us/LAFDocSearch/tl41R01.aspx?&amp;lu_id=528&amp;doc_yr=2016&amp;doc_code=AUD" TargetMode="External"/><Relationship Id="rId464" Type="http://schemas.openxmlformats.org/officeDocument/2006/relationships/hyperlink" Target="https://treas-secure.state.mi.us/LAFDocSearch/tl41R01.aspx?&amp;lu_id=790&amp;doc_yr=2016&amp;doc_code=AUD" TargetMode="External"/><Relationship Id="rId1010" Type="http://schemas.openxmlformats.org/officeDocument/2006/relationships/hyperlink" Target="https://treas-secure.state.mi.us/LAFDocSearch/tl41R01.aspx?&amp;lu_id=2013&amp;doc_yr=2016&amp;doc_code=AUD" TargetMode="External"/><Relationship Id="rId1094" Type="http://schemas.openxmlformats.org/officeDocument/2006/relationships/hyperlink" Target="https://treas-secure.state.mi.us/LAFDocSearch/tl41R01.aspx?&amp;lu_id=2132&amp;doc_yr=2016&amp;doc_code=AUD" TargetMode="External"/><Relationship Id="rId1108" Type="http://schemas.openxmlformats.org/officeDocument/2006/relationships/hyperlink" Target="https://treas-secure.state.mi.us/LAFDocSearch/tl41R01.aspx?&amp;lu_id=2177&amp;doc_yr=2016&amp;doc_code=AUD" TargetMode="External"/><Relationship Id="rId1315" Type="http://schemas.openxmlformats.org/officeDocument/2006/relationships/hyperlink" Target="https://treas-secure.state.mi.us/LAFDocSearch/tl41R01.aspx?&amp;lu_id=2477&amp;doc_yr=2016&amp;doc_code=AUD" TargetMode="External"/><Relationship Id="rId1967" Type="http://schemas.openxmlformats.org/officeDocument/2006/relationships/hyperlink" Target="https://treas-secure.state.mi.us/LAFDocSearch/tl41R01.aspx?&amp;lu_id=3857&amp;doc_yr=2016&amp;doc_code=AUD" TargetMode="External"/><Relationship Id="rId2145" Type="http://schemas.openxmlformats.org/officeDocument/2006/relationships/hyperlink" Target="https://treas-secure.state.mi.us/LAFDocSearch/tl41R01.aspx?&amp;lu_id=4390&amp;doc_yr=2016&amp;doc_code=AUD" TargetMode="External"/><Relationship Id="rId2713" Type="http://schemas.openxmlformats.org/officeDocument/2006/relationships/hyperlink" Target="https://treas-secure.state.mi.us/LAFDocSearch/tl41R01.aspx?&amp;lu_id=5421&amp;doc_yr=2016&amp;doc_code=AUD" TargetMode="External"/><Relationship Id="rId117" Type="http://schemas.openxmlformats.org/officeDocument/2006/relationships/hyperlink" Target="https://treas-secure.state.mi.us/LAFDocSearch/tl41R01.aspx?&amp;lu_id=175&amp;doc_yr=2016&amp;doc_code=AUD" TargetMode="External"/><Relationship Id="rId671" Type="http://schemas.openxmlformats.org/officeDocument/2006/relationships/hyperlink" Target="https://treas-secure.state.mi.us/LAFDocSearch/tl41R01.aspx?&amp;lu_id=1277&amp;doc_yr=2016&amp;doc_code=AUD" TargetMode="External"/><Relationship Id="rId769" Type="http://schemas.openxmlformats.org/officeDocument/2006/relationships/hyperlink" Target="https://treas-secure.state.mi.us/LAFDocSearch/tl41R01.aspx?&amp;lu_id=1497&amp;doc_yr=2016&amp;doc_code=AUD" TargetMode="External"/><Relationship Id="rId976" Type="http://schemas.openxmlformats.org/officeDocument/2006/relationships/hyperlink" Target="https://treas-secure.state.mi.us/LAFDocSearch/tl41R01.aspx?&amp;lu_id=1821&amp;doc_yr=2016&amp;doc_code=AUD" TargetMode="External"/><Relationship Id="rId1399" Type="http://schemas.openxmlformats.org/officeDocument/2006/relationships/hyperlink" Target="https://treas-secure.state.mi.us/LAFDocSearch/tl41R01.aspx?&amp;lu_id=2663&amp;doc_yr=2016&amp;doc_code=AUD" TargetMode="External"/><Relationship Id="rId2352" Type="http://schemas.openxmlformats.org/officeDocument/2006/relationships/hyperlink" Target="https://treas-secure.state.mi.us/LAFDocSearch/tl41R01.aspx?&amp;lu_id=4897&amp;doc_yr=2016&amp;doc_code=AUD" TargetMode="External"/><Relationship Id="rId2657" Type="http://schemas.openxmlformats.org/officeDocument/2006/relationships/hyperlink" Target="https://treas-secure.state.mi.us/LAFDocSearch/tl41R01.aspx?&amp;lu_id=5825&amp;doc_yr=2016&amp;doc_code=AUD" TargetMode="External"/><Relationship Id="rId324" Type="http://schemas.openxmlformats.org/officeDocument/2006/relationships/hyperlink" Target="https://treas-secure.state.mi.us/LAFDocSearch/tl41R01.aspx?&amp;lu_id=558&amp;doc_yr=2016&amp;doc_code=AUD" TargetMode="External"/><Relationship Id="rId531" Type="http://schemas.openxmlformats.org/officeDocument/2006/relationships/hyperlink" Target="https://treas-secure.state.mi.us/LAFDocSearch/tl41R01.aspx?&amp;lu_id=898&amp;doc_yr=2016&amp;doc_code=AUD" TargetMode="External"/><Relationship Id="rId629" Type="http://schemas.openxmlformats.org/officeDocument/2006/relationships/hyperlink" Target="https://treas-secure.state.mi.us/LAFDocSearch/tl41R01.aspx?&amp;lu_id=1058&amp;doc_yr=2016&amp;doc_code=AUD" TargetMode="External"/><Relationship Id="rId1161" Type="http://schemas.openxmlformats.org/officeDocument/2006/relationships/hyperlink" Target="https://treas-secure.state.mi.us/LAFDocSearch/tl41R01.aspx?&amp;lu_id=2292&amp;doc_yr=2016&amp;doc_code=AUD" TargetMode="External"/><Relationship Id="rId1259" Type="http://schemas.openxmlformats.org/officeDocument/2006/relationships/hyperlink" Target="https://treas-secure.state.mi.us/LAFDocSearch/tl41R01.aspx?&amp;lu_id=2434&amp;doc_yr=2016&amp;doc_code=AUD" TargetMode="External"/><Relationship Id="rId1466" Type="http://schemas.openxmlformats.org/officeDocument/2006/relationships/hyperlink" Target="https://treas-secure.state.mi.us/LAFDocSearch/tl41R01.aspx?&amp;lu_id=2900&amp;doc_yr=2016&amp;doc_code=AUD" TargetMode="External"/><Relationship Id="rId2005" Type="http://schemas.openxmlformats.org/officeDocument/2006/relationships/hyperlink" Target="https://treas-secure.state.mi.us/LAFDocSearch/tl41R01.aspx?&amp;lu_id=3885&amp;doc_yr=2016&amp;doc_code=AUD" TargetMode="External"/><Relationship Id="rId2212" Type="http://schemas.openxmlformats.org/officeDocument/2006/relationships/hyperlink" Target="https://treas-secure.state.mi.us/LAFDocSearch/tl41R01.aspx?&amp;lu_id=4526&amp;doc_yr=2016&amp;doc_code=AUD" TargetMode="External"/><Relationship Id="rId836" Type="http://schemas.openxmlformats.org/officeDocument/2006/relationships/hyperlink" Target="https://treas-secure.state.mi.us/LAFDocSearch/tl41R01.aspx?&amp;lu_id=1581&amp;doc_yr=2016&amp;doc_code=AUD" TargetMode="External"/><Relationship Id="rId1021" Type="http://schemas.openxmlformats.org/officeDocument/2006/relationships/hyperlink" Target="https://treas-secure.state.mi.us/LAFDocSearch/tl41R01.aspx?&amp;lu_id=7055&amp;doc_yr=2016&amp;doc_code=AUD" TargetMode="External"/><Relationship Id="rId1119" Type="http://schemas.openxmlformats.org/officeDocument/2006/relationships/hyperlink" Target="https://treas-secure.state.mi.us/LAFDocSearch/tl41R01.aspx?&amp;lu_id=6028&amp;doc_yr=2016&amp;doc_code=AUD" TargetMode="External"/><Relationship Id="rId1673" Type="http://schemas.openxmlformats.org/officeDocument/2006/relationships/hyperlink" Target="https://treas-secure.state.mi.us/LAFDocSearch/tl41R01.aspx?&amp;lu_id=3326&amp;doc_yr=2016&amp;doc_code=AUD" TargetMode="External"/><Relationship Id="rId1880" Type="http://schemas.openxmlformats.org/officeDocument/2006/relationships/hyperlink" Target="https://treas-secure.state.mi.us/LAFDocSearch/tl41R01.aspx?&amp;lu_id=3685&amp;doc_yr=2016&amp;doc_code=AUD" TargetMode="External"/><Relationship Id="rId1978" Type="http://schemas.openxmlformats.org/officeDocument/2006/relationships/hyperlink" Target="https://treas-secure.state.mi.us/LAFDocSearch/tl41R01.aspx?&amp;lu_id=3859&amp;doc_yr=2016&amp;doc_code=AUD" TargetMode="External"/><Relationship Id="rId2517" Type="http://schemas.openxmlformats.org/officeDocument/2006/relationships/hyperlink" Target="https://treas-secure.state.mi.us/LAFDocSearch/tl41R01.aspx?&amp;lu_id=5158&amp;doc_yr=2016&amp;doc_code=AUD" TargetMode="External"/><Relationship Id="rId2724" Type="http://schemas.openxmlformats.org/officeDocument/2006/relationships/hyperlink" Target="https://treas-secure.state.mi.us/LAFDocSearch/tl41R01.aspx?&amp;lu_id=5758&amp;doc_yr=2016&amp;doc_code=AUD" TargetMode="External"/><Relationship Id="rId903" Type="http://schemas.openxmlformats.org/officeDocument/2006/relationships/hyperlink" Target="https://treas-secure.state.mi.us/LAFDocSearch/tl41R01.aspx?&amp;lu_id=1721&amp;doc_yr=2016&amp;doc_code=AUD" TargetMode="External"/><Relationship Id="rId1326" Type="http://schemas.openxmlformats.org/officeDocument/2006/relationships/hyperlink" Target="https://treas-secure.state.mi.us/LAFDocSearch/tl41R01.aspx?&amp;lu_id=2467&amp;doc_yr=2016&amp;doc_code=AUD" TargetMode="External"/><Relationship Id="rId1533" Type="http://schemas.openxmlformats.org/officeDocument/2006/relationships/hyperlink" Target="https://treas-secure.state.mi.us/LAFDocSearch/tl41R01.aspx?&amp;lu_id=3151&amp;doc_yr=2016&amp;doc_code=AUD" TargetMode="External"/><Relationship Id="rId1740" Type="http://schemas.openxmlformats.org/officeDocument/2006/relationships/hyperlink" Target="https://treas-secure.state.mi.us/LAFDocSearch/tl41R01.aspx?&amp;lu_id=3482&amp;doc_yr=2016&amp;doc_code=AUD" TargetMode="External"/><Relationship Id="rId32" Type="http://schemas.openxmlformats.org/officeDocument/2006/relationships/hyperlink" Target="https://treas-secure.state.mi.us/LAFDocSearch/tl41R01.aspx?&amp;lu_id=132&amp;doc_yr=2016&amp;doc_code=AUD" TargetMode="External"/><Relationship Id="rId1600" Type="http://schemas.openxmlformats.org/officeDocument/2006/relationships/hyperlink" Target="https://treas-secure.state.mi.us/LAFDocSearch/tl41R01.aspx?&amp;lu_id=3231&amp;doc_yr=2016&amp;doc_code=AUD" TargetMode="External"/><Relationship Id="rId1838" Type="http://schemas.openxmlformats.org/officeDocument/2006/relationships/hyperlink" Target="https://treas-secure.state.mi.us/LAFDocSearch/tl41R01.aspx?&amp;lu_id=3609&amp;doc_yr=2016&amp;doc_code=AUD" TargetMode="External"/><Relationship Id="rId181" Type="http://schemas.openxmlformats.org/officeDocument/2006/relationships/hyperlink" Target="https://treas-secure.state.mi.us/LAFDocSearch/tl41R01.aspx?&amp;lu_id=285&amp;doc_yr=2016&amp;doc_code=AUD" TargetMode="External"/><Relationship Id="rId1905" Type="http://schemas.openxmlformats.org/officeDocument/2006/relationships/hyperlink" Target="https://treas-secure.state.mi.us/LAFDocSearch/tl41R01.aspx?&amp;lu_id=3766&amp;doc_yr=2016&amp;doc_code=AUD" TargetMode="External"/><Relationship Id="rId279" Type="http://schemas.openxmlformats.org/officeDocument/2006/relationships/hyperlink" Target="https://treas-secure.state.mi.us/LAFDocSearch/tl41R01.aspx?&amp;lu_id=434&amp;doc_yr=2016&amp;doc_code=AUD" TargetMode="External"/><Relationship Id="rId486" Type="http://schemas.openxmlformats.org/officeDocument/2006/relationships/hyperlink" Target="https://treas-secure.state.mi.us/LAFDocSearch/tl41R01.aspx?&amp;lu_id=808&amp;doc_yr=2016&amp;doc_code=AUD" TargetMode="External"/><Relationship Id="rId693" Type="http://schemas.openxmlformats.org/officeDocument/2006/relationships/hyperlink" Target="https://treas-secure.state.mi.us/LAFDocSearch/tl41R01.aspx?&amp;lu_id=1293&amp;doc_yr=2016&amp;doc_code=AUD" TargetMode="External"/><Relationship Id="rId2167" Type="http://schemas.openxmlformats.org/officeDocument/2006/relationships/hyperlink" Target="https://treas-secure.state.mi.us/LAFDocSearch/tl41R01.aspx?&amp;lu_id=6057&amp;doc_yr=2016&amp;doc_code=AUD" TargetMode="External"/><Relationship Id="rId2374" Type="http://schemas.openxmlformats.org/officeDocument/2006/relationships/hyperlink" Target="https://treas-secure.state.mi.us/LAFDocSearch/tl41R01.aspx?&amp;lu_id=4900&amp;doc_yr=2016&amp;doc_code=AUD" TargetMode="External"/><Relationship Id="rId2581" Type="http://schemas.openxmlformats.org/officeDocument/2006/relationships/hyperlink" Target="https://treas-secure.state.mi.us/LAFDocSearch/tl41R01.aspx?&amp;lu_id=5391&amp;doc_yr=2016&amp;doc_code=AUD" TargetMode="External"/><Relationship Id="rId139" Type="http://schemas.openxmlformats.org/officeDocument/2006/relationships/hyperlink" Target="https://treas-secure.state.mi.us/LAFDocSearch/tl41R01.aspx?&amp;lu_id=228&amp;doc_yr=2016&amp;doc_code=AUD" TargetMode="External"/><Relationship Id="rId346" Type="http://schemas.openxmlformats.org/officeDocument/2006/relationships/hyperlink" Target="https://treas-secure.state.mi.us/LAFDocSearch/tl41R01.aspx?&amp;lu_id=576&amp;doc_yr=2016&amp;doc_code=AUD" TargetMode="External"/><Relationship Id="rId553" Type="http://schemas.openxmlformats.org/officeDocument/2006/relationships/hyperlink" Target="https://treas-secure.state.mi.us/LAFDocSearch/tl41R01.aspx?&amp;lu_id=932&amp;doc_yr=2016&amp;doc_code=AUD" TargetMode="External"/><Relationship Id="rId760" Type="http://schemas.openxmlformats.org/officeDocument/2006/relationships/hyperlink" Target="https://treas-secure.state.mi.us/LAFDocSearch/tl41R01.aspx?&amp;lu_id=1469&amp;doc_yr=2016&amp;doc_code=AUD" TargetMode="External"/><Relationship Id="rId998" Type="http://schemas.openxmlformats.org/officeDocument/2006/relationships/hyperlink" Target="https://treas-secure.state.mi.us/LAFDocSearch/tl41R01.aspx?&amp;lu_id=2010&amp;doc_yr=2016&amp;doc_code=AUD" TargetMode="External"/><Relationship Id="rId1183" Type="http://schemas.openxmlformats.org/officeDocument/2006/relationships/hyperlink" Target="https://treas-secure.state.mi.us/LAFDocSearch/tl41R01.aspx?&amp;lu_id=2316&amp;doc_yr=2016&amp;doc_code=AUD" TargetMode="External"/><Relationship Id="rId1390" Type="http://schemas.openxmlformats.org/officeDocument/2006/relationships/hyperlink" Target="https://treas-secure.state.mi.us/LAFDocSearch/tl41R01.aspx?&amp;lu_id=2638&amp;doc_yr=2016&amp;doc_code=AUD" TargetMode="External"/><Relationship Id="rId2027" Type="http://schemas.openxmlformats.org/officeDocument/2006/relationships/hyperlink" Target="https://treas-secure.state.mi.us/LAFDocSearch/tl41R01.aspx?&amp;lu_id=4138&amp;doc_yr=2016&amp;doc_code=AUD" TargetMode="External"/><Relationship Id="rId2234" Type="http://schemas.openxmlformats.org/officeDocument/2006/relationships/hyperlink" Target="https://treas-secure.state.mi.us/LAFDocSearch/tl41R01.aspx?&amp;lu_id=4572&amp;doc_yr=2016&amp;doc_code=AUD" TargetMode="External"/><Relationship Id="rId2441" Type="http://schemas.openxmlformats.org/officeDocument/2006/relationships/hyperlink" Target="https://treas-secure.state.mi.us/LAFDocSearch/tl41R01.aspx?&amp;lu_id=5005&amp;doc_yr=2016&amp;doc_code=AUD" TargetMode="External"/><Relationship Id="rId2679" Type="http://schemas.openxmlformats.org/officeDocument/2006/relationships/hyperlink" Target="https://treas-secure.state.mi.us/LAFDocSearch/tl41R01.aspx?&amp;lu_id=5820&amp;doc_yr=2016&amp;doc_code=AUD" TargetMode="External"/><Relationship Id="rId206" Type="http://schemas.openxmlformats.org/officeDocument/2006/relationships/hyperlink" Target="https://treas-secure.state.mi.us/LAFDocSearch/tl41R01.aspx?&amp;lu_id=325&amp;doc_yr=2016&amp;doc_code=AUD" TargetMode="External"/><Relationship Id="rId413" Type="http://schemas.openxmlformats.org/officeDocument/2006/relationships/hyperlink" Target="https://treas-secure.state.mi.us/LAFDocSearch/tl41R01.aspx?&amp;lu_id=723&amp;doc_yr=2016&amp;doc_code=AUD" TargetMode="External"/><Relationship Id="rId858" Type="http://schemas.openxmlformats.org/officeDocument/2006/relationships/hyperlink" Target="https://treas-secure.state.mi.us/LAFDocSearch/tl41R01.aspx?&amp;lu_id=1607&amp;doc_yr=2016&amp;doc_code=AUD" TargetMode="External"/><Relationship Id="rId1043" Type="http://schemas.openxmlformats.org/officeDocument/2006/relationships/hyperlink" Target="https://treas-secure.state.mi.us/LAFDocSearch/tl41R01.aspx?&amp;lu_id=2053&amp;doc_yr=2016&amp;doc_code=AUD" TargetMode="External"/><Relationship Id="rId1488" Type="http://schemas.openxmlformats.org/officeDocument/2006/relationships/hyperlink" Target="https://treas-secure.state.mi.us/LAFDocSearch/tl41R01.aspx?&amp;lu_id=2901&amp;doc_yr=2016&amp;doc_code=AUD" TargetMode="External"/><Relationship Id="rId1695" Type="http://schemas.openxmlformats.org/officeDocument/2006/relationships/hyperlink" Target="https://treas-secure.state.mi.us/LAFDocSearch/tl41R01.aspx?&amp;lu_id=3357&amp;doc_yr=2016&amp;doc_code=AUD" TargetMode="External"/><Relationship Id="rId2539" Type="http://schemas.openxmlformats.org/officeDocument/2006/relationships/hyperlink" Target="https://treas-secure.state.mi.us/LAFDocSearch/tl41R01.aspx?&amp;lu_id=5245&amp;doc_yr=2016&amp;doc_code=AUD" TargetMode="External"/><Relationship Id="rId2746" Type="http://schemas.openxmlformats.org/officeDocument/2006/relationships/hyperlink" Target="https://treas-secure.state.mi.us/LAFDocSearch/tl41R01.aspx?&amp;lu_id=5425&amp;doc_yr=2016&amp;doc_code=AUD" TargetMode="External"/><Relationship Id="rId620" Type="http://schemas.openxmlformats.org/officeDocument/2006/relationships/hyperlink" Target="https://treas-secure.state.mi.us/LAFDocSearch/tl41R01.aspx?&amp;lu_id=1056&amp;doc_yr=2016&amp;doc_code=AUD" TargetMode="External"/><Relationship Id="rId718" Type="http://schemas.openxmlformats.org/officeDocument/2006/relationships/hyperlink" Target="https://treas-secure.state.mi.us/LAFDocSearch/tl41R01.aspx?&amp;lu_id=1444&amp;doc_yr=2016&amp;doc_code=AUD" TargetMode="External"/><Relationship Id="rId925" Type="http://schemas.openxmlformats.org/officeDocument/2006/relationships/hyperlink" Target="https://treas-secure.state.mi.us/LAFDocSearch/tl41R01.aspx?&amp;lu_id=1751&amp;doc_yr=2016&amp;doc_code=AUD" TargetMode="External"/><Relationship Id="rId1250" Type="http://schemas.openxmlformats.org/officeDocument/2006/relationships/hyperlink" Target="https://treas-secure.state.mi.us/LAFDocSearch/tl41R01.aspx?&amp;lu_id=2422&amp;doc_yr=2016&amp;doc_code=AUD" TargetMode="External"/><Relationship Id="rId1348" Type="http://schemas.openxmlformats.org/officeDocument/2006/relationships/hyperlink" Target="https://treas-secure.state.mi.us/LAFDocSearch/tl41R01.aspx?&amp;lu_id=6116&amp;doc_yr=2016&amp;doc_code=AUD" TargetMode="External"/><Relationship Id="rId1555" Type="http://schemas.openxmlformats.org/officeDocument/2006/relationships/hyperlink" Target="https://treas-secure.state.mi.us/LAFDocSearch/tl41R01.aspx?&amp;lu_id=2972&amp;doc_yr=2016&amp;doc_code=AUD" TargetMode="External"/><Relationship Id="rId1762" Type="http://schemas.openxmlformats.org/officeDocument/2006/relationships/hyperlink" Target="https://treas-secure.state.mi.us/LAFDocSearch/tl41R01.aspx?&amp;lu_id=3492&amp;doc_yr=2016&amp;doc_code=AUD" TargetMode="External"/><Relationship Id="rId2301" Type="http://schemas.openxmlformats.org/officeDocument/2006/relationships/hyperlink" Target="https://treas-secure.state.mi.us/LAFDocSearch/tl41R01.aspx?&amp;lu_id=4601&amp;doc_yr=2016&amp;doc_code=AUD" TargetMode="External"/><Relationship Id="rId2606" Type="http://schemas.openxmlformats.org/officeDocument/2006/relationships/hyperlink" Target="https://treas-secure.state.mi.us/LAFDocSearch/tl41R01.aspx?&amp;lu_id=5290&amp;doc_yr=2016&amp;doc_code=AUD" TargetMode="External"/><Relationship Id="rId1110" Type="http://schemas.openxmlformats.org/officeDocument/2006/relationships/hyperlink" Target="https://treas-secure.state.mi.us/LAFDocSearch/tl41R01.aspx?&amp;lu_id=2185&amp;doc_yr=2016&amp;doc_code=AUD" TargetMode="External"/><Relationship Id="rId1208" Type="http://schemas.openxmlformats.org/officeDocument/2006/relationships/hyperlink" Target="https://treas-secure.state.mi.us/LAFDocSearch/tl41R01.aspx?&amp;lu_id=2351&amp;doc_yr=2016&amp;doc_code=AUD" TargetMode="External"/><Relationship Id="rId1415" Type="http://schemas.openxmlformats.org/officeDocument/2006/relationships/hyperlink" Target="https://treas-secure.state.mi.us/LAFDocSearch/tl41R01.aspx?&amp;lu_id=2704&amp;doc_yr=2016&amp;doc_code=AUD" TargetMode="External"/><Relationship Id="rId54" Type="http://schemas.openxmlformats.org/officeDocument/2006/relationships/hyperlink" Target="https://treas-secure.state.mi.us/LAFDocSearch/tl41R01.aspx?&amp;lu_id=118&amp;doc_yr=2016&amp;doc_code=AUD" TargetMode="External"/><Relationship Id="rId1622" Type="http://schemas.openxmlformats.org/officeDocument/2006/relationships/hyperlink" Target="https://treas-secure.state.mi.us/LAFDocSearch/tl41R01.aspx?&amp;lu_id=3251&amp;doc_yr=2016&amp;doc_code=AUD" TargetMode="External"/><Relationship Id="rId1927" Type="http://schemas.openxmlformats.org/officeDocument/2006/relationships/hyperlink" Target="https://treas-secure.state.mi.us/LAFDocSearch/tl41R01.aspx?&amp;lu_id=3763&amp;doc_yr=2016&amp;doc_code=AUD" TargetMode="External"/><Relationship Id="rId2091" Type="http://schemas.openxmlformats.org/officeDocument/2006/relationships/hyperlink" Target="https://treas-secure.state.mi.us/LAFDocSearch/tl41R01.aspx?&amp;lu_id=4276&amp;doc_yr=2016&amp;doc_code=AUD" TargetMode="External"/><Relationship Id="rId2189" Type="http://schemas.openxmlformats.org/officeDocument/2006/relationships/hyperlink" Target="https://treas-secure.state.mi.us/LAFDocSearch/tl41R01.aspx?&amp;lu_id=4487&amp;doc_yr=2016&amp;doc_code=AUD" TargetMode="External"/><Relationship Id="rId270" Type="http://schemas.openxmlformats.org/officeDocument/2006/relationships/hyperlink" Target="https://treas-secure.state.mi.us/LAFDocSearch/tl41R01.aspx?&amp;lu_id=431&amp;doc_yr=2016&amp;doc_code=AUD" TargetMode="External"/><Relationship Id="rId2396" Type="http://schemas.openxmlformats.org/officeDocument/2006/relationships/hyperlink" Target="https://treas-secure.state.mi.us/LAFDocSearch/tl41R01.aspx?&amp;lu_id=4919&amp;doc_yr=2016&amp;doc_code=AUD" TargetMode="External"/><Relationship Id="rId130" Type="http://schemas.openxmlformats.org/officeDocument/2006/relationships/hyperlink" Target="https://treas-secure.state.mi.us/LAFDocSearch/tl41R01.aspx?&amp;lu_id=218&amp;doc_yr=2016&amp;doc_code=AUD" TargetMode="External"/><Relationship Id="rId368" Type="http://schemas.openxmlformats.org/officeDocument/2006/relationships/hyperlink" Target="https://treas-secure.state.mi.us/LAFDocSearch/tl41R01.aspx?&amp;lu_id=603&amp;doc_yr=2016&amp;doc_code=AUD" TargetMode="External"/><Relationship Id="rId575" Type="http://schemas.openxmlformats.org/officeDocument/2006/relationships/hyperlink" Target="https://treas-secure.state.mi.us/LAFDocSearch/tl41R01.aspx?&amp;lu_id=992&amp;doc_yr=2016&amp;doc_code=AUD" TargetMode="External"/><Relationship Id="rId782" Type="http://schemas.openxmlformats.org/officeDocument/2006/relationships/hyperlink" Target="https://treas-secure.state.mi.us/LAFDocSearch/tl41R01.aspx?&amp;lu_id=1504&amp;doc_yr=2016&amp;doc_code=AUD" TargetMode="External"/><Relationship Id="rId2049" Type="http://schemas.openxmlformats.org/officeDocument/2006/relationships/hyperlink" Target="https://treas-secure.state.mi.us/LAFDocSearch/tl41R01.aspx?&amp;lu_id=4220&amp;doc_yr=2016&amp;doc_code=AUD" TargetMode="External"/><Relationship Id="rId2256" Type="http://schemas.openxmlformats.org/officeDocument/2006/relationships/hyperlink" Target="https://treas-secure.state.mi.us/LAFDocSearch/tl41R01.aspx?&amp;lu_id=4584&amp;doc_yr=2016&amp;doc_code=AUD" TargetMode="External"/><Relationship Id="rId2463" Type="http://schemas.openxmlformats.org/officeDocument/2006/relationships/hyperlink" Target="https://treas-secure.state.mi.us/LAFDocSearch/tl41R01.aspx?&amp;lu_id=5060&amp;doc_yr=2016&amp;doc_code=AUD" TargetMode="External"/><Relationship Id="rId2670" Type="http://schemas.openxmlformats.org/officeDocument/2006/relationships/hyperlink" Target="https://treas-secure.state.mi.us/LAFDocSearch/tl41R01.aspx?&amp;lu_id=5718&amp;doc_yr=2016&amp;doc_code=AUD" TargetMode="External"/><Relationship Id="rId228" Type="http://schemas.openxmlformats.org/officeDocument/2006/relationships/hyperlink" Target="https://treas-secure.state.mi.us/LAFDocSearch/tl41R01.aspx?&amp;lu_id=416&amp;doc_yr=2016&amp;doc_code=AUD" TargetMode="External"/><Relationship Id="rId435" Type="http://schemas.openxmlformats.org/officeDocument/2006/relationships/hyperlink" Target="https://treas-secure.state.mi.us/LAFDocSearch/tl41R01.aspx?&amp;lu_id=775&amp;doc_yr=2016&amp;doc_code=AUD" TargetMode="External"/><Relationship Id="rId642" Type="http://schemas.openxmlformats.org/officeDocument/2006/relationships/hyperlink" Target="https://treas-secure.state.mi.us/LAFDocSearch/tl41R01.aspx?&amp;lu_id=1096&amp;doc_yr=2016&amp;doc_code=AUD" TargetMode="External"/><Relationship Id="rId1065" Type="http://schemas.openxmlformats.org/officeDocument/2006/relationships/hyperlink" Target="https://treas-secure.state.mi.us/LAFDocSearch/tl41R01.aspx?&amp;lu_id=2062&amp;doc_yr=2016&amp;doc_code=AUD" TargetMode="External"/><Relationship Id="rId1272" Type="http://schemas.openxmlformats.org/officeDocument/2006/relationships/hyperlink" Target="https://treas-secure.state.mi.us/LAFDocSearch/tl41R01.aspx?&amp;lu_id=2454&amp;doc_yr=2016&amp;doc_code=AUD" TargetMode="External"/><Relationship Id="rId2116" Type="http://schemas.openxmlformats.org/officeDocument/2006/relationships/hyperlink" Target="https://treas-secure.state.mi.us/LAFDocSearch/tl41R01.aspx?&amp;lu_id=4333&amp;doc_yr=2016&amp;doc_code=AUD" TargetMode="External"/><Relationship Id="rId2323" Type="http://schemas.openxmlformats.org/officeDocument/2006/relationships/hyperlink" Target="https://treas-secure.state.mi.us/LAFDocSearch/tl41R01.aspx?&amp;lu_id=4740&amp;doc_yr=2016&amp;doc_code=AUD" TargetMode="External"/><Relationship Id="rId2530" Type="http://schemas.openxmlformats.org/officeDocument/2006/relationships/hyperlink" Target="https://treas-secure.state.mi.us/LAFDocSearch/tl41R01.aspx?&amp;lu_id=5183&amp;doc_yr=2016&amp;doc_code=AUD" TargetMode="External"/><Relationship Id="rId2768" Type="http://schemas.openxmlformats.org/officeDocument/2006/relationships/hyperlink" Target="https://treas-secure.state.mi.us/LAFDocSearch/tl41R01.aspx?&amp;lu_id=5814&amp;doc_yr=2016&amp;doc_code=AUD" TargetMode="External"/><Relationship Id="rId502" Type="http://schemas.openxmlformats.org/officeDocument/2006/relationships/hyperlink" Target="https://treas-secure.state.mi.us/LAFDocSearch/tl41R01.aspx?&amp;lu_id=841&amp;doc_yr=2016&amp;doc_code=AUD" TargetMode="External"/><Relationship Id="rId947" Type="http://schemas.openxmlformats.org/officeDocument/2006/relationships/hyperlink" Target="https://treas-secure.state.mi.us/LAFDocSearch/tl41R01.aspx?&amp;lu_id=1791&amp;doc_yr=2016&amp;doc_code=AUD" TargetMode="External"/><Relationship Id="rId1132" Type="http://schemas.openxmlformats.org/officeDocument/2006/relationships/hyperlink" Target="https://treas-secure.state.mi.us/LAFDocSearch/tl41R01.aspx?&amp;lu_id=2216&amp;doc_yr=2016&amp;doc_code=AUD" TargetMode="External"/><Relationship Id="rId1577" Type="http://schemas.openxmlformats.org/officeDocument/2006/relationships/hyperlink" Target="https://treas-secure.state.mi.us/LAFDocSearch/tl41R01.aspx?&amp;lu_id=2984&amp;doc_yr=2016&amp;doc_code=AUD" TargetMode="External"/><Relationship Id="rId1784" Type="http://schemas.openxmlformats.org/officeDocument/2006/relationships/hyperlink" Target="https://treas-secure.state.mi.us/LAFDocSearch/tl41R01.aspx?&amp;lu_id=3578&amp;doc_yr=2016&amp;doc_code=AUD" TargetMode="External"/><Relationship Id="rId1991" Type="http://schemas.openxmlformats.org/officeDocument/2006/relationships/hyperlink" Target="https://treas-secure.state.mi.us/LAFDocSearch/tl41R01.aspx?&amp;lu_id=3838&amp;doc_yr=2016&amp;doc_code=AUD" TargetMode="External"/><Relationship Id="rId2628" Type="http://schemas.openxmlformats.org/officeDocument/2006/relationships/hyperlink" Target="https://treas-secure.state.mi.us/LAFDocSearch/tl41R01.aspx?&amp;lu_id=5381&amp;doc_yr=2016&amp;doc_code=AUD" TargetMode="External"/><Relationship Id="rId76" Type="http://schemas.openxmlformats.org/officeDocument/2006/relationships/hyperlink" Target="https://treas-secure.state.mi.us/LAFDocSearch/tl41R01.aspx?&amp;lu_id=78&amp;doc_yr=2016&amp;doc_code=AUD" TargetMode="External"/><Relationship Id="rId807" Type="http://schemas.openxmlformats.org/officeDocument/2006/relationships/hyperlink" Target="https://treas-secure.state.mi.us/LAFDocSearch/tl41R01.aspx?&amp;lu_id=6099&amp;doc_yr=2016&amp;doc_code=AUD" TargetMode="External"/><Relationship Id="rId1437" Type="http://schemas.openxmlformats.org/officeDocument/2006/relationships/hyperlink" Target="https://treas-secure.state.mi.us/LAFDocSearch/tl41R01.aspx?&amp;lu_id=2739&amp;doc_yr=2016&amp;doc_code=AUD" TargetMode="External"/><Relationship Id="rId1644" Type="http://schemas.openxmlformats.org/officeDocument/2006/relationships/hyperlink" Target="https://treas-secure.state.mi.us/LAFDocSearch/tl41R01.aspx?&amp;lu_id=7556&amp;doc_yr=2016&amp;doc_code=AUD" TargetMode="External"/><Relationship Id="rId1851" Type="http://schemas.openxmlformats.org/officeDocument/2006/relationships/hyperlink" Target="https://treas-secure.state.mi.us/LAFDocSearch/tl41R01.aspx?&amp;lu_id=3675&amp;doc_yr=2016&amp;doc_code=AUD" TargetMode="External"/><Relationship Id="rId1504" Type="http://schemas.openxmlformats.org/officeDocument/2006/relationships/hyperlink" Target="https://treas-secure.state.mi.us/LAFDocSearch/tl41R01.aspx?&amp;lu_id=2926&amp;doc_yr=2016&amp;doc_code=AUD" TargetMode="External"/><Relationship Id="rId1711" Type="http://schemas.openxmlformats.org/officeDocument/2006/relationships/hyperlink" Target="https://treas-secure.state.mi.us/LAFDocSearch/tl41R01.aspx?&amp;lu_id=3406&amp;doc_yr=2016&amp;doc_code=AUD" TargetMode="External"/><Relationship Id="rId1949" Type="http://schemas.openxmlformats.org/officeDocument/2006/relationships/hyperlink" Target="https://treas-secure.state.mi.us/LAFDocSearch/tl41R01.aspx?&amp;lu_id=3879&amp;doc_yr=2016&amp;doc_code=AUD" TargetMode="External"/><Relationship Id="rId292" Type="http://schemas.openxmlformats.org/officeDocument/2006/relationships/hyperlink" Target="https://treas-secure.state.mi.us/LAFDocSearch/tl41R01.aspx?&amp;lu_id=438&amp;doc_yr=2016&amp;doc_code=AUD" TargetMode="External"/><Relationship Id="rId1809" Type="http://schemas.openxmlformats.org/officeDocument/2006/relationships/hyperlink" Target="https://treas-secure.state.mi.us/LAFDocSearch/tl41R01.aspx?&amp;lu_id=3548&amp;doc_yr=2016&amp;doc_code=AUD" TargetMode="External"/><Relationship Id="rId597" Type="http://schemas.openxmlformats.org/officeDocument/2006/relationships/hyperlink" Target="https://treas-secure.state.mi.us/LAFDocSearch/tl41R01.aspx?&amp;lu_id=1016&amp;doc_yr=2016&amp;doc_code=AUD" TargetMode="External"/><Relationship Id="rId2180" Type="http://schemas.openxmlformats.org/officeDocument/2006/relationships/hyperlink" Target="https://treas-secure.state.mi.us/LAFDocSearch/tl41R01.aspx?&amp;lu_id=4494&amp;doc_yr=2016&amp;doc_code=AUD" TargetMode="External"/><Relationship Id="rId2278" Type="http://schemas.openxmlformats.org/officeDocument/2006/relationships/hyperlink" Target="https://treas-secure.state.mi.us/LAFDocSearch/tl41R01.aspx?&amp;lu_id=4695&amp;doc_yr=2016&amp;doc_code=AUD" TargetMode="External"/><Relationship Id="rId2485" Type="http://schemas.openxmlformats.org/officeDocument/2006/relationships/hyperlink" Target="https://treas-secure.state.mi.us/LAFDocSearch/tl41R01.aspx?&amp;lu_id=5166&amp;doc_yr=2016&amp;doc_code=AUD" TargetMode="External"/><Relationship Id="rId152" Type="http://schemas.openxmlformats.org/officeDocument/2006/relationships/hyperlink" Target="https://treas-secure.state.mi.us/LAFDocSearch/tl41R01.aspx?&amp;lu_id=256&amp;doc_yr=2016&amp;doc_code=AUD" TargetMode="External"/><Relationship Id="rId457" Type="http://schemas.openxmlformats.org/officeDocument/2006/relationships/hyperlink" Target="https://treas-secure.state.mi.us/LAFDocSearch/tl41R01.aspx?&amp;lu_id=7839&amp;doc_yr=2016&amp;doc_code=AUD" TargetMode="External"/><Relationship Id="rId1087" Type="http://schemas.openxmlformats.org/officeDocument/2006/relationships/hyperlink" Target="https://treas-secure.state.mi.us/LAFDocSearch/tl41R01.aspx?&amp;lu_id=2161&amp;doc_yr=2016&amp;doc_code=AUD" TargetMode="External"/><Relationship Id="rId1294" Type="http://schemas.openxmlformats.org/officeDocument/2006/relationships/hyperlink" Target="https://treas-secure.state.mi.us/LAFDocSearch/tl41R01.aspx?&amp;lu_id=2577&amp;doc_yr=2016&amp;doc_code=AUD" TargetMode="External"/><Relationship Id="rId2040" Type="http://schemas.openxmlformats.org/officeDocument/2006/relationships/hyperlink" Target="https://treas-secure.state.mi.us/LAFDocSearch/tl41R01.aspx?&amp;lu_id=4178&amp;doc_yr=2016&amp;doc_code=AUD" TargetMode="External"/><Relationship Id="rId2138" Type="http://schemas.openxmlformats.org/officeDocument/2006/relationships/hyperlink" Target="https://treas-secure.state.mi.us/LAFDocSearch/tl41R01.aspx?&amp;lu_id=4370&amp;doc_yr=2016&amp;doc_code=AUD" TargetMode="External"/><Relationship Id="rId2692" Type="http://schemas.openxmlformats.org/officeDocument/2006/relationships/hyperlink" Target="https://treas-secure.state.mi.us/LAFDocSearch/tl41R01.aspx?&amp;lu_id=5812&amp;doc_yr=2016&amp;doc_code=AUD" TargetMode="External"/><Relationship Id="rId664" Type="http://schemas.openxmlformats.org/officeDocument/2006/relationships/hyperlink" Target="https://treas-secure.state.mi.us/LAFDocSearch/tl41R01.aspx?&amp;lu_id=1115&amp;doc_yr=2016&amp;doc_code=AUD" TargetMode="External"/><Relationship Id="rId871" Type="http://schemas.openxmlformats.org/officeDocument/2006/relationships/hyperlink" Target="https://treas-secure.state.mi.us/LAFDocSearch/tl41R01.aspx?&amp;lu_id=1671&amp;doc_yr=2016&amp;doc_code=AUD" TargetMode="External"/><Relationship Id="rId969" Type="http://schemas.openxmlformats.org/officeDocument/2006/relationships/hyperlink" Target="https://treas-secure.state.mi.us/LAFDocSearch/tl41R01.aspx?&amp;lu_id=1819&amp;doc_yr=2016&amp;doc_code=AUD" TargetMode="External"/><Relationship Id="rId1599" Type="http://schemas.openxmlformats.org/officeDocument/2006/relationships/hyperlink" Target="https://treas-secure.state.mi.us/LAFDocSearch/tl41R01.aspx?&amp;lu_id=3242&amp;doc_yr=2016&amp;doc_code=AUD" TargetMode="External"/><Relationship Id="rId2345" Type="http://schemas.openxmlformats.org/officeDocument/2006/relationships/hyperlink" Target="https://treas-secure.state.mi.us/LAFDocSearch/tl41R01.aspx?&amp;lu_id=4747&amp;doc_yr=2016&amp;doc_code=AUD" TargetMode="External"/><Relationship Id="rId2552" Type="http://schemas.openxmlformats.org/officeDocument/2006/relationships/hyperlink" Target="https://treas-secure.state.mi.us/LAFDocSearch/tl41R01.aspx?&amp;lu_id=5205&amp;doc_yr=2016&amp;doc_code=AUD" TargetMode="External"/><Relationship Id="rId317" Type="http://schemas.openxmlformats.org/officeDocument/2006/relationships/hyperlink" Target="https://treas-secure.state.mi.us/LAFDocSearch/tl41R01.aspx?&amp;lu_id=465&amp;doc_yr=2016&amp;doc_code=AUD" TargetMode="External"/><Relationship Id="rId524" Type="http://schemas.openxmlformats.org/officeDocument/2006/relationships/hyperlink" Target="https://treas-secure.state.mi.us/LAFDocSearch/tl41R01.aspx?&amp;lu_id=923&amp;doc_yr=2016&amp;doc_code=AUD" TargetMode="External"/><Relationship Id="rId731" Type="http://schemas.openxmlformats.org/officeDocument/2006/relationships/hyperlink" Target="https://treas-secure.state.mi.us/LAFDocSearch/tl41R01.aspx?&amp;lu_id=1327&amp;doc_yr=2016&amp;doc_code=AUD" TargetMode="External"/><Relationship Id="rId1154" Type="http://schemas.openxmlformats.org/officeDocument/2006/relationships/hyperlink" Target="https://treas-secure.state.mi.us/LAFDocSearch/tl41R01.aspx?&amp;lu_id=2225&amp;doc_yr=2016&amp;doc_code=AUD" TargetMode="External"/><Relationship Id="rId1361" Type="http://schemas.openxmlformats.org/officeDocument/2006/relationships/hyperlink" Target="https://treas-secure.state.mi.us/LAFDocSearch/tl41R01.aspx?&amp;lu_id=2621&amp;doc_yr=2016&amp;doc_code=AUD" TargetMode="External"/><Relationship Id="rId1459" Type="http://schemas.openxmlformats.org/officeDocument/2006/relationships/hyperlink" Target="https://treas-secure.state.mi.us/LAFDocSearch/tl41R01.aspx?&amp;lu_id=2752&amp;doc_yr=2016&amp;doc_code=AUD" TargetMode="External"/><Relationship Id="rId2205" Type="http://schemas.openxmlformats.org/officeDocument/2006/relationships/hyperlink" Target="https://treas-secure.state.mi.us/LAFDocSearch/tl41R01.aspx?&amp;lu_id=4514&amp;doc_yr=2016&amp;doc_code=AUD" TargetMode="External"/><Relationship Id="rId2412" Type="http://schemas.openxmlformats.org/officeDocument/2006/relationships/hyperlink" Target="https://treas-secure.state.mi.us/LAFDocSearch/tl41R01.aspx?&amp;lu_id=4931&amp;doc_yr=2016&amp;doc_code=AUD" TargetMode="External"/><Relationship Id="rId98" Type="http://schemas.openxmlformats.org/officeDocument/2006/relationships/hyperlink" Target="https://treas-secure.state.mi.us/LAFDocSearch/tl41R01.aspx?&amp;lu_id=163&amp;doc_yr=2016&amp;doc_code=AUD" TargetMode="External"/><Relationship Id="rId829" Type="http://schemas.openxmlformats.org/officeDocument/2006/relationships/hyperlink" Target="https://treas-secure.state.mi.us/LAFDocSearch/tl41R01.aspx?&amp;lu_id=1550&amp;doc_yr=2016&amp;doc_code=AUD" TargetMode="External"/><Relationship Id="rId1014" Type="http://schemas.openxmlformats.org/officeDocument/2006/relationships/hyperlink" Target="https://treas-secure.state.mi.us/LAFDocSearch/tl41R01.aspx?&amp;lu_id=1922&amp;doc_yr=2016&amp;doc_code=AUD" TargetMode="External"/><Relationship Id="rId1221" Type="http://schemas.openxmlformats.org/officeDocument/2006/relationships/hyperlink" Target="https://treas-secure.state.mi.us/LAFDocSearch/tl41R01.aspx?&amp;lu_id=2403&amp;doc_yr=2016&amp;doc_code=AUD" TargetMode="External"/><Relationship Id="rId1666" Type="http://schemas.openxmlformats.org/officeDocument/2006/relationships/hyperlink" Target="https://treas-secure.state.mi.us/LAFDocSearch/tl41R01.aspx?&amp;lu_id=3324&amp;doc_yr=2016&amp;doc_code=AUD" TargetMode="External"/><Relationship Id="rId1873" Type="http://schemas.openxmlformats.org/officeDocument/2006/relationships/hyperlink" Target="https://treas-secure.state.mi.us/LAFDocSearch/tl41R01.aspx?&amp;lu_id=3695&amp;doc_yr=2016&amp;doc_code=AUD" TargetMode="External"/><Relationship Id="rId2717" Type="http://schemas.openxmlformats.org/officeDocument/2006/relationships/hyperlink" Target="https://treas-secure.state.mi.us/LAFDocSearch/tl41R01.aspx?&amp;lu_id=5446&amp;doc_yr=2016&amp;doc_code=AUD" TargetMode="External"/><Relationship Id="rId1319" Type="http://schemas.openxmlformats.org/officeDocument/2006/relationships/hyperlink" Target="https://treas-secure.state.mi.us/LAFDocSearch/tl41R01.aspx?&amp;lu_id=6036&amp;doc_yr=2016&amp;doc_code=AUD" TargetMode="External"/><Relationship Id="rId1526" Type="http://schemas.openxmlformats.org/officeDocument/2006/relationships/hyperlink" Target="https://treas-secure.state.mi.us/LAFDocSearch/tl41R01.aspx?&amp;lu_id=2947&amp;doc_yr=2016&amp;doc_code=AUD" TargetMode="External"/><Relationship Id="rId1733" Type="http://schemas.openxmlformats.org/officeDocument/2006/relationships/hyperlink" Target="https://treas-secure.state.mi.us/LAFDocSearch/tl41R01.aspx?&amp;lu_id=3458&amp;doc_yr=2016&amp;doc_code=AUD" TargetMode="External"/><Relationship Id="rId1940" Type="http://schemas.openxmlformats.org/officeDocument/2006/relationships/hyperlink" Target="https://treas-secure.state.mi.us/LAFDocSearch/tl41R01.aspx?&amp;lu_id=4152&amp;doc_yr=2016&amp;doc_code=AUD" TargetMode="External"/><Relationship Id="rId25" Type="http://schemas.openxmlformats.org/officeDocument/2006/relationships/hyperlink" Target="https://treas-secure.state.mi.us/LAFDocSearch/tl41R01.aspx?&amp;lu_id=34&amp;doc_yr=2016&amp;doc_code=AUD" TargetMode="External"/><Relationship Id="rId1800" Type="http://schemas.openxmlformats.org/officeDocument/2006/relationships/hyperlink" Target="https://treas-secure.state.mi.us/LAFDocSearch/tl41R01.aspx?&amp;lu_id=3561&amp;doc_yr=2016&amp;doc_code=AUD" TargetMode="External"/><Relationship Id="rId174" Type="http://schemas.openxmlformats.org/officeDocument/2006/relationships/hyperlink" Target="https://treas-secure.state.mi.us/LAFDocSearch/tl41R01.aspx?&amp;lu_id=281&amp;doc_yr=2016&amp;doc_code=AUD" TargetMode="External"/><Relationship Id="rId381" Type="http://schemas.openxmlformats.org/officeDocument/2006/relationships/hyperlink" Target="https://treas-secure.state.mi.us/LAFDocSearch/tl41R01.aspx?&amp;lu_id=660&amp;doc_yr=2016&amp;doc_code=AUD" TargetMode="External"/><Relationship Id="rId2062" Type="http://schemas.openxmlformats.org/officeDocument/2006/relationships/hyperlink" Target="https://treas-secure.state.mi.us/LAFDocSearch/tl41R01.aspx?&amp;lu_id=4227&amp;doc_yr=2016&amp;doc_code=AUD" TargetMode="External"/><Relationship Id="rId241" Type="http://schemas.openxmlformats.org/officeDocument/2006/relationships/hyperlink" Target="https://treas-secure.state.mi.us/LAFDocSearch/tl41R01.aspx?&amp;lu_id=398&amp;doc_yr=2016&amp;doc_code=AUD" TargetMode="External"/><Relationship Id="rId479" Type="http://schemas.openxmlformats.org/officeDocument/2006/relationships/hyperlink" Target="https://treas-secure.state.mi.us/LAFDocSearch/tl41R01.aspx?&amp;lu_id=802&amp;doc_yr=2016&amp;doc_code=AUD" TargetMode="External"/><Relationship Id="rId686" Type="http://schemas.openxmlformats.org/officeDocument/2006/relationships/hyperlink" Target="https://treas-secure.state.mi.us/LAFDocSearch/tl41R01.aspx?&amp;lu_id=1323&amp;doc_yr=2016&amp;doc_code=AUD" TargetMode="External"/><Relationship Id="rId893" Type="http://schemas.openxmlformats.org/officeDocument/2006/relationships/hyperlink" Target="https://treas-secure.state.mi.us/LAFDocSearch/tl41R01.aspx?&amp;lu_id=1665&amp;doc_yr=2016&amp;doc_code=AUD" TargetMode="External"/><Relationship Id="rId2367" Type="http://schemas.openxmlformats.org/officeDocument/2006/relationships/hyperlink" Target="https://treas-secure.state.mi.us/LAFDocSearch/tl41R01.aspx?&amp;lu_id=4837&amp;doc_yr=2016&amp;doc_code=AUD" TargetMode="External"/><Relationship Id="rId2574" Type="http://schemas.openxmlformats.org/officeDocument/2006/relationships/hyperlink" Target="https://treas-secure.state.mi.us/LAFDocSearch/tl41R01.aspx?&amp;lu_id=5258&amp;doc_yr=2016&amp;doc_code=AUD" TargetMode="External"/><Relationship Id="rId2781" Type="http://schemas.openxmlformats.org/officeDocument/2006/relationships/hyperlink" Target="https://treas-secure.state.mi.us/LAFDocSearch/tl41R01.aspx?&amp;lu_id=5882&amp;doc_yr=2016&amp;doc_code=AUD" TargetMode="External"/><Relationship Id="rId339" Type="http://schemas.openxmlformats.org/officeDocument/2006/relationships/hyperlink" Target="https://treas-secure.state.mi.us/LAFDocSearch/tl41R01.aspx?&amp;lu_id=565&amp;doc_yr=2016&amp;doc_code=AUD" TargetMode="External"/><Relationship Id="rId546" Type="http://schemas.openxmlformats.org/officeDocument/2006/relationships/hyperlink" Target="https://treas-secure.state.mi.us/LAFDocSearch/tl41R01.aspx?&amp;lu_id=930&amp;doc_yr=2016&amp;doc_code=AUD" TargetMode="External"/><Relationship Id="rId753" Type="http://schemas.openxmlformats.org/officeDocument/2006/relationships/hyperlink" Target="https://treas-secure.state.mi.us/LAFDocSearch/tl41R01.aspx?&amp;lu_id=1432&amp;doc_yr=2016&amp;doc_code=AUD" TargetMode="External"/><Relationship Id="rId1176" Type="http://schemas.openxmlformats.org/officeDocument/2006/relationships/hyperlink" Target="https://treas-secure.state.mi.us/LAFDocSearch/tl41R01.aspx?&amp;lu_id=2331&amp;doc_yr=2016&amp;doc_code=AUD" TargetMode="External"/><Relationship Id="rId1383" Type="http://schemas.openxmlformats.org/officeDocument/2006/relationships/hyperlink" Target="https://treas-secure.state.mi.us/LAFDocSearch/tl41R01.aspx?&amp;lu_id=2637&amp;doc_yr=2016&amp;doc_code=AUD" TargetMode="External"/><Relationship Id="rId2227" Type="http://schemas.openxmlformats.org/officeDocument/2006/relationships/hyperlink" Target="https://treas-secure.state.mi.us/LAFDocSearch/tl41R01.aspx?&amp;lu_id=4547&amp;doc_yr=2016&amp;doc_code=AUD" TargetMode="External"/><Relationship Id="rId2434" Type="http://schemas.openxmlformats.org/officeDocument/2006/relationships/hyperlink" Target="https://treas-secure.state.mi.us/LAFDocSearch/tl41R01.aspx?&amp;lu_id=5001&amp;doc_yr=2016&amp;doc_code=AUD" TargetMode="External"/><Relationship Id="rId101" Type="http://schemas.openxmlformats.org/officeDocument/2006/relationships/hyperlink" Target="https://treas-secure.state.mi.us/LAFDocSearch/tl41R01.aspx?&amp;lu_id=165&amp;doc_yr=2016&amp;doc_code=AUD" TargetMode="External"/><Relationship Id="rId406" Type="http://schemas.openxmlformats.org/officeDocument/2006/relationships/hyperlink" Target="https://treas-secure.state.mi.us/LAFDocSearch/tl41R01.aspx?&amp;lu_id=720&amp;doc_yr=2016&amp;doc_code=AUD" TargetMode="External"/><Relationship Id="rId960" Type="http://schemas.openxmlformats.org/officeDocument/2006/relationships/hyperlink" Target="https://treas-secure.state.mi.us/LAFDocSearch/tl41R01.aspx?&amp;lu_id=1892&amp;doc_yr=2016&amp;doc_code=AUD" TargetMode="External"/><Relationship Id="rId1036" Type="http://schemas.openxmlformats.org/officeDocument/2006/relationships/hyperlink" Target="https://treas-secure.state.mi.us/LAFDocSearch/tl41R01.aspx?&amp;lu_id=2106&amp;doc_yr=2016&amp;doc_code=AUD" TargetMode="External"/><Relationship Id="rId1243" Type="http://schemas.openxmlformats.org/officeDocument/2006/relationships/hyperlink" Target="https://treas-secure.state.mi.us/LAFDocSearch/tl41R01.aspx?&amp;lu_id=2369&amp;doc_yr=2016&amp;doc_code=AUD" TargetMode="External"/><Relationship Id="rId1590" Type="http://schemas.openxmlformats.org/officeDocument/2006/relationships/hyperlink" Target="https://treas-secure.state.mi.us/LAFDocSearch/tl41R01.aspx?&amp;lu_id=2996&amp;doc_yr=2016&amp;doc_code=AUD" TargetMode="External"/><Relationship Id="rId1688" Type="http://schemas.openxmlformats.org/officeDocument/2006/relationships/hyperlink" Target="https://treas-secure.state.mi.us/LAFDocSearch/tl41R01.aspx?&amp;lu_id=3363&amp;doc_yr=2016&amp;doc_code=AUD" TargetMode="External"/><Relationship Id="rId1895" Type="http://schemas.openxmlformats.org/officeDocument/2006/relationships/hyperlink" Target="https://treas-secure.state.mi.us/LAFDocSearch/tl41R01.aspx?&amp;lu_id=3751&amp;doc_yr=2016&amp;doc_code=AUD" TargetMode="External"/><Relationship Id="rId2641" Type="http://schemas.openxmlformats.org/officeDocument/2006/relationships/hyperlink" Target="https://treas-secure.state.mi.us/LAFDocSearch/tl41R01.aspx?&amp;lu_id=5286&amp;doc_yr=2016&amp;doc_code=AUD" TargetMode="External"/><Relationship Id="rId2739" Type="http://schemas.openxmlformats.org/officeDocument/2006/relationships/hyperlink" Target="https://treas-secure.state.mi.us/LAFDocSearch/tl41R01.aspx?&amp;lu_id=5453&amp;doc_yr=2016&amp;doc_code=AUD" TargetMode="External"/><Relationship Id="rId613" Type="http://schemas.openxmlformats.org/officeDocument/2006/relationships/hyperlink" Target="https://treas-secure.state.mi.us/LAFDocSearch/tl41R01.aspx?&amp;lu_id=1055&amp;doc_yr=2016&amp;doc_code=AUD" TargetMode="External"/><Relationship Id="rId820" Type="http://schemas.openxmlformats.org/officeDocument/2006/relationships/hyperlink" Target="https://treas-secure.state.mi.us/LAFDocSearch/tl41R01.aspx?&amp;lu_id=1589&amp;doc_yr=2016&amp;doc_code=AUD" TargetMode="External"/><Relationship Id="rId918" Type="http://schemas.openxmlformats.org/officeDocument/2006/relationships/hyperlink" Target="https://treas-secure.state.mi.us/LAFDocSearch/tl41R01.aspx?&amp;lu_id=1738&amp;doc_yr=2016&amp;doc_code=AUD" TargetMode="External"/><Relationship Id="rId1450" Type="http://schemas.openxmlformats.org/officeDocument/2006/relationships/hyperlink" Target="https://treas-secure.state.mi.us/LAFDocSearch/tl41R01.aspx?&amp;lu_id=2744&amp;doc_yr=2016&amp;doc_code=AUD" TargetMode="External"/><Relationship Id="rId1548" Type="http://schemas.openxmlformats.org/officeDocument/2006/relationships/hyperlink" Target="https://treas-secure.state.mi.us/LAFDocSearch/tl41R01.aspx?&amp;lu_id=3169&amp;doc_yr=2016&amp;doc_code=AUD" TargetMode="External"/><Relationship Id="rId1755" Type="http://schemas.openxmlformats.org/officeDocument/2006/relationships/hyperlink" Target="https://treas-secure.state.mi.us/LAFDocSearch/tl41R01.aspx?&amp;lu_id=3500&amp;doc_yr=2016&amp;doc_code=AUD" TargetMode="External"/><Relationship Id="rId2501" Type="http://schemas.openxmlformats.org/officeDocument/2006/relationships/hyperlink" Target="https://treas-secure.state.mi.us/LAFDocSearch/tl41R01.aspx?&amp;lu_id=5108&amp;doc_yr=2016&amp;doc_code=AUD" TargetMode="External"/><Relationship Id="rId1103" Type="http://schemas.openxmlformats.org/officeDocument/2006/relationships/hyperlink" Target="https://treas-secure.state.mi.us/LAFDocSearch/tl41R01.aspx?&amp;lu_id=2188&amp;doc_yr=2016&amp;doc_code=AUD" TargetMode="External"/><Relationship Id="rId1310" Type="http://schemas.openxmlformats.org/officeDocument/2006/relationships/hyperlink" Target="https://treas-secure.state.mi.us/LAFDocSearch/tl41R01.aspx?&amp;lu_id=2586&amp;doc_yr=2016&amp;doc_code=AUD" TargetMode="External"/><Relationship Id="rId1408" Type="http://schemas.openxmlformats.org/officeDocument/2006/relationships/hyperlink" Target="https://treas-secure.state.mi.us/LAFDocSearch/tl41R01.aspx?&amp;lu_id=2707&amp;doc_yr=2016&amp;doc_code=AUD" TargetMode="External"/><Relationship Id="rId1962" Type="http://schemas.openxmlformats.org/officeDocument/2006/relationships/hyperlink" Target="https://treas-secure.state.mi.us/LAFDocSearch/tl41R01.aspx?&amp;lu_id=3854&amp;doc_yr=2016&amp;doc_code=AUD" TargetMode="External"/><Relationship Id="rId47" Type="http://schemas.openxmlformats.org/officeDocument/2006/relationships/hyperlink" Target="https://treas-secure.state.mi.us/LAFDocSearch/tl41R01.aspx?&amp;lu_id=116&amp;doc_yr=2016&amp;doc_code=AUD" TargetMode="External"/><Relationship Id="rId1615" Type="http://schemas.openxmlformats.org/officeDocument/2006/relationships/hyperlink" Target="https://treas-secure.state.mi.us/LAFDocSearch/tl41R01.aspx?&amp;lu_id=3208&amp;doc_yr=2016&amp;doc_code=AUD" TargetMode="External"/><Relationship Id="rId1822" Type="http://schemas.openxmlformats.org/officeDocument/2006/relationships/hyperlink" Target="https://treas-secure.state.mi.us/LAFDocSearch/tl41R01.aspx?&amp;lu_id=3604&amp;doc_yr=2016&amp;doc_code=AUD" TargetMode="External"/><Relationship Id="rId196" Type="http://schemas.openxmlformats.org/officeDocument/2006/relationships/hyperlink" Target="https://treas-secure.state.mi.us/LAFDocSearch/tl41R01.aspx?&amp;lu_id=387&amp;doc_yr=2016&amp;doc_code=AUD" TargetMode="External"/><Relationship Id="rId2084" Type="http://schemas.openxmlformats.org/officeDocument/2006/relationships/hyperlink" Target="https://treas-secure.state.mi.us/LAFDocSearch/tl41R01.aspx?&amp;lu_id=4279&amp;doc_yr=2016&amp;doc_code=AUD" TargetMode="External"/><Relationship Id="rId2291" Type="http://schemas.openxmlformats.org/officeDocument/2006/relationships/hyperlink" Target="https://treas-secure.state.mi.us/LAFDocSearch/tl41R01.aspx?&amp;lu_id=4576&amp;doc_yr=2016&amp;doc_code=AUD" TargetMode="External"/><Relationship Id="rId263" Type="http://schemas.openxmlformats.org/officeDocument/2006/relationships/hyperlink" Target="https://treas-secure.state.mi.us/LAFDocSearch/tl41R01.aspx?&amp;lu_id=7822&amp;doc_yr=2016&amp;doc_code=AUD" TargetMode="External"/><Relationship Id="rId470" Type="http://schemas.openxmlformats.org/officeDocument/2006/relationships/hyperlink" Target="https://treas-secure.state.mi.us/LAFDocSearch/tl41R01.aspx?&amp;lu_id=822&amp;doc_yr=2016&amp;doc_code=AUD" TargetMode="External"/><Relationship Id="rId2151" Type="http://schemas.openxmlformats.org/officeDocument/2006/relationships/hyperlink" Target="https://treas-secure.state.mi.us/LAFDocSearch/tl41R01.aspx?&amp;lu_id=4411&amp;doc_yr=2016&amp;doc_code=AUD" TargetMode="External"/><Relationship Id="rId2389" Type="http://schemas.openxmlformats.org/officeDocument/2006/relationships/hyperlink" Target="https://treas-secure.state.mi.us/LAFDocSearch/tl41R01.aspx?&amp;lu_id=4943&amp;doc_yr=2016&amp;doc_code=AUD" TargetMode="External"/><Relationship Id="rId2596" Type="http://schemas.openxmlformats.org/officeDocument/2006/relationships/hyperlink" Target="https://treas-secure.state.mi.us/LAFDocSearch/tl41R01.aspx?&amp;lu_id=5408&amp;doc_yr=2016&amp;doc_code=AUD" TargetMode="External"/><Relationship Id="rId123" Type="http://schemas.openxmlformats.org/officeDocument/2006/relationships/hyperlink" Target="https://treas-secure.state.mi.us/LAFDocSearch/tl41R01.aspx?&amp;lu_id=210&amp;doc_yr=2016&amp;doc_code=AUD" TargetMode="External"/><Relationship Id="rId330" Type="http://schemas.openxmlformats.org/officeDocument/2006/relationships/hyperlink" Target="https://treas-secure.state.mi.us/LAFDocSearch/tl41R01.aspx?&amp;lu_id=557&amp;doc_yr=2016&amp;doc_code=AUD" TargetMode="External"/><Relationship Id="rId568" Type="http://schemas.openxmlformats.org/officeDocument/2006/relationships/hyperlink" Target="https://treas-secure.state.mi.us/LAFDocSearch/tl41R01.aspx?&amp;lu_id=944&amp;doc_yr=2016&amp;doc_code=AUD" TargetMode="External"/><Relationship Id="rId775" Type="http://schemas.openxmlformats.org/officeDocument/2006/relationships/hyperlink" Target="https://treas-secure.state.mi.us/LAFDocSearch/tl41R01.aspx?&amp;lu_id=1477&amp;doc_yr=2016&amp;doc_code=AUD" TargetMode="External"/><Relationship Id="rId982" Type="http://schemas.openxmlformats.org/officeDocument/2006/relationships/hyperlink" Target="https://treas-secure.state.mi.us/LAFDocSearch/tl41R01.aspx?&amp;lu_id=1822&amp;doc_yr=2016&amp;doc_code=AUD" TargetMode="External"/><Relationship Id="rId1198" Type="http://schemas.openxmlformats.org/officeDocument/2006/relationships/hyperlink" Target="https://treas-secure.state.mi.us/LAFDocSearch/tl41R01.aspx?&amp;lu_id=2288&amp;doc_yr=2016&amp;doc_code=AUD" TargetMode="External"/><Relationship Id="rId2011" Type="http://schemas.openxmlformats.org/officeDocument/2006/relationships/hyperlink" Target="https://treas-secure.state.mi.us/LAFDocSearch/tl41R01.aspx?&amp;lu_id=3868&amp;doc_yr=2016&amp;doc_code=AUD" TargetMode="External"/><Relationship Id="rId2249" Type="http://schemas.openxmlformats.org/officeDocument/2006/relationships/hyperlink" Target="https://treas-secure.state.mi.us/LAFDocSearch/tl41R01.aspx?&amp;lu_id=4675&amp;doc_yr=2016&amp;doc_code=AUD" TargetMode="External"/><Relationship Id="rId2456" Type="http://schemas.openxmlformats.org/officeDocument/2006/relationships/hyperlink" Target="https://treas-secure.state.mi.us/LAFDocSearch/tl41R01.aspx?&amp;lu_id=5021&amp;doc_yr=2016&amp;doc_code=AUD" TargetMode="External"/><Relationship Id="rId2663" Type="http://schemas.openxmlformats.org/officeDocument/2006/relationships/hyperlink" Target="https://treas-secure.state.mi.us/LAFDocSearch/tl41R01.aspx?&amp;lu_id=5428&amp;doc_yr=2016&amp;doc_code=AUD" TargetMode="External"/><Relationship Id="rId428" Type="http://schemas.openxmlformats.org/officeDocument/2006/relationships/hyperlink" Target="https://treas-secure.state.mi.us/LAFDocSearch/tl41R01.aspx?&amp;lu_id=729&amp;doc_yr=2016&amp;doc_code=AUD" TargetMode="External"/><Relationship Id="rId635" Type="http://schemas.openxmlformats.org/officeDocument/2006/relationships/hyperlink" Target="https://treas-secure.state.mi.us/LAFDocSearch/tl41R01.aspx?&amp;lu_id=1261&amp;doc_yr=2016&amp;doc_code=AUD" TargetMode="External"/><Relationship Id="rId842" Type="http://schemas.openxmlformats.org/officeDocument/2006/relationships/hyperlink" Target="https://treas-secure.state.mi.us/LAFDocSearch/tl41R01.aspx?&amp;lu_id=1614&amp;doc_yr=2016&amp;doc_code=AUD" TargetMode="External"/><Relationship Id="rId1058" Type="http://schemas.openxmlformats.org/officeDocument/2006/relationships/hyperlink" Target="https://treas-secure.state.mi.us/LAFDocSearch/tl41R01.aspx?&amp;lu_id=2057&amp;doc_yr=2016&amp;doc_code=AUD" TargetMode="External"/><Relationship Id="rId1265" Type="http://schemas.openxmlformats.org/officeDocument/2006/relationships/hyperlink" Target="https://treas-secure.state.mi.us/LAFDocSearch/tl41R01.aspx?&amp;lu_id=2447&amp;doc_yr=2016&amp;doc_code=AUD" TargetMode="External"/><Relationship Id="rId1472" Type="http://schemas.openxmlformats.org/officeDocument/2006/relationships/hyperlink" Target="https://treas-secure.state.mi.us/LAFDocSearch/tl41R01.aspx?&amp;lu_id=2919&amp;doc_yr=2016&amp;doc_code=AUD" TargetMode="External"/><Relationship Id="rId2109" Type="http://schemas.openxmlformats.org/officeDocument/2006/relationships/hyperlink" Target="https://treas-secure.state.mi.us/LAFDocSearch/tl41R01.aspx?&amp;lu_id=4364&amp;doc_yr=2016&amp;doc_code=AUD" TargetMode="External"/><Relationship Id="rId2316" Type="http://schemas.openxmlformats.org/officeDocument/2006/relationships/hyperlink" Target="https://treas-secure.state.mi.us/LAFDocSearch/tl41R01.aspx?&amp;lu_id=4732&amp;doc_yr=2016&amp;doc_code=AUD" TargetMode="External"/><Relationship Id="rId2523" Type="http://schemas.openxmlformats.org/officeDocument/2006/relationships/hyperlink" Target="https://treas-secure.state.mi.us/LAFDocSearch/tl41R01.aspx?&amp;lu_id=5115&amp;doc_yr=2016&amp;doc_code=AUD" TargetMode="External"/><Relationship Id="rId2730" Type="http://schemas.openxmlformats.org/officeDocument/2006/relationships/hyperlink" Target="https://treas-secure.state.mi.us/LAFDocSearch/tl41R01.aspx?&amp;lu_id=7053&amp;doc_yr=2016&amp;doc_code=AUD" TargetMode="External"/><Relationship Id="rId702" Type="http://schemas.openxmlformats.org/officeDocument/2006/relationships/hyperlink" Target="https://treas-secure.state.mi.us/LAFDocSearch/tl41R01.aspx?&amp;lu_id=1422&amp;doc_yr=2016&amp;doc_code=AUD" TargetMode="External"/><Relationship Id="rId1125" Type="http://schemas.openxmlformats.org/officeDocument/2006/relationships/hyperlink" Target="https://treas-secure.state.mi.us/LAFDocSearch/tl41R01.aspx?&amp;lu_id=2207&amp;doc_yr=2016&amp;doc_code=AUD" TargetMode="External"/><Relationship Id="rId1332" Type="http://schemas.openxmlformats.org/officeDocument/2006/relationships/hyperlink" Target="https://treas-secure.state.mi.us/LAFDocSearch/tl41R01.aspx?&amp;lu_id=2485&amp;doc_yr=2016&amp;doc_code=AUD" TargetMode="External"/><Relationship Id="rId1777" Type="http://schemas.openxmlformats.org/officeDocument/2006/relationships/hyperlink" Target="https://treas-secure.state.mi.us/LAFDocSearch/tl41R01.aspx?&amp;lu_id=3584&amp;doc_yr=2016&amp;doc_code=AUD" TargetMode="External"/><Relationship Id="rId1984" Type="http://schemas.openxmlformats.org/officeDocument/2006/relationships/hyperlink" Target="https://treas-secure.state.mi.us/LAFDocSearch/tl41R01.aspx?&amp;lu_id=3836&amp;doc_yr=2016&amp;doc_code=AUD" TargetMode="External"/><Relationship Id="rId69" Type="http://schemas.openxmlformats.org/officeDocument/2006/relationships/hyperlink" Target="https://treas-secure.state.mi.us/LAFDocSearch/tl41R01.aspx?&amp;lu_id=66&amp;doc_yr=2016&amp;doc_code=AUD" TargetMode="External"/><Relationship Id="rId1637" Type="http://schemas.openxmlformats.org/officeDocument/2006/relationships/hyperlink" Target="https://treas-secure.state.mi.us/LAFDocSearch/tl41R01.aspx?&amp;lu_id=3294&amp;doc_yr=2016&amp;doc_code=AUD" TargetMode="External"/><Relationship Id="rId1844" Type="http://schemas.openxmlformats.org/officeDocument/2006/relationships/hyperlink" Target="https://treas-secure.state.mi.us/LAFDocSearch/tl41R01.aspx?&amp;lu_id=3617&amp;doc_yr=2016&amp;doc_code=AUD" TargetMode="External"/><Relationship Id="rId1704" Type="http://schemas.openxmlformats.org/officeDocument/2006/relationships/hyperlink" Target="https://treas-secure.state.mi.us/LAFDocSearch/tl41R01.aspx?&amp;lu_id=3409&amp;doc_yr=2016&amp;doc_code=AUD" TargetMode="External"/><Relationship Id="rId285" Type="http://schemas.openxmlformats.org/officeDocument/2006/relationships/hyperlink" Target="https://treas-secure.state.mi.us/LAFDocSearch/tl41R01.aspx?&amp;lu_id=460&amp;doc_yr=2016&amp;doc_code=AUD" TargetMode="External"/><Relationship Id="rId1911" Type="http://schemas.openxmlformats.org/officeDocument/2006/relationships/hyperlink" Target="https://treas-secure.state.mi.us/LAFDocSearch/tl41R01.aspx?&amp;lu_id=3771&amp;doc_yr=2016&amp;doc_code=AUD" TargetMode="External"/><Relationship Id="rId492" Type="http://schemas.openxmlformats.org/officeDocument/2006/relationships/hyperlink" Target="https://treas-secure.state.mi.us/LAFDocSearch/tl41R01.aspx?&amp;lu_id=874&amp;doc_yr=2016&amp;doc_code=AUD" TargetMode="External"/><Relationship Id="rId797" Type="http://schemas.openxmlformats.org/officeDocument/2006/relationships/hyperlink" Target="https://treas-secure.state.mi.us/LAFDocSearch/tl41R01.aspx?&amp;lu_id=1526&amp;doc_yr=2016&amp;doc_code=AUD" TargetMode="External"/><Relationship Id="rId2173" Type="http://schemas.openxmlformats.org/officeDocument/2006/relationships/hyperlink" Target="https://treas-secure.state.mi.us/LAFDocSearch/tl41R01.aspx?&amp;lu_id=4480&amp;doc_yr=2016&amp;doc_code=AUD" TargetMode="External"/><Relationship Id="rId2380" Type="http://schemas.openxmlformats.org/officeDocument/2006/relationships/hyperlink" Target="https://treas-secure.state.mi.us/LAFDocSearch/tl41R01.aspx?&amp;lu_id=4862&amp;doc_yr=2016&amp;doc_code=AUD" TargetMode="External"/><Relationship Id="rId2478" Type="http://schemas.openxmlformats.org/officeDocument/2006/relationships/hyperlink" Target="https://treas-secure.state.mi.us/LAFDocSearch/tl41R01.aspx?&amp;lu_id=5030&amp;doc_yr=2016&amp;doc_code=AUD" TargetMode="External"/><Relationship Id="rId145" Type="http://schemas.openxmlformats.org/officeDocument/2006/relationships/hyperlink" Target="https://treas-secure.state.mi.us/LAFDocSearch/tl41R01.aspx?&amp;lu_id=249&amp;doc_yr=2016&amp;doc_code=AUD" TargetMode="External"/><Relationship Id="rId352" Type="http://schemas.openxmlformats.org/officeDocument/2006/relationships/hyperlink" Target="https://treas-secure.state.mi.us/LAFDocSearch/tl41R01.aspx?&amp;lu_id=599&amp;doc_yr=2016&amp;doc_code=AUD" TargetMode="External"/><Relationship Id="rId1287" Type="http://schemas.openxmlformats.org/officeDocument/2006/relationships/hyperlink" Target="https://treas-secure.state.mi.us/LAFDocSearch/tl41R01.aspx?&amp;lu_id=2474&amp;doc_yr=2016&amp;doc_code=AUD" TargetMode="External"/><Relationship Id="rId2033" Type="http://schemas.openxmlformats.org/officeDocument/2006/relationships/hyperlink" Target="https://treas-secure.state.mi.us/LAFDocSearch/tl41R01.aspx?&amp;lu_id=7833&amp;doc_yr=2016&amp;doc_code=AUD" TargetMode="External"/><Relationship Id="rId2240" Type="http://schemas.openxmlformats.org/officeDocument/2006/relationships/hyperlink" Target="https://treas-secure.state.mi.us/LAFDocSearch/tl41R01.aspx?&amp;lu_id=4544&amp;doc_yr=2016&amp;doc_code=AUD" TargetMode="External"/><Relationship Id="rId2685" Type="http://schemas.openxmlformats.org/officeDocument/2006/relationships/hyperlink" Target="https://treas-secure.state.mi.us/LAFDocSearch/tl41R01.aspx?&amp;lu_id=6048&amp;doc_yr=2016&amp;doc_code=AUD" TargetMode="External"/><Relationship Id="rId212" Type="http://schemas.openxmlformats.org/officeDocument/2006/relationships/hyperlink" Target="https://treas-secure.state.mi.us/LAFDocSearch/tl41R01.aspx?&amp;lu_id=331&amp;doc_yr=2016&amp;doc_code=AUD" TargetMode="External"/><Relationship Id="rId657" Type="http://schemas.openxmlformats.org/officeDocument/2006/relationships/hyperlink" Target="https://treas-secure.state.mi.us/LAFDocSearch/tl41R01.aspx?&amp;lu_id=1110&amp;doc_yr=2016&amp;doc_code=AUD" TargetMode="External"/><Relationship Id="rId864" Type="http://schemas.openxmlformats.org/officeDocument/2006/relationships/hyperlink" Target="https://treas-secure.state.mi.us/LAFDocSearch/tl41R01.aspx?&amp;lu_id=1610&amp;doc_yr=2016&amp;doc_code=AUD" TargetMode="External"/><Relationship Id="rId1494" Type="http://schemas.openxmlformats.org/officeDocument/2006/relationships/hyperlink" Target="https://treas-secure.state.mi.us/LAFDocSearch/tl41R01.aspx?&amp;lu_id=2906&amp;doc_yr=2016&amp;doc_code=AUD" TargetMode="External"/><Relationship Id="rId1799" Type="http://schemas.openxmlformats.org/officeDocument/2006/relationships/hyperlink" Target="https://treas-secure.state.mi.us/LAFDocSearch/tl41R01.aspx?&amp;lu_id=3568&amp;doc_yr=2016&amp;doc_code=AUD" TargetMode="External"/><Relationship Id="rId2100" Type="http://schemas.openxmlformats.org/officeDocument/2006/relationships/hyperlink" Target="https://treas-secure.state.mi.us/LAFDocSearch/tl41R01.aspx?&amp;lu_id=4297&amp;doc_yr=2016&amp;doc_code=AUD" TargetMode="External"/><Relationship Id="rId2338" Type="http://schemas.openxmlformats.org/officeDocument/2006/relationships/hyperlink" Target="https://treas-secure.state.mi.us/LAFDocSearch/tl41R01.aspx?&amp;lu_id=4746&amp;doc_yr=2016&amp;doc_code=AUD" TargetMode="External"/><Relationship Id="rId2545" Type="http://schemas.openxmlformats.org/officeDocument/2006/relationships/hyperlink" Target="https://treas-secure.state.mi.us/LAFDocSearch/tl41R01.aspx?&amp;lu_id=5189&amp;doc_yr=2016&amp;doc_code=AUD" TargetMode="External"/><Relationship Id="rId2752" Type="http://schemas.openxmlformats.org/officeDocument/2006/relationships/hyperlink" Target="https://treas-secure.state.mi.us/LAFDocSearch/tl41R01.aspx?&amp;lu_id=5730&amp;doc_yr=2016&amp;doc_code=AUD" TargetMode="External"/><Relationship Id="rId517" Type="http://schemas.openxmlformats.org/officeDocument/2006/relationships/hyperlink" Target="https://treas-secure.state.mi.us/LAFDocSearch/tl41R01.aspx?&amp;lu_id=888&amp;doc_yr=2016&amp;doc_code=AUD" TargetMode="External"/><Relationship Id="rId724" Type="http://schemas.openxmlformats.org/officeDocument/2006/relationships/hyperlink" Target="https://treas-secure.state.mi.us/LAFDocSearch/tl41R01.aspx?&amp;lu_id=1326&amp;doc_yr=2016&amp;doc_code=AUD" TargetMode="External"/><Relationship Id="rId931" Type="http://schemas.openxmlformats.org/officeDocument/2006/relationships/hyperlink" Target="https://treas-secure.state.mi.us/LAFDocSearch/tl41R01.aspx?&amp;lu_id=1763&amp;doc_yr=2016&amp;doc_code=AUD" TargetMode="External"/><Relationship Id="rId1147" Type="http://schemas.openxmlformats.org/officeDocument/2006/relationships/hyperlink" Target="https://treas-secure.state.mi.us/LAFDocSearch/tl41R01.aspx?&amp;lu_id=2260&amp;doc_yr=2016&amp;doc_code=AUD" TargetMode="External"/><Relationship Id="rId1354" Type="http://schemas.openxmlformats.org/officeDocument/2006/relationships/hyperlink" Target="https://treas-secure.state.mi.us/LAFDocSearch/tl41R01.aspx?&amp;lu_id=2607&amp;doc_yr=2016&amp;doc_code=AUD" TargetMode="External"/><Relationship Id="rId1561" Type="http://schemas.openxmlformats.org/officeDocument/2006/relationships/hyperlink" Target="https://treas-secure.state.mi.us/LAFDocSearch/tl41R01.aspx?&amp;lu_id=2989&amp;doc_yr=2016&amp;doc_code=AUD" TargetMode="External"/><Relationship Id="rId2405" Type="http://schemas.openxmlformats.org/officeDocument/2006/relationships/hyperlink" Target="https://treas-secure.state.mi.us/LAFDocSearch/tl41R01.aspx?&amp;lu_id=4927&amp;doc_yr=2016&amp;doc_code=AUD" TargetMode="External"/><Relationship Id="rId2612" Type="http://schemas.openxmlformats.org/officeDocument/2006/relationships/hyperlink" Target="https://treas-secure.state.mi.us/LAFDocSearch/tl41R01.aspx?&amp;lu_id=5278&amp;doc_yr=2016&amp;doc_code=AUD" TargetMode="External"/><Relationship Id="rId60" Type="http://schemas.openxmlformats.org/officeDocument/2006/relationships/hyperlink" Target="https://treas-secure.state.mi.us/LAFDocSearch/tl41R01.aspx?&amp;lu_id=62&amp;doc_yr=2016&amp;doc_code=AUD" TargetMode="External"/><Relationship Id="rId1007" Type="http://schemas.openxmlformats.org/officeDocument/2006/relationships/hyperlink" Target="https://treas-secure.state.mi.us/LAFDocSearch/tl41R01.aspx?&amp;lu_id=2014&amp;doc_yr=2016&amp;doc_code=AUD" TargetMode="External"/><Relationship Id="rId1214" Type="http://schemas.openxmlformats.org/officeDocument/2006/relationships/hyperlink" Target="https://treas-secure.state.mi.us/LAFDocSearch/tl41R01.aspx?&amp;lu_id=2345&amp;doc_yr=2016&amp;doc_code=AUD" TargetMode="External"/><Relationship Id="rId1421" Type="http://schemas.openxmlformats.org/officeDocument/2006/relationships/hyperlink" Target="https://treas-secure.state.mi.us/LAFDocSearch/tl41R01.aspx?&amp;lu_id=2726&amp;doc_yr=2016&amp;doc_code=AUD" TargetMode="External"/><Relationship Id="rId1659" Type="http://schemas.openxmlformats.org/officeDocument/2006/relationships/hyperlink" Target="https://treas-secure.state.mi.us/LAFDocSearch/tl41R01.aspx?&amp;lu_id=6002&amp;doc_yr=2016&amp;doc_code=AUD" TargetMode="External"/><Relationship Id="rId1866" Type="http://schemas.openxmlformats.org/officeDocument/2006/relationships/hyperlink" Target="https://treas-secure.state.mi.us/LAFDocSearch/tl41R01.aspx?&amp;lu_id=3692&amp;doc_yr=2016&amp;doc_code=AUD" TargetMode="External"/><Relationship Id="rId1519" Type="http://schemas.openxmlformats.org/officeDocument/2006/relationships/hyperlink" Target="https://treas-secure.state.mi.us/LAFDocSearch/tl41R01.aspx?&amp;lu_id=2944&amp;doc_yr=2016&amp;doc_code=AUD" TargetMode="External"/><Relationship Id="rId1726" Type="http://schemas.openxmlformats.org/officeDocument/2006/relationships/hyperlink" Target="https://treas-secure.state.mi.us/LAFDocSearch/tl41R01.aspx?&amp;lu_id=3489&amp;doc_yr=2016&amp;doc_code=AUD" TargetMode="External"/><Relationship Id="rId1933" Type="http://schemas.openxmlformats.org/officeDocument/2006/relationships/hyperlink" Target="https://treas-secure.state.mi.us/LAFDocSearch/tl41R01.aspx?&amp;lu_id=3786&amp;doc_yr=2016&amp;doc_code=AUD" TargetMode="External"/><Relationship Id="rId18" Type="http://schemas.openxmlformats.org/officeDocument/2006/relationships/hyperlink" Target="https://treas-secure.state.mi.us/LAFDocSearch/tl41R01.aspx?&amp;lu_id=27&amp;doc_yr=2016&amp;doc_code=AUD" TargetMode="External"/><Relationship Id="rId2195" Type="http://schemas.openxmlformats.org/officeDocument/2006/relationships/hyperlink" Target="https://treas-secure.state.mi.us/LAFDocSearch/tl41R01.aspx?&amp;lu_id=4429&amp;doc_yr=2016&amp;doc_code=AUD" TargetMode="External"/><Relationship Id="rId167" Type="http://schemas.openxmlformats.org/officeDocument/2006/relationships/hyperlink" Target="https://treas-secure.state.mi.us/LAFDocSearch/tl41R01.aspx?&amp;lu_id=305&amp;doc_yr=2016&amp;doc_code=AUD" TargetMode="External"/><Relationship Id="rId374" Type="http://schemas.openxmlformats.org/officeDocument/2006/relationships/hyperlink" Target="https://treas-secure.state.mi.us/LAFDocSearch/tl41R01.aspx?&amp;lu_id=604&amp;doc_yr=2016&amp;doc_code=AUD" TargetMode="External"/><Relationship Id="rId581" Type="http://schemas.openxmlformats.org/officeDocument/2006/relationships/hyperlink" Target="https://treas-secure.state.mi.us/LAFDocSearch/tl41R01.aspx?&amp;lu_id=1004&amp;doc_yr=2016&amp;doc_code=AUD" TargetMode="External"/><Relationship Id="rId2055" Type="http://schemas.openxmlformats.org/officeDocument/2006/relationships/hyperlink" Target="https://treas-secure.state.mi.us/LAFDocSearch/tl41R01.aspx?&amp;lu_id=4231&amp;doc_yr=2016&amp;doc_code=AUD" TargetMode="External"/><Relationship Id="rId2262" Type="http://schemas.openxmlformats.org/officeDocument/2006/relationships/hyperlink" Target="https://treas-secure.state.mi.us/LAFDocSearch/tl41R01.aspx?&amp;lu_id=4635&amp;doc_yr=2016&amp;doc_code=AUD" TargetMode="External"/><Relationship Id="rId234" Type="http://schemas.openxmlformats.org/officeDocument/2006/relationships/hyperlink" Target="https://treas-secure.state.mi.us/LAFDocSearch/tl41R01.aspx?&amp;lu_id=413&amp;doc_yr=2016&amp;doc_code=AUD" TargetMode="External"/><Relationship Id="rId679" Type="http://schemas.openxmlformats.org/officeDocument/2006/relationships/hyperlink" Target="https://treas-secure.state.mi.us/LAFDocSearch/tl41R01.aspx?&amp;lu_id=1292&amp;doc_yr=2016&amp;doc_code=AUD" TargetMode="External"/><Relationship Id="rId886" Type="http://schemas.openxmlformats.org/officeDocument/2006/relationships/hyperlink" Target="https://treas-secure.state.mi.us/LAFDocSearch/tl41R01.aspx?&amp;lu_id=1698&amp;doc_yr=2016&amp;doc_code=AUD" TargetMode="External"/><Relationship Id="rId2567" Type="http://schemas.openxmlformats.org/officeDocument/2006/relationships/hyperlink" Target="https://treas-secure.state.mi.us/LAFDocSearch/tl41R01.aspx?&amp;lu_id=5260&amp;doc_yr=2016&amp;doc_code=AUD" TargetMode="External"/><Relationship Id="rId2774" Type="http://schemas.openxmlformats.org/officeDocument/2006/relationships/hyperlink" Target="https://treas-secure.state.mi.us/LAFDocSearch/tl41R01.aspx?&amp;lu_id=5893&amp;doc_yr=2016&amp;doc_code=AUD" TargetMode="External"/><Relationship Id="rId2" Type="http://schemas.openxmlformats.org/officeDocument/2006/relationships/hyperlink" Target="https://treas-secure.state.mi.us/LAFDocSearch/tl41R01.aspx?&amp;lu_id=3&amp;doc_yr=2016&amp;doc_code=AUD" TargetMode="External"/><Relationship Id="rId441" Type="http://schemas.openxmlformats.org/officeDocument/2006/relationships/hyperlink" Target="https://treas-secure.state.mi.us/LAFDocSearch/tl41R01.aspx?&amp;lu_id=758&amp;doc_yr=2016&amp;doc_code=AUD" TargetMode="External"/><Relationship Id="rId539" Type="http://schemas.openxmlformats.org/officeDocument/2006/relationships/hyperlink" Target="https://treas-secure.state.mi.us/LAFDocSearch/tl41R01.aspx?&amp;lu_id=7856&amp;doc_yr=2016&amp;doc_code=AUD" TargetMode="External"/><Relationship Id="rId746" Type="http://schemas.openxmlformats.org/officeDocument/2006/relationships/hyperlink" Target="https://treas-secure.state.mi.us/LAFDocSearch/tl41R01.aspx?&amp;lu_id=1339&amp;doc_yr=2016&amp;doc_code=AUD" TargetMode="External"/><Relationship Id="rId1071" Type="http://schemas.openxmlformats.org/officeDocument/2006/relationships/hyperlink" Target="https://treas-secure.state.mi.us/LAFDocSearch/tl41R01.aspx?&amp;lu_id=2117&amp;doc_yr=2016&amp;doc_code=AUD" TargetMode="External"/><Relationship Id="rId1169" Type="http://schemas.openxmlformats.org/officeDocument/2006/relationships/hyperlink" Target="https://treas-secure.state.mi.us/LAFDocSearch/tl41R01.aspx?&amp;lu_id=2323&amp;doc_yr=2016&amp;doc_code=AUD" TargetMode="External"/><Relationship Id="rId1376" Type="http://schemas.openxmlformats.org/officeDocument/2006/relationships/hyperlink" Target="https://treas-secure.state.mi.us/LAFDocSearch/tl41R01.aspx?&amp;lu_id=2687&amp;doc_yr=2016&amp;doc_code=AUD" TargetMode="External"/><Relationship Id="rId1583" Type="http://schemas.openxmlformats.org/officeDocument/2006/relationships/hyperlink" Target="https://treas-secure.state.mi.us/LAFDocSearch/tl41R01.aspx?&amp;lu_id=3144&amp;doc_yr=2016&amp;doc_code=AUD" TargetMode="External"/><Relationship Id="rId2122" Type="http://schemas.openxmlformats.org/officeDocument/2006/relationships/hyperlink" Target="https://treas-secure.state.mi.us/LAFDocSearch/tl41R01.aspx?&amp;lu_id=4325&amp;doc_yr=2016&amp;doc_code=AUD" TargetMode="External"/><Relationship Id="rId2427" Type="http://schemas.openxmlformats.org/officeDocument/2006/relationships/hyperlink" Target="https://treas-secure.state.mi.us/LAFDocSearch/tl41R01.aspx?&amp;lu_id=4935&amp;doc_yr=2016&amp;doc_code=AUD" TargetMode="External"/><Relationship Id="rId301" Type="http://schemas.openxmlformats.org/officeDocument/2006/relationships/hyperlink" Target="https://treas-secure.state.mi.us/LAFDocSearch/tl41R01.aspx?&amp;lu_id=545&amp;doc_yr=2016&amp;doc_code=AUD" TargetMode="External"/><Relationship Id="rId953" Type="http://schemas.openxmlformats.org/officeDocument/2006/relationships/hyperlink" Target="https://treas-secure.state.mi.us/LAFDocSearch/tl41R01.aspx?&amp;lu_id=1782&amp;doc_yr=2016&amp;doc_code=AUD" TargetMode="External"/><Relationship Id="rId1029" Type="http://schemas.openxmlformats.org/officeDocument/2006/relationships/hyperlink" Target="https://treas-secure.state.mi.us/LAFDocSearch/tl41R01.aspx?&amp;lu_id=2017&amp;doc_yr=2016&amp;doc_code=AUD" TargetMode="External"/><Relationship Id="rId1236" Type="http://schemas.openxmlformats.org/officeDocument/2006/relationships/hyperlink" Target="https://treas-secure.state.mi.us/LAFDocSearch/tl41R01.aspx?&amp;lu_id=2365&amp;doc_yr=2016&amp;doc_code=AUD" TargetMode="External"/><Relationship Id="rId1790" Type="http://schemas.openxmlformats.org/officeDocument/2006/relationships/hyperlink" Target="https://treas-secure.state.mi.us/LAFDocSearch/tl41R01.aspx?&amp;lu_id=3542&amp;doc_yr=2016&amp;doc_code=AUD" TargetMode="External"/><Relationship Id="rId1888" Type="http://schemas.openxmlformats.org/officeDocument/2006/relationships/hyperlink" Target="https://treas-secure.state.mi.us/LAFDocSearch/tl41R01.aspx?&amp;lu_id=3706&amp;doc_yr=2016&amp;doc_code=AUD" TargetMode="External"/><Relationship Id="rId2634" Type="http://schemas.openxmlformats.org/officeDocument/2006/relationships/hyperlink" Target="https://treas-secure.state.mi.us/LAFDocSearch/tl41R01.aspx?&amp;lu_id=5375&amp;doc_yr=2016&amp;doc_code=AUD" TargetMode="External"/><Relationship Id="rId82" Type="http://schemas.openxmlformats.org/officeDocument/2006/relationships/hyperlink" Target="https://treas-secure.state.mi.us/LAFDocSearch/tl41R01.aspx?&amp;lu_id=150&amp;doc_yr=2016&amp;doc_code=AUD" TargetMode="External"/><Relationship Id="rId606" Type="http://schemas.openxmlformats.org/officeDocument/2006/relationships/hyperlink" Target="https://treas-secure.state.mi.us/LAFDocSearch/tl41R01.aspx?&amp;lu_id=6088&amp;doc_yr=2016&amp;doc_code=AUD" TargetMode="External"/><Relationship Id="rId813" Type="http://schemas.openxmlformats.org/officeDocument/2006/relationships/hyperlink" Target="https://treas-secure.state.mi.us/LAFDocSearch/tl41R01.aspx?&amp;lu_id=1545&amp;doc_yr=2016&amp;doc_code=AUD" TargetMode="External"/><Relationship Id="rId1443" Type="http://schemas.openxmlformats.org/officeDocument/2006/relationships/hyperlink" Target="https://treas-secure.state.mi.us/LAFDocSearch/tl41R01.aspx?&amp;lu_id=2812&amp;doc_yr=2016&amp;doc_code=AUD" TargetMode="External"/><Relationship Id="rId1650" Type="http://schemas.openxmlformats.org/officeDocument/2006/relationships/hyperlink" Target="https://treas-secure.state.mi.us/LAFDocSearch/tl41R01.aspx?&amp;lu_id=3260&amp;doc_yr=2016&amp;doc_code=AUD" TargetMode="External"/><Relationship Id="rId1748" Type="http://schemas.openxmlformats.org/officeDocument/2006/relationships/hyperlink" Target="https://treas-secure.state.mi.us/LAFDocSearch/tl41R01.aspx?&amp;lu_id=3486&amp;doc_yr=2016&amp;doc_code=AUD" TargetMode="External"/><Relationship Id="rId2701" Type="http://schemas.openxmlformats.org/officeDocument/2006/relationships/hyperlink" Target="https://treas-secure.state.mi.us/LAFDocSearch/tl41R01.aspx?&amp;lu_id=5436&amp;doc_yr=2016&amp;doc_code=AUD" TargetMode="External"/><Relationship Id="rId1303" Type="http://schemas.openxmlformats.org/officeDocument/2006/relationships/hyperlink" Target="https://treas-secure.state.mi.us/LAFDocSearch/tl41R01.aspx?&amp;lu_id=2463&amp;doc_yr=2016&amp;doc_code=AUD" TargetMode="External"/><Relationship Id="rId1510" Type="http://schemas.openxmlformats.org/officeDocument/2006/relationships/hyperlink" Target="https://treas-secure.state.mi.us/LAFDocSearch/tl41R01.aspx?&amp;lu_id=2934&amp;doc_yr=2016&amp;doc_code=AUD" TargetMode="External"/><Relationship Id="rId1955" Type="http://schemas.openxmlformats.org/officeDocument/2006/relationships/hyperlink" Target="https://treas-secure.state.mi.us/LAFDocSearch/tl41R01.aspx?&amp;lu_id=3830&amp;doc_yr=2016&amp;doc_code=AUD" TargetMode="External"/><Relationship Id="rId1608" Type="http://schemas.openxmlformats.org/officeDocument/2006/relationships/hyperlink" Target="https://treas-secure.state.mi.us/LAFDocSearch/tl41R01.aspx?&amp;lu_id=3233&amp;doc_yr=2016&amp;doc_code=AUD" TargetMode="External"/><Relationship Id="rId1815" Type="http://schemas.openxmlformats.org/officeDocument/2006/relationships/hyperlink" Target="https://treas-secure.state.mi.us/LAFDocSearch/tl41R01.aspx?&amp;lu_id=3598&amp;doc_yr=2016&amp;doc_code=AUD" TargetMode="External"/><Relationship Id="rId189" Type="http://schemas.openxmlformats.org/officeDocument/2006/relationships/hyperlink" Target="https://treas-secure.state.mi.us/LAFDocSearch/tl41R01.aspx?&amp;lu_id=289&amp;doc_yr=2016&amp;doc_code=AUD" TargetMode="External"/><Relationship Id="rId396" Type="http://schemas.openxmlformats.org/officeDocument/2006/relationships/hyperlink" Target="https://treas-secure.state.mi.us/LAFDocSearch/tl41R01.aspx?&amp;lu_id=626&amp;doc_yr=2016&amp;doc_code=AUD" TargetMode="External"/><Relationship Id="rId2077" Type="http://schemas.openxmlformats.org/officeDocument/2006/relationships/hyperlink" Target="https://treas-secure.state.mi.us/LAFDocSearch/tl41R01.aspx?&amp;lu_id=4272&amp;doc_yr=2016&amp;doc_code=AUD" TargetMode="External"/><Relationship Id="rId2284" Type="http://schemas.openxmlformats.org/officeDocument/2006/relationships/hyperlink" Target="https://treas-secure.state.mi.us/LAFDocSearch/tl41R01.aspx?&amp;lu_id=4575&amp;doc_yr=2016&amp;doc_code=AUD" TargetMode="External"/><Relationship Id="rId2491" Type="http://schemas.openxmlformats.org/officeDocument/2006/relationships/hyperlink" Target="https://treas-secure.state.mi.us/LAFDocSearch/tl41R01.aspx?&amp;lu_id=5099&amp;doc_yr=2016&amp;doc_code=AUD" TargetMode="External"/><Relationship Id="rId256" Type="http://schemas.openxmlformats.org/officeDocument/2006/relationships/hyperlink" Target="https://treas-secure.state.mi.us/LAFDocSearch/tl41R01.aspx?&amp;lu_id=503&amp;doc_yr=2016&amp;doc_code=AUD" TargetMode="External"/><Relationship Id="rId463" Type="http://schemas.openxmlformats.org/officeDocument/2006/relationships/hyperlink" Target="https://treas-secure.state.mi.us/LAFDocSearch/tl41R01.aspx?&amp;lu_id=756&amp;doc_yr=2016&amp;doc_code=AUD" TargetMode="External"/><Relationship Id="rId670" Type="http://schemas.openxmlformats.org/officeDocument/2006/relationships/hyperlink" Target="https://treas-secure.state.mi.us/LAFDocSearch/tl41R01.aspx?&amp;lu_id=1276&amp;doc_yr=2016&amp;doc_code=AUD" TargetMode="External"/><Relationship Id="rId1093" Type="http://schemas.openxmlformats.org/officeDocument/2006/relationships/hyperlink" Target="https://treas-secure.state.mi.us/LAFDocSearch/tl41R01.aspx?&amp;lu_id=2166&amp;doc_yr=2016&amp;doc_code=AUD" TargetMode="External"/><Relationship Id="rId2144" Type="http://schemas.openxmlformats.org/officeDocument/2006/relationships/hyperlink" Target="https://treas-secure.state.mi.us/LAFDocSearch/tl41R01.aspx?&amp;lu_id=4389&amp;doc_yr=2016&amp;doc_code=AUD" TargetMode="External"/><Relationship Id="rId2351" Type="http://schemas.openxmlformats.org/officeDocument/2006/relationships/hyperlink" Target="https://treas-secure.state.mi.us/LAFDocSearch/tl41R01.aspx?&amp;lu_id=4859&amp;doc_yr=2016&amp;doc_code=AUD" TargetMode="External"/><Relationship Id="rId2589" Type="http://schemas.openxmlformats.org/officeDocument/2006/relationships/hyperlink" Target="https://treas-secure.state.mi.us/LAFDocSearch/tl41R01.aspx?&amp;lu_id=5385&amp;doc_yr=2016&amp;doc_code=AUD" TargetMode="External"/><Relationship Id="rId2796" Type="http://schemas.openxmlformats.org/officeDocument/2006/relationships/hyperlink" Target="https://treas-secure.state.mi.us/LAFDocSearch/tl41R01.aspx?&amp;lu_id=5876&amp;doc_yr=2016&amp;doc_code=AUD" TargetMode="External"/><Relationship Id="rId116" Type="http://schemas.openxmlformats.org/officeDocument/2006/relationships/hyperlink" Target="https://treas-secure.state.mi.us/LAFDocSearch/tl41R01.aspx?&amp;lu_id=173&amp;doc_yr=2016&amp;doc_code=AUD" TargetMode="External"/><Relationship Id="rId323" Type="http://schemas.openxmlformats.org/officeDocument/2006/relationships/hyperlink" Target="https://treas-secure.state.mi.us/LAFDocSearch/tl41R01.aspx?&amp;lu_id=448&amp;doc_yr=2016&amp;doc_code=AUD" TargetMode="External"/><Relationship Id="rId530" Type="http://schemas.openxmlformats.org/officeDocument/2006/relationships/hyperlink" Target="https://treas-secure.state.mi.us/LAFDocSearch/tl41R01.aspx?&amp;lu_id=897&amp;doc_yr=2016&amp;doc_code=AUD" TargetMode="External"/><Relationship Id="rId768" Type="http://schemas.openxmlformats.org/officeDocument/2006/relationships/hyperlink" Target="https://treas-secure.state.mi.us/LAFDocSearch/tl41R01.aspx?&amp;lu_id=1496&amp;doc_yr=2016&amp;doc_code=AUD" TargetMode="External"/><Relationship Id="rId975" Type="http://schemas.openxmlformats.org/officeDocument/2006/relationships/hyperlink" Target="https://treas-secure.state.mi.us/LAFDocSearch/tl41R01.aspx?&amp;lu_id=1806&amp;doc_yr=2016&amp;doc_code=AUD" TargetMode="External"/><Relationship Id="rId1160" Type="http://schemas.openxmlformats.org/officeDocument/2006/relationships/hyperlink" Target="https://treas-secure.state.mi.us/LAFDocSearch/tl41R01.aspx?&amp;lu_id=2272&amp;doc_yr=2016&amp;doc_code=AUD" TargetMode="External"/><Relationship Id="rId1398" Type="http://schemas.openxmlformats.org/officeDocument/2006/relationships/hyperlink" Target="https://treas-secure.state.mi.us/LAFDocSearch/tl41R01.aspx?&amp;lu_id=2653&amp;doc_yr=2016&amp;doc_code=AUD" TargetMode="External"/><Relationship Id="rId2004" Type="http://schemas.openxmlformats.org/officeDocument/2006/relationships/hyperlink" Target="https://treas-secure.state.mi.us/LAFDocSearch/tl41R01.aspx?&amp;lu_id=4185&amp;doc_yr=2016&amp;doc_code=AUD" TargetMode="External"/><Relationship Id="rId2211" Type="http://schemas.openxmlformats.org/officeDocument/2006/relationships/hyperlink" Target="https://treas-secure.state.mi.us/LAFDocSearch/tl41R01.aspx?&amp;lu_id=4539&amp;doc_yr=2016&amp;doc_code=AUD" TargetMode="External"/><Relationship Id="rId2449" Type="http://schemas.openxmlformats.org/officeDocument/2006/relationships/hyperlink" Target="https://treas-secure.state.mi.us/LAFDocSearch/tl41R01.aspx?&amp;lu_id=5031&amp;doc_yr=2016&amp;doc_code=AUD" TargetMode="External"/><Relationship Id="rId2656" Type="http://schemas.openxmlformats.org/officeDocument/2006/relationships/hyperlink" Target="https://treas-secure.state.mi.us/LAFDocSearch/tl41R01.aspx?&amp;lu_id=5790&amp;doc_yr=2016&amp;doc_code=AUD" TargetMode="External"/><Relationship Id="rId628" Type="http://schemas.openxmlformats.org/officeDocument/2006/relationships/hyperlink" Target="https://treas-secure.state.mi.us/LAFDocSearch/tl41R01.aspx?&amp;lu_id=1057&amp;doc_yr=2016&amp;doc_code=AUD" TargetMode="External"/><Relationship Id="rId835" Type="http://schemas.openxmlformats.org/officeDocument/2006/relationships/hyperlink" Target="https://treas-secure.state.mi.us/LAFDocSearch/tl41R01.aspx?&amp;lu_id=1580&amp;doc_yr=2016&amp;doc_code=AUD" TargetMode="External"/><Relationship Id="rId1258" Type="http://schemas.openxmlformats.org/officeDocument/2006/relationships/hyperlink" Target="https://treas-secure.state.mi.us/LAFDocSearch/tl41R01.aspx?&amp;lu_id=2433&amp;doc_yr=2016&amp;doc_code=AUD" TargetMode="External"/><Relationship Id="rId1465" Type="http://schemas.openxmlformats.org/officeDocument/2006/relationships/hyperlink" Target="https://treas-secure.state.mi.us/LAFDocSearch/tl41R01.aspx?&amp;lu_id=2843&amp;doc_yr=2016&amp;doc_code=AUD" TargetMode="External"/><Relationship Id="rId1672" Type="http://schemas.openxmlformats.org/officeDocument/2006/relationships/hyperlink" Target="https://treas-secure.state.mi.us/LAFDocSearch/tl41R01.aspx?&amp;lu_id=6007&amp;doc_yr=2016&amp;doc_code=AUD" TargetMode="External"/><Relationship Id="rId2309" Type="http://schemas.openxmlformats.org/officeDocument/2006/relationships/hyperlink" Target="https://treas-secure.state.mi.us/LAFDocSearch/tl41R01.aspx?&amp;lu_id=4726&amp;doc_yr=2016&amp;doc_code=AUD" TargetMode="External"/><Relationship Id="rId2516" Type="http://schemas.openxmlformats.org/officeDocument/2006/relationships/hyperlink" Target="https://treas-secure.state.mi.us/LAFDocSearch/tl41R01.aspx?&amp;lu_id=5156&amp;doc_yr=2016&amp;doc_code=AUD" TargetMode="External"/><Relationship Id="rId2723" Type="http://schemas.openxmlformats.org/officeDocument/2006/relationships/hyperlink" Target="https://treas-secure.state.mi.us/LAFDocSearch/tl41R01.aspx?&amp;lu_id=5422&amp;doc_yr=2016&amp;doc_code=AUD" TargetMode="External"/><Relationship Id="rId1020" Type="http://schemas.openxmlformats.org/officeDocument/2006/relationships/hyperlink" Target="https://treas-secure.state.mi.us/LAFDocSearch/tl41R01.aspx?&amp;lu_id=2012&amp;doc_yr=2016&amp;doc_code=AUD" TargetMode="External"/><Relationship Id="rId1118" Type="http://schemas.openxmlformats.org/officeDocument/2006/relationships/hyperlink" Target="https://treas-secure.state.mi.us/LAFDocSearch/tl41R01.aspx?&amp;lu_id=2199&amp;doc_yr=2016&amp;doc_code=AUD" TargetMode="External"/><Relationship Id="rId1325" Type="http://schemas.openxmlformats.org/officeDocument/2006/relationships/hyperlink" Target="https://treas-secure.state.mi.us/LAFDocSearch/tl41R01.aspx?&amp;lu_id=2466&amp;doc_yr=2016&amp;doc_code=AUD" TargetMode="External"/><Relationship Id="rId1532" Type="http://schemas.openxmlformats.org/officeDocument/2006/relationships/hyperlink" Target="https://treas-secure.state.mi.us/LAFDocSearch/tl41R01.aspx?&amp;lu_id=3150&amp;doc_yr=2016&amp;doc_code=AUD" TargetMode="External"/><Relationship Id="rId1977" Type="http://schemas.openxmlformats.org/officeDocument/2006/relationships/hyperlink" Target="https://treas-secure.state.mi.us/LAFDocSearch/tl41R01.aspx?&amp;lu_id=3881&amp;doc_yr=2016&amp;doc_code=AUD" TargetMode="External"/><Relationship Id="rId902" Type="http://schemas.openxmlformats.org/officeDocument/2006/relationships/hyperlink" Target="https://treas-secure.state.mi.us/LAFDocSearch/tl41R01.aspx?&amp;lu_id=1736&amp;doc_yr=2016&amp;doc_code=AUD" TargetMode="External"/><Relationship Id="rId1837" Type="http://schemas.openxmlformats.org/officeDocument/2006/relationships/hyperlink" Target="https://treas-secure.state.mi.us/LAFDocSearch/tl41R01.aspx?&amp;lu_id=3594&amp;doc_yr=2016&amp;doc_code=AUD" TargetMode="External"/><Relationship Id="rId31" Type="http://schemas.openxmlformats.org/officeDocument/2006/relationships/hyperlink" Target="https://treas-secure.state.mi.us/LAFDocSearch/tl41R01.aspx?&amp;lu_id=124&amp;doc_yr=2016&amp;doc_code=AUD" TargetMode="External"/><Relationship Id="rId2099" Type="http://schemas.openxmlformats.org/officeDocument/2006/relationships/hyperlink" Target="https://treas-secure.state.mi.us/LAFDocSearch/tl41R01.aspx?&amp;lu_id=4306&amp;doc_yr=2016&amp;doc_code=AUD" TargetMode="External"/><Relationship Id="rId180" Type="http://schemas.openxmlformats.org/officeDocument/2006/relationships/hyperlink" Target="https://treas-secure.state.mi.us/LAFDocSearch/tl41R01.aspx?&amp;lu_id=284&amp;doc_yr=2016&amp;doc_code=AUD" TargetMode="External"/><Relationship Id="rId278" Type="http://schemas.openxmlformats.org/officeDocument/2006/relationships/hyperlink" Target="https://treas-secure.state.mi.us/LAFDocSearch/tl41R01.aspx?&amp;lu_id=452&amp;doc_yr=2016&amp;doc_code=AUD" TargetMode="External"/><Relationship Id="rId1904" Type="http://schemas.openxmlformats.org/officeDocument/2006/relationships/hyperlink" Target="https://treas-secure.state.mi.us/LAFDocSearch/tl41R01.aspx?&amp;lu_id=3765&amp;doc_yr=2016&amp;doc_code=AUD" TargetMode="External"/><Relationship Id="rId485" Type="http://schemas.openxmlformats.org/officeDocument/2006/relationships/hyperlink" Target="https://treas-secure.state.mi.us/LAFDocSearch/tl41R01.aspx?&amp;lu_id=807&amp;doc_yr=2016&amp;doc_code=AUD" TargetMode="External"/><Relationship Id="rId692" Type="http://schemas.openxmlformats.org/officeDocument/2006/relationships/hyperlink" Target="https://treas-secure.state.mi.us/LAFDocSearch/tl41R01.aspx?&amp;lu_id=1295&amp;doc_yr=2016&amp;doc_code=AUD" TargetMode="External"/><Relationship Id="rId2166" Type="http://schemas.openxmlformats.org/officeDocument/2006/relationships/hyperlink" Target="https://treas-secure.state.mi.us/LAFDocSearch/tl41R01.aspx?&amp;lu_id=4435&amp;doc_yr=2016&amp;doc_code=AUD" TargetMode="External"/><Relationship Id="rId2373" Type="http://schemas.openxmlformats.org/officeDocument/2006/relationships/hyperlink" Target="https://treas-secure.state.mi.us/LAFDocSearch/tl41R01.aspx?&amp;lu_id=4853&amp;doc_yr=2016&amp;doc_code=AUD" TargetMode="External"/><Relationship Id="rId2580" Type="http://schemas.openxmlformats.org/officeDocument/2006/relationships/hyperlink" Target="https://treas-secure.state.mi.us/LAFDocSearch/tl41R01.aspx?&amp;lu_id=5393&amp;doc_yr=2016&amp;doc_code=AUD" TargetMode="External"/><Relationship Id="rId138" Type="http://schemas.openxmlformats.org/officeDocument/2006/relationships/hyperlink" Target="https://treas-secure.state.mi.us/LAFDocSearch/tl41R01.aspx?&amp;lu_id=221&amp;doc_yr=2016&amp;doc_code=AUD" TargetMode="External"/><Relationship Id="rId345" Type="http://schemas.openxmlformats.org/officeDocument/2006/relationships/hyperlink" Target="https://treas-secure.state.mi.us/LAFDocSearch/tl41R01.aspx?&amp;lu_id=571&amp;doc_yr=2016&amp;doc_code=AUD" TargetMode="External"/><Relationship Id="rId552" Type="http://schemas.openxmlformats.org/officeDocument/2006/relationships/hyperlink" Target="https://treas-secure.state.mi.us/LAFDocSearch/tl41R01.aspx?&amp;lu_id=987&amp;doc_yr=2016&amp;doc_code=AUD" TargetMode="External"/><Relationship Id="rId997" Type="http://schemas.openxmlformats.org/officeDocument/2006/relationships/hyperlink" Target="https://treas-secure.state.mi.us/LAFDocSearch/tl41R01.aspx?&amp;lu_id=2024&amp;doc_yr=2016&amp;doc_code=AUD" TargetMode="External"/><Relationship Id="rId1182" Type="http://schemas.openxmlformats.org/officeDocument/2006/relationships/hyperlink" Target="https://treas-secure.state.mi.us/LAFDocSearch/tl41R01.aspx?&amp;lu_id=2332&amp;doc_yr=2016&amp;doc_code=AUD" TargetMode="External"/><Relationship Id="rId2026" Type="http://schemas.openxmlformats.org/officeDocument/2006/relationships/hyperlink" Target="https://treas-secure.state.mi.us/LAFDocSearch/tl41R01.aspx?&amp;lu_id=4143&amp;doc_yr=2016&amp;doc_code=AUD" TargetMode="External"/><Relationship Id="rId2233" Type="http://schemas.openxmlformats.org/officeDocument/2006/relationships/hyperlink" Target="https://treas-secure.state.mi.us/LAFDocSearch/tl41R01.aspx?&amp;lu_id=4571&amp;doc_yr=2016&amp;doc_code=AUD" TargetMode="External"/><Relationship Id="rId2440" Type="http://schemas.openxmlformats.org/officeDocument/2006/relationships/hyperlink" Target="https://treas-secure.state.mi.us/LAFDocSearch/tl41R01.aspx?&amp;lu_id=5010&amp;doc_yr=2016&amp;doc_code=AUD" TargetMode="External"/><Relationship Id="rId2678" Type="http://schemas.openxmlformats.org/officeDocument/2006/relationships/hyperlink" Target="https://treas-secure.state.mi.us/LAFDocSearch/tl41R01.aspx?&amp;lu_id=5770&amp;doc_yr=2016&amp;doc_code=AUD" TargetMode="External"/><Relationship Id="rId205" Type="http://schemas.openxmlformats.org/officeDocument/2006/relationships/hyperlink" Target="https://treas-secure.state.mi.us/LAFDocSearch/tl41R01.aspx?&amp;lu_id=381&amp;doc_yr=2016&amp;doc_code=AUD" TargetMode="External"/><Relationship Id="rId412" Type="http://schemas.openxmlformats.org/officeDocument/2006/relationships/hyperlink" Target="https://treas-secure.state.mi.us/LAFDocSearch/tl41R01.aspx?&amp;lu_id=724&amp;doc_yr=2016&amp;doc_code=AUD" TargetMode="External"/><Relationship Id="rId857" Type="http://schemas.openxmlformats.org/officeDocument/2006/relationships/hyperlink" Target="https://treas-secure.state.mi.us/LAFDocSearch/tl41R01.aspx?&amp;lu_id=1616&amp;doc_yr=2016&amp;doc_code=AUD" TargetMode="External"/><Relationship Id="rId1042" Type="http://schemas.openxmlformats.org/officeDocument/2006/relationships/hyperlink" Target="https://treas-secure.state.mi.us/LAFDocSearch/tl41R01.aspx?&amp;lu_id=2112&amp;doc_yr=2016&amp;doc_code=AUD" TargetMode="External"/><Relationship Id="rId1487" Type="http://schemas.openxmlformats.org/officeDocument/2006/relationships/hyperlink" Target="https://treas-secure.state.mi.us/LAFDocSearch/tl41R01.aspx?&amp;lu_id=2836&amp;doc_yr=2016&amp;doc_code=AUD" TargetMode="External"/><Relationship Id="rId1694" Type="http://schemas.openxmlformats.org/officeDocument/2006/relationships/hyperlink" Target="https://treas-secure.state.mi.us/LAFDocSearch/tl41R01.aspx?&amp;lu_id=3376&amp;doc_yr=2016&amp;doc_code=AUD" TargetMode="External"/><Relationship Id="rId2300" Type="http://schemas.openxmlformats.org/officeDocument/2006/relationships/hyperlink" Target="https://treas-secure.state.mi.us/LAFDocSearch/tl41R01.aspx?&amp;lu_id=4600&amp;doc_yr=2016&amp;doc_code=AUD" TargetMode="External"/><Relationship Id="rId2538" Type="http://schemas.openxmlformats.org/officeDocument/2006/relationships/hyperlink" Target="https://treas-secure.state.mi.us/LAFDocSearch/tl41R01.aspx?&amp;lu_id=5244&amp;doc_yr=2016&amp;doc_code=AUD" TargetMode="External"/><Relationship Id="rId2745" Type="http://schemas.openxmlformats.org/officeDocument/2006/relationships/hyperlink" Target="https://treas-secure.state.mi.us/LAFDocSearch/tl41R01.aspx?&amp;lu_id=5736&amp;doc_yr=2016&amp;doc_code=AUD" TargetMode="External"/><Relationship Id="rId717" Type="http://schemas.openxmlformats.org/officeDocument/2006/relationships/hyperlink" Target="https://treas-secure.state.mi.us/LAFDocSearch/tl41R01.aspx?&amp;lu_id=1438&amp;doc_yr=2016&amp;doc_code=AUD" TargetMode="External"/><Relationship Id="rId924" Type="http://schemas.openxmlformats.org/officeDocument/2006/relationships/hyperlink" Target="https://treas-secure.state.mi.us/LAFDocSearch/tl41R01.aspx?&amp;lu_id=1775&amp;doc_yr=2016&amp;doc_code=AUD" TargetMode="External"/><Relationship Id="rId1347" Type="http://schemas.openxmlformats.org/officeDocument/2006/relationships/hyperlink" Target="https://treas-secure.state.mi.us/LAFDocSearch/tl41R01.aspx?&amp;lu_id=2632&amp;doc_yr=2016&amp;doc_code=AUD" TargetMode="External"/><Relationship Id="rId1554" Type="http://schemas.openxmlformats.org/officeDocument/2006/relationships/hyperlink" Target="https://treas-secure.state.mi.us/LAFDocSearch/tl41R01.aspx?&amp;lu_id=3183&amp;doc_yr=2016&amp;doc_code=AUD" TargetMode="External"/><Relationship Id="rId1761" Type="http://schemas.openxmlformats.org/officeDocument/2006/relationships/hyperlink" Target="https://treas-secure.state.mi.us/LAFDocSearch/tl41R01.aspx?&amp;lu_id=3491&amp;doc_yr=2016&amp;doc_code=AUD" TargetMode="External"/><Relationship Id="rId1999" Type="http://schemas.openxmlformats.org/officeDocument/2006/relationships/hyperlink" Target="https://treas-secure.state.mi.us/LAFDocSearch/tl41R01.aspx?&amp;lu_id=3827&amp;doc_yr=2016&amp;doc_code=AUD" TargetMode="External"/><Relationship Id="rId2605" Type="http://schemas.openxmlformats.org/officeDocument/2006/relationships/hyperlink" Target="https://treas-secure.state.mi.us/LAFDocSearch/tl41R01.aspx?&amp;lu_id=5409&amp;doc_yr=2016&amp;doc_code=AUD" TargetMode="External"/><Relationship Id="rId53" Type="http://schemas.openxmlformats.org/officeDocument/2006/relationships/hyperlink" Target="https://treas-secure.state.mi.us/LAFDocSearch/tl41R01.aspx?&amp;lu_id=133&amp;doc_yr=2016&amp;doc_code=AUD" TargetMode="External"/><Relationship Id="rId1207" Type="http://schemas.openxmlformats.org/officeDocument/2006/relationships/hyperlink" Target="https://treas-secure.state.mi.us/LAFDocSearch/tl41R01.aspx?&amp;lu_id=2367&amp;doc_yr=2016&amp;doc_code=AUD" TargetMode="External"/><Relationship Id="rId1414" Type="http://schemas.openxmlformats.org/officeDocument/2006/relationships/hyperlink" Target="https://treas-secure.state.mi.us/LAFDocSearch/tl41R01.aspx?&amp;lu_id=2712&amp;doc_yr=2016&amp;doc_code=AUD" TargetMode="External"/><Relationship Id="rId1621" Type="http://schemas.openxmlformats.org/officeDocument/2006/relationships/hyperlink" Target="https://treas-secure.state.mi.us/LAFDocSearch/tl41R01.aspx?&amp;lu_id=3249&amp;doc_yr=2016&amp;doc_code=AUD" TargetMode="External"/><Relationship Id="rId1859" Type="http://schemas.openxmlformats.org/officeDocument/2006/relationships/hyperlink" Target="https://treas-secure.state.mi.us/LAFDocSearch/tl41R01.aspx?&amp;lu_id=3674&amp;doc_yr=2016&amp;doc_code=AUD" TargetMode="External"/><Relationship Id="rId1719" Type="http://schemas.openxmlformats.org/officeDocument/2006/relationships/hyperlink" Target="https://treas-secure.state.mi.us/LAFDocSearch/tl41R01.aspx?&amp;lu_id=3439&amp;doc_yr=2016&amp;doc_code=AUD" TargetMode="External"/><Relationship Id="rId1926" Type="http://schemas.openxmlformats.org/officeDocument/2006/relationships/hyperlink" Target="https://treas-secure.state.mi.us/LAFDocSearch/tl41R01.aspx?&amp;lu_id=5968&amp;doc_yr=2016&amp;doc_code=AUD" TargetMode="External"/><Relationship Id="rId2090" Type="http://schemas.openxmlformats.org/officeDocument/2006/relationships/hyperlink" Target="https://treas-secure.state.mi.us/LAFDocSearch/tl41R01.aspx?&amp;lu_id=4278&amp;doc_yr=2016&amp;doc_code=AUD" TargetMode="External"/><Relationship Id="rId2188" Type="http://schemas.openxmlformats.org/officeDocument/2006/relationships/hyperlink" Target="https://treas-secure.state.mi.us/LAFDocSearch/tl41R01.aspx?&amp;lu_id=4486&amp;doc_yr=2016&amp;doc_code=AUD" TargetMode="External"/><Relationship Id="rId2395" Type="http://schemas.openxmlformats.org/officeDocument/2006/relationships/hyperlink" Target="https://treas-secure.state.mi.us/LAFDocSearch/tl41R01.aspx?&amp;lu_id=4918&amp;doc_yr=2016&amp;doc_code=AUD" TargetMode="External"/><Relationship Id="rId367" Type="http://schemas.openxmlformats.org/officeDocument/2006/relationships/hyperlink" Target="https://treas-secure.state.mi.us/LAFDocSearch/tl41R01.aspx?&amp;lu_id=602&amp;doc_yr=2016&amp;doc_code=AUD" TargetMode="External"/><Relationship Id="rId574" Type="http://schemas.openxmlformats.org/officeDocument/2006/relationships/hyperlink" Target="https://treas-secure.state.mi.us/LAFDocSearch/tl41R01.aspx?&amp;lu_id=991&amp;doc_yr=2016&amp;doc_code=AUD" TargetMode="External"/><Relationship Id="rId2048" Type="http://schemas.openxmlformats.org/officeDocument/2006/relationships/hyperlink" Target="https://treas-secure.state.mi.us/LAFDocSearch/tl41R01.aspx?&amp;lu_id=4217&amp;doc_yr=2016&amp;doc_code=AUD" TargetMode="External"/><Relationship Id="rId2255" Type="http://schemas.openxmlformats.org/officeDocument/2006/relationships/hyperlink" Target="https://treas-secure.state.mi.us/LAFDocSearch/tl41R01.aspx?&amp;lu_id=4682&amp;doc_yr=2016&amp;doc_code=AUD" TargetMode="External"/><Relationship Id="rId227" Type="http://schemas.openxmlformats.org/officeDocument/2006/relationships/hyperlink" Target="https://treas-secure.state.mi.us/LAFDocSearch/tl41R01.aspx?&amp;lu_id=391&amp;doc_yr=2016&amp;doc_code=AUD" TargetMode="External"/><Relationship Id="rId781" Type="http://schemas.openxmlformats.org/officeDocument/2006/relationships/hyperlink" Target="https://treas-secure.state.mi.us/LAFDocSearch/tl41R01.aspx?&amp;lu_id=1510&amp;doc_yr=2016&amp;doc_code=AUD" TargetMode="External"/><Relationship Id="rId879" Type="http://schemas.openxmlformats.org/officeDocument/2006/relationships/hyperlink" Target="https://treas-secure.state.mi.us/LAFDocSearch/tl41R01.aspx?&amp;lu_id=1660&amp;doc_yr=2016&amp;doc_code=AUD" TargetMode="External"/><Relationship Id="rId2462" Type="http://schemas.openxmlformats.org/officeDocument/2006/relationships/hyperlink" Target="https://treas-secure.state.mi.us/LAFDocSearch/tl41R01.aspx?&amp;lu_id=5068&amp;doc_yr=2016&amp;doc_code=AUD" TargetMode="External"/><Relationship Id="rId2767" Type="http://schemas.openxmlformats.org/officeDocument/2006/relationships/hyperlink" Target="https://treas-secure.state.mi.us/LAFDocSearch/tl41R01.aspx?&amp;lu_id=5458&amp;doc_yr=2016&amp;doc_code=AUD" TargetMode="External"/><Relationship Id="rId434" Type="http://schemas.openxmlformats.org/officeDocument/2006/relationships/hyperlink" Target="https://treas-secure.state.mi.us/LAFDocSearch/tl41R01.aspx?&amp;lu_id=782&amp;doc_yr=2016&amp;doc_code=AUD" TargetMode="External"/><Relationship Id="rId641" Type="http://schemas.openxmlformats.org/officeDocument/2006/relationships/hyperlink" Target="https://treas-secure.state.mi.us/LAFDocSearch/tl41R01.aspx?&amp;lu_id=1088&amp;doc_yr=2016&amp;doc_code=AUD" TargetMode="External"/><Relationship Id="rId739" Type="http://schemas.openxmlformats.org/officeDocument/2006/relationships/hyperlink" Target="https://treas-secure.state.mi.us/LAFDocSearch/tl41R01.aspx?&amp;lu_id=1462&amp;doc_yr=2016&amp;doc_code=AUD" TargetMode="External"/><Relationship Id="rId1064" Type="http://schemas.openxmlformats.org/officeDocument/2006/relationships/hyperlink" Target="https://treas-secure.state.mi.us/LAFDocSearch/tl41R01.aspx?&amp;lu_id=2061&amp;doc_yr=2016&amp;doc_code=AUD" TargetMode="External"/><Relationship Id="rId1271" Type="http://schemas.openxmlformats.org/officeDocument/2006/relationships/hyperlink" Target="https://treas-secure.state.mi.us/LAFDocSearch/tl41R01.aspx?&amp;lu_id=2453&amp;doc_yr=2016&amp;doc_code=AUD" TargetMode="External"/><Relationship Id="rId1369" Type="http://schemas.openxmlformats.org/officeDocument/2006/relationships/hyperlink" Target="https://treas-secure.state.mi.us/LAFDocSearch/tl41R01.aspx?&amp;lu_id=2641&amp;doc_yr=2016&amp;doc_code=AUD" TargetMode="External"/><Relationship Id="rId1576" Type="http://schemas.openxmlformats.org/officeDocument/2006/relationships/hyperlink" Target="https://treas-secure.state.mi.us/LAFDocSearch/tl41R01.aspx?&amp;lu_id=3167&amp;doc_yr=2016&amp;doc_code=AUD" TargetMode="External"/><Relationship Id="rId2115" Type="http://schemas.openxmlformats.org/officeDocument/2006/relationships/hyperlink" Target="https://treas-secure.state.mi.us/LAFDocSearch/tl41R01.aspx?&amp;lu_id=4360&amp;doc_yr=2016&amp;doc_code=AUD" TargetMode="External"/><Relationship Id="rId2322" Type="http://schemas.openxmlformats.org/officeDocument/2006/relationships/hyperlink" Target="https://treas-secure.state.mi.us/LAFDocSearch/tl41R01.aspx?&amp;lu_id=4739&amp;doc_yr=2016&amp;doc_code=AUD" TargetMode="External"/><Relationship Id="rId501" Type="http://schemas.openxmlformats.org/officeDocument/2006/relationships/hyperlink" Target="https://treas-secure.state.mi.us/LAFDocSearch/tl41R01.aspx?&amp;lu_id=840&amp;doc_yr=2016&amp;doc_code=AUD" TargetMode="External"/><Relationship Id="rId946" Type="http://schemas.openxmlformats.org/officeDocument/2006/relationships/hyperlink" Target="https://treas-secure.state.mi.us/LAFDocSearch/tl41R01.aspx?&amp;lu_id=1815&amp;doc_yr=2016&amp;doc_code=AUD" TargetMode="External"/><Relationship Id="rId1131" Type="http://schemas.openxmlformats.org/officeDocument/2006/relationships/hyperlink" Target="https://treas-secure.state.mi.us/LAFDocSearch/tl41R01.aspx?&amp;lu_id=2215&amp;doc_yr=2016&amp;doc_code=AUD" TargetMode="External"/><Relationship Id="rId1229" Type="http://schemas.openxmlformats.org/officeDocument/2006/relationships/hyperlink" Target="https://treas-secure.state.mi.us/LAFDocSearch/tl41R01.aspx?&amp;lu_id=2418&amp;doc_yr=2016&amp;doc_code=AUD" TargetMode="External"/><Relationship Id="rId1783" Type="http://schemas.openxmlformats.org/officeDocument/2006/relationships/hyperlink" Target="https://treas-secure.state.mi.us/LAFDocSearch/tl41R01.aspx?&amp;lu_id=3533&amp;doc_yr=2016&amp;doc_code=AUD" TargetMode="External"/><Relationship Id="rId1990" Type="http://schemas.openxmlformats.org/officeDocument/2006/relationships/hyperlink" Target="https://treas-secure.state.mi.us/LAFDocSearch/tl41R01.aspx?&amp;lu_id=3864&amp;doc_yr=2016&amp;doc_code=AUD" TargetMode="External"/><Relationship Id="rId2627" Type="http://schemas.openxmlformats.org/officeDocument/2006/relationships/hyperlink" Target="https://treas-secure.state.mi.us/LAFDocSearch/tl41R01.aspx?&amp;lu_id=5380&amp;doc_yr=2016&amp;doc_code=AUD" TargetMode="External"/><Relationship Id="rId75" Type="http://schemas.openxmlformats.org/officeDocument/2006/relationships/hyperlink" Target="https://treas-secure.state.mi.us/LAFDocSearch/tl41R01.aspx?&amp;lu_id=69&amp;doc_yr=2016&amp;doc_code=AUD" TargetMode="External"/><Relationship Id="rId806" Type="http://schemas.openxmlformats.org/officeDocument/2006/relationships/hyperlink" Target="https://treas-secure.state.mi.us/LAFDocSearch/tl41R01.aspx?&amp;lu_id=1579&amp;doc_yr=2016&amp;doc_code=AUD" TargetMode="External"/><Relationship Id="rId1436" Type="http://schemas.openxmlformats.org/officeDocument/2006/relationships/hyperlink" Target="https://treas-secure.state.mi.us/LAFDocSearch/tl41R01.aspx?&amp;lu_id=2765&amp;doc_yr=2016&amp;doc_code=AUD" TargetMode="External"/><Relationship Id="rId1643" Type="http://schemas.openxmlformats.org/officeDocument/2006/relationships/hyperlink" Target="https://treas-secure.state.mi.us/LAFDocSearch/tl41R01.aspx?&amp;lu_id=3309&amp;doc_yr=2016&amp;doc_code=AUD" TargetMode="External"/><Relationship Id="rId1850" Type="http://schemas.openxmlformats.org/officeDocument/2006/relationships/hyperlink" Target="https://treas-secure.state.mi.us/LAFDocSearch/tl41R01.aspx?&amp;lu_id=3670&amp;doc_yr=2016&amp;doc_code=AUD" TargetMode="External"/><Relationship Id="rId1503" Type="http://schemas.openxmlformats.org/officeDocument/2006/relationships/hyperlink" Target="https://treas-secure.state.mi.us/LAFDocSearch/tl41R01.aspx?&amp;lu_id=2842&amp;doc_yr=2016&amp;doc_code=AUD" TargetMode="External"/><Relationship Id="rId1710" Type="http://schemas.openxmlformats.org/officeDocument/2006/relationships/hyperlink" Target="https://treas-secure.state.mi.us/LAFDocSearch/tl41R01.aspx?&amp;lu_id=3422&amp;doc_yr=2016&amp;doc_code=AUD" TargetMode="External"/><Relationship Id="rId1948" Type="http://schemas.openxmlformats.org/officeDocument/2006/relationships/hyperlink" Target="https://treas-secure.state.mi.us/LAFDocSearch/tl41R01.aspx?&amp;lu_id=3878&amp;doc_yr=2016&amp;doc_code=AUD" TargetMode="External"/><Relationship Id="rId291" Type="http://schemas.openxmlformats.org/officeDocument/2006/relationships/hyperlink" Target="https://treas-secure.state.mi.us/LAFDocSearch/tl41R01.aspx?&amp;lu_id=487&amp;doc_yr=2016&amp;doc_code=AUD" TargetMode="External"/><Relationship Id="rId1808" Type="http://schemas.openxmlformats.org/officeDocument/2006/relationships/hyperlink" Target="https://treas-secure.state.mi.us/LAFDocSearch/tl41R01.aspx?&amp;lu_id=3538&amp;doc_yr=2016&amp;doc_code=AUD" TargetMode="External"/><Relationship Id="rId151" Type="http://schemas.openxmlformats.org/officeDocument/2006/relationships/hyperlink" Target="https://treas-secure.state.mi.us/LAFDocSearch/tl41R01.aspx?&amp;lu_id=253&amp;doc_yr=2016&amp;doc_code=AUD" TargetMode="External"/><Relationship Id="rId389" Type="http://schemas.openxmlformats.org/officeDocument/2006/relationships/hyperlink" Target="https://treas-secure.state.mi.us/LAFDocSearch/tl41R01.aspx?&amp;lu_id=615&amp;doc_yr=2016&amp;doc_code=AUD" TargetMode="External"/><Relationship Id="rId596" Type="http://schemas.openxmlformats.org/officeDocument/2006/relationships/hyperlink" Target="https://treas-secure.state.mi.us/LAFDocSearch/tl41R01.aspx?&amp;lu_id=1043&amp;doc_yr=2016&amp;doc_code=AUD" TargetMode="External"/><Relationship Id="rId2277" Type="http://schemas.openxmlformats.org/officeDocument/2006/relationships/hyperlink" Target="https://treas-secure.state.mi.us/LAFDocSearch/tl41R01.aspx?&amp;lu_id=4689&amp;doc_yr=2016&amp;doc_code=AUD" TargetMode="External"/><Relationship Id="rId2484" Type="http://schemas.openxmlformats.org/officeDocument/2006/relationships/hyperlink" Target="https://treas-secure.state.mi.us/LAFDocSearch/tl41R01.aspx?&amp;lu_id=5116&amp;doc_yr=2016&amp;doc_code=AUD" TargetMode="External"/><Relationship Id="rId2691" Type="http://schemas.openxmlformats.org/officeDocument/2006/relationships/hyperlink" Target="https://treas-secure.state.mi.us/LAFDocSearch/tl41R01.aspx?&amp;lu_id=5794&amp;doc_yr=2016&amp;doc_code=AUD" TargetMode="External"/><Relationship Id="rId249" Type="http://schemas.openxmlformats.org/officeDocument/2006/relationships/hyperlink" Target="https://treas-secure.state.mi.us/LAFDocSearch/tl41R01.aspx?&amp;lu_id=403&amp;doc_yr=2016&amp;doc_code=AUD" TargetMode="External"/><Relationship Id="rId456" Type="http://schemas.openxmlformats.org/officeDocument/2006/relationships/hyperlink" Target="https://treas-secure.state.mi.us/LAFDocSearch/tl41R01.aspx?&amp;lu_id=786&amp;doc_yr=2016&amp;doc_code=AUD" TargetMode="External"/><Relationship Id="rId663" Type="http://schemas.openxmlformats.org/officeDocument/2006/relationships/hyperlink" Target="https://treas-secure.state.mi.us/LAFDocSearch/tl41R01.aspx?&amp;lu_id=1103&amp;doc_yr=2016&amp;doc_code=AUD" TargetMode="External"/><Relationship Id="rId870" Type="http://schemas.openxmlformats.org/officeDocument/2006/relationships/hyperlink" Target="https://treas-secure.state.mi.us/LAFDocSearch/tl41R01.aspx?&amp;lu_id=1675&amp;doc_yr=2016&amp;doc_code=AUD" TargetMode="External"/><Relationship Id="rId1086" Type="http://schemas.openxmlformats.org/officeDocument/2006/relationships/hyperlink" Target="https://treas-secure.state.mi.us/LAFDocSearch/tl41R01.aspx?&amp;lu_id=2124&amp;doc_yr=2016&amp;doc_code=AUD" TargetMode="External"/><Relationship Id="rId1293" Type="http://schemas.openxmlformats.org/officeDocument/2006/relationships/hyperlink" Target="https://treas-secure.state.mi.us/LAFDocSearch/tl41R01.aspx?&amp;lu_id=2548&amp;doc_yr=2016&amp;doc_code=AUD" TargetMode="External"/><Relationship Id="rId2137" Type="http://schemas.openxmlformats.org/officeDocument/2006/relationships/hyperlink" Target="https://treas-secure.state.mi.us/LAFDocSearch/tl41R01.aspx?&amp;lu_id=4369&amp;doc_yr=2016&amp;doc_code=AUD" TargetMode="External"/><Relationship Id="rId2344" Type="http://schemas.openxmlformats.org/officeDocument/2006/relationships/hyperlink" Target="https://treas-secure.state.mi.us/LAFDocSearch/tl41R01.aspx?&amp;lu_id=4830&amp;doc_yr=2016&amp;doc_code=AUD" TargetMode="External"/><Relationship Id="rId2551" Type="http://schemas.openxmlformats.org/officeDocument/2006/relationships/hyperlink" Target="https://treas-secure.state.mi.us/LAFDocSearch/tl41R01.aspx?&amp;lu_id=5204&amp;doc_yr=2016&amp;doc_code=AUD" TargetMode="External"/><Relationship Id="rId2789" Type="http://schemas.openxmlformats.org/officeDocument/2006/relationships/hyperlink" Target="https://treas-secure.state.mi.us/LAFDocSearch/tl41R01.aspx?&amp;lu_id=5888&amp;doc_yr=2016&amp;doc_code=AUD" TargetMode="External"/><Relationship Id="rId109" Type="http://schemas.openxmlformats.org/officeDocument/2006/relationships/hyperlink" Target="https://treas-secure.state.mi.us/LAFDocSearch/tl41R01.aspx?&amp;lu_id=170&amp;doc_yr=2016&amp;doc_code=AUD" TargetMode="External"/><Relationship Id="rId316" Type="http://schemas.openxmlformats.org/officeDocument/2006/relationships/hyperlink" Target="https://treas-secure.state.mi.us/LAFDocSearch/tl41R01.aspx?&amp;lu_id=446&amp;doc_yr=2016&amp;doc_code=AUD" TargetMode="External"/><Relationship Id="rId523" Type="http://schemas.openxmlformats.org/officeDocument/2006/relationships/hyperlink" Target="https://treas-secure.state.mi.us/LAFDocSearch/tl41R01.aspx?&amp;lu_id=920&amp;doc_yr=2016&amp;doc_code=AUD" TargetMode="External"/><Relationship Id="rId968" Type="http://schemas.openxmlformats.org/officeDocument/2006/relationships/hyperlink" Target="https://treas-secure.state.mi.us/LAFDocSearch/tl41R01.aspx?&amp;lu_id=1897&amp;doc_yr=2016&amp;doc_code=AUD" TargetMode="External"/><Relationship Id="rId1153" Type="http://schemas.openxmlformats.org/officeDocument/2006/relationships/hyperlink" Target="https://treas-secure.state.mi.us/LAFDocSearch/tl41R01.aspx?&amp;lu_id=2263&amp;doc_yr=2016&amp;doc_code=AUD" TargetMode="External"/><Relationship Id="rId1598" Type="http://schemas.openxmlformats.org/officeDocument/2006/relationships/hyperlink" Target="https://treas-secure.state.mi.us/LAFDocSearch/tl41R01.aspx?&amp;lu_id=3215&amp;doc_yr=2016&amp;doc_code=AUD" TargetMode="External"/><Relationship Id="rId2204" Type="http://schemas.openxmlformats.org/officeDocument/2006/relationships/hyperlink" Target="https://treas-secure.state.mi.us/LAFDocSearch/tl41R01.aspx?&amp;lu_id=4513&amp;doc_yr=2016&amp;doc_code=AUD" TargetMode="External"/><Relationship Id="rId2649" Type="http://schemas.openxmlformats.org/officeDocument/2006/relationships/hyperlink" Target="https://treas-secure.state.mi.us/LAFDocSearch/tl41R01.aspx?&amp;lu_id=5798&amp;doc_yr=2016&amp;doc_code=AUD" TargetMode="External"/><Relationship Id="rId97" Type="http://schemas.openxmlformats.org/officeDocument/2006/relationships/hyperlink" Target="https://treas-secure.state.mi.us/LAFDocSearch/tl41R01.aspx?&amp;lu_id=203&amp;doc_yr=2016&amp;doc_code=AUD" TargetMode="External"/><Relationship Id="rId730" Type="http://schemas.openxmlformats.org/officeDocument/2006/relationships/hyperlink" Target="https://treas-secure.state.mi.us/LAFDocSearch/tl41R01.aspx?&amp;lu_id=1449&amp;doc_yr=2016&amp;doc_code=AUD" TargetMode="External"/><Relationship Id="rId828" Type="http://schemas.openxmlformats.org/officeDocument/2006/relationships/hyperlink" Target="https://treas-secure.state.mi.us/LAFDocSearch/tl41R01.aspx?&amp;lu_id=1570&amp;doc_yr=2016&amp;doc_code=AUD" TargetMode="External"/><Relationship Id="rId1013" Type="http://schemas.openxmlformats.org/officeDocument/2006/relationships/hyperlink" Target="https://treas-secure.state.mi.us/LAFDocSearch/tl41R01.aspx?&amp;lu_id=1910&amp;doc_yr=2016&amp;doc_code=AUD" TargetMode="External"/><Relationship Id="rId1360" Type="http://schemas.openxmlformats.org/officeDocument/2006/relationships/hyperlink" Target="https://treas-secure.state.mi.us/LAFDocSearch/tl41R01.aspx?&amp;lu_id=2619&amp;doc_yr=2016&amp;doc_code=AUD" TargetMode="External"/><Relationship Id="rId1458" Type="http://schemas.openxmlformats.org/officeDocument/2006/relationships/hyperlink" Target="https://treas-secure.state.mi.us/LAFDocSearch/tl41R01.aspx?&amp;lu_id=2751&amp;doc_yr=2016&amp;doc_code=AUD" TargetMode="External"/><Relationship Id="rId1665" Type="http://schemas.openxmlformats.org/officeDocument/2006/relationships/hyperlink" Target="https://treas-secure.state.mi.us/LAFDocSearch/tl41R01.aspx?&amp;lu_id=3323&amp;doc_yr=2016&amp;doc_code=AUD" TargetMode="External"/><Relationship Id="rId1872" Type="http://schemas.openxmlformats.org/officeDocument/2006/relationships/hyperlink" Target="https://treas-secure.state.mi.us/LAFDocSearch/tl41R01.aspx?&amp;lu_id=7574&amp;doc_yr=2016&amp;doc_code=AUD" TargetMode="External"/><Relationship Id="rId2411" Type="http://schemas.openxmlformats.org/officeDocument/2006/relationships/hyperlink" Target="https://treas-secure.state.mi.us/LAFDocSearch/tl41R01.aspx?&amp;lu_id=4948&amp;doc_yr=2016&amp;doc_code=AUD" TargetMode="External"/><Relationship Id="rId2509" Type="http://schemas.openxmlformats.org/officeDocument/2006/relationships/hyperlink" Target="https://treas-secure.state.mi.us/LAFDocSearch/tl41R01.aspx?&amp;lu_id=5125&amp;doc_yr=2016&amp;doc_code=AUD" TargetMode="External"/><Relationship Id="rId2716" Type="http://schemas.openxmlformats.org/officeDocument/2006/relationships/hyperlink" Target="https://treas-secure.state.mi.us/LAFDocSearch/tl41R01.aspx?&amp;lu_id=5811&amp;doc_yr=2016&amp;doc_code=AUD" TargetMode="External"/><Relationship Id="rId1220" Type="http://schemas.openxmlformats.org/officeDocument/2006/relationships/hyperlink" Target="https://treas-secure.state.mi.us/LAFDocSearch/tl41R01.aspx?&amp;lu_id=2412&amp;doc_yr=2016&amp;doc_code=AUD" TargetMode="External"/><Relationship Id="rId1318" Type="http://schemas.openxmlformats.org/officeDocument/2006/relationships/hyperlink" Target="https://treas-secure.state.mi.us/LAFDocSearch/tl41R01.aspx?&amp;lu_id=5982&amp;doc_yr=2016&amp;doc_code=AUD" TargetMode="External"/><Relationship Id="rId1525" Type="http://schemas.openxmlformats.org/officeDocument/2006/relationships/hyperlink" Target="https://treas-secure.state.mi.us/LAFDocSearch/tl41R01.aspx?&amp;lu_id=2952&amp;doc_yr=2016&amp;doc_code=AUD" TargetMode="External"/><Relationship Id="rId1732" Type="http://schemas.openxmlformats.org/officeDocument/2006/relationships/hyperlink" Target="https://treas-secure.state.mi.us/LAFDocSearch/tl41R01.aspx?&amp;lu_id=3457&amp;doc_yr=2016&amp;doc_code=AUD" TargetMode="External"/><Relationship Id="rId24" Type="http://schemas.openxmlformats.org/officeDocument/2006/relationships/hyperlink" Target="https://treas-secure.state.mi.us/LAFDocSearch/tl41R01.aspx?&amp;lu_id=44&amp;doc_yr=2016&amp;doc_code=AUD" TargetMode="External"/><Relationship Id="rId2299" Type="http://schemas.openxmlformats.org/officeDocument/2006/relationships/hyperlink" Target="https://treas-secure.state.mi.us/LAFDocSearch/tl41R01.aspx?&amp;lu_id=4691&amp;doc_yr=2016&amp;doc_code=AUD" TargetMode="External"/><Relationship Id="rId173" Type="http://schemas.openxmlformats.org/officeDocument/2006/relationships/hyperlink" Target="https://treas-secure.state.mi.us/LAFDocSearch/tl41R01.aspx?&amp;lu_id=280&amp;doc_yr=2016&amp;doc_code=AUD" TargetMode="External"/><Relationship Id="rId380" Type="http://schemas.openxmlformats.org/officeDocument/2006/relationships/hyperlink" Target="https://treas-secure.state.mi.us/LAFDocSearch/tl41R01.aspx?&amp;lu_id=644&amp;doc_yr=2016&amp;doc_code=AUD" TargetMode="External"/><Relationship Id="rId2061" Type="http://schemas.openxmlformats.org/officeDocument/2006/relationships/hyperlink" Target="https://treas-secure.state.mi.us/LAFDocSearch/tl41R01.aspx?&amp;lu_id=4226&amp;doc_yr=2016&amp;doc_code=AUD" TargetMode="External"/><Relationship Id="rId240" Type="http://schemas.openxmlformats.org/officeDocument/2006/relationships/hyperlink" Target="https://treas-secure.state.mi.us/LAFDocSearch/tl41R01.aspx?&amp;lu_id=417&amp;doc_yr=2016&amp;doc_code=AUD" TargetMode="External"/><Relationship Id="rId478" Type="http://schemas.openxmlformats.org/officeDocument/2006/relationships/hyperlink" Target="https://treas-secure.state.mi.us/LAFDocSearch/tl41R01.aspx?&amp;lu_id=801&amp;doc_yr=2016&amp;doc_code=AUD" TargetMode="External"/><Relationship Id="rId685" Type="http://schemas.openxmlformats.org/officeDocument/2006/relationships/hyperlink" Target="https://treas-secure.state.mi.us/LAFDocSearch/tl41R01.aspx?&amp;lu_id=1282&amp;doc_yr=2016&amp;doc_code=AUD" TargetMode="External"/><Relationship Id="rId892" Type="http://schemas.openxmlformats.org/officeDocument/2006/relationships/hyperlink" Target="https://treas-secure.state.mi.us/LAFDocSearch/tl41R01.aspx?&amp;lu_id=1673&amp;doc_yr=2016&amp;doc_code=AUD" TargetMode="External"/><Relationship Id="rId2159" Type="http://schemas.openxmlformats.org/officeDocument/2006/relationships/hyperlink" Target="https://treas-secure.state.mi.us/LAFDocSearch/tl41R01.aspx?&amp;lu_id=4493&amp;doc_yr=2016&amp;doc_code=AUD" TargetMode="External"/><Relationship Id="rId2366" Type="http://schemas.openxmlformats.org/officeDocument/2006/relationships/hyperlink" Target="https://treas-secure.state.mi.us/LAFDocSearch/tl41R01.aspx?&amp;lu_id=7637&amp;doc_yr=2016&amp;doc_code=AUD" TargetMode="External"/><Relationship Id="rId2573" Type="http://schemas.openxmlformats.org/officeDocument/2006/relationships/hyperlink" Target="https://treas-secure.state.mi.us/LAFDocSearch/tl41R01.aspx?&amp;lu_id=5178&amp;doc_yr=2016&amp;doc_code=AUD" TargetMode="External"/><Relationship Id="rId2780" Type="http://schemas.openxmlformats.org/officeDocument/2006/relationships/hyperlink" Target="https://treas-secure.state.mi.us/LAFDocSearch/tl41R01.aspx?&amp;lu_id=5881&amp;doc_yr=2016&amp;doc_code=AUD" TargetMode="External"/><Relationship Id="rId100" Type="http://schemas.openxmlformats.org/officeDocument/2006/relationships/hyperlink" Target="https://treas-secure.state.mi.us/LAFDocSearch/tl41R01.aspx?&amp;lu_id=204&amp;doc_yr=2016&amp;doc_code=AUD" TargetMode="External"/><Relationship Id="rId338" Type="http://schemas.openxmlformats.org/officeDocument/2006/relationships/hyperlink" Target="https://treas-secure.state.mi.us/LAFDocSearch/tl41R01.aspx?&amp;lu_id=592&amp;doc_yr=2016&amp;doc_code=AUD" TargetMode="External"/><Relationship Id="rId545" Type="http://schemas.openxmlformats.org/officeDocument/2006/relationships/hyperlink" Target="https://treas-secure.state.mi.us/LAFDocSearch/tl41R01.aspx?&amp;lu_id=926&amp;doc_yr=2016&amp;doc_code=AUD" TargetMode="External"/><Relationship Id="rId752" Type="http://schemas.openxmlformats.org/officeDocument/2006/relationships/hyperlink" Target="https://treas-secure.state.mi.us/LAFDocSearch/tl41R01.aspx?&amp;lu_id=1342&amp;doc_yr=2016&amp;doc_code=AUD" TargetMode="External"/><Relationship Id="rId1175" Type="http://schemas.openxmlformats.org/officeDocument/2006/relationships/hyperlink" Target="https://treas-secure.state.mi.us/LAFDocSearch/tl41R01.aspx?&amp;lu_id=7834&amp;doc_yr=2016&amp;doc_code=AUD" TargetMode="External"/><Relationship Id="rId1382" Type="http://schemas.openxmlformats.org/officeDocument/2006/relationships/hyperlink" Target="https://treas-secure.state.mi.us/LAFDocSearch/tl41R01.aspx?&amp;lu_id=2658&amp;doc_yr=2016&amp;doc_code=AUD" TargetMode="External"/><Relationship Id="rId2019" Type="http://schemas.openxmlformats.org/officeDocument/2006/relationships/hyperlink" Target="https://treas-secure.state.mi.us/LAFDocSearch/tl41R01.aspx?&amp;lu_id=4184&amp;doc_yr=2016&amp;doc_code=AUD" TargetMode="External"/><Relationship Id="rId2226" Type="http://schemas.openxmlformats.org/officeDocument/2006/relationships/hyperlink" Target="https://treas-secure.state.mi.us/LAFDocSearch/tl41R01.aspx?&amp;lu_id=4540&amp;doc_yr=2016&amp;doc_code=AUD" TargetMode="External"/><Relationship Id="rId2433" Type="http://schemas.openxmlformats.org/officeDocument/2006/relationships/hyperlink" Target="https://treas-secure.state.mi.us/LAFDocSearch/tl41R01.aspx?&amp;lu_id=4996&amp;doc_yr=2016&amp;doc_code=AUD" TargetMode="External"/><Relationship Id="rId2640" Type="http://schemas.openxmlformats.org/officeDocument/2006/relationships/hyperlink" Target="https://treas-secure.state.mi.us/LAFDocSearch/tl41R01.aspx?&amp;lu_id=5384&amp;doc_yr=2016&amp;doc_code=AUD" TargetMode="External"/><Relationship Id="rId405" Type="http://schemas.openxmlformats.org/officeDocument/2006/relationships/hyperlink" Target="https://treas-secure.state.mi.us/LAFDocSearch/tl41R01.aspx?&amp;lu_id=708&amp;doc_yr=2016&amp;doc_code=AUD" TargetMode="External"/><Relationship Id="rId612" Type="http://schemas.openxmlformats.org/officeDocument/2006/relationships/hyperlink" Target="https://treas-secure.state.mi.us/LAFDocSearch/tl41R01.aspx?&amp;lu_id=1054&amp;doc_yr=2016&amp;doc_code=AUD" TargetMode="External"/><Relationship Id="rId1035" Type="http://schemas.openxmlformats.org/officeDocument/2006/relationships/hyperlink" Target="https://treas-secure.state.mi.us/LAFDocSearch/tl41R01.aspx?&amp;lu_id=2066&amp;doc_yr=2016&amp;doc_code=AUD" TargetMode="External"/><Relationship Id="rId1242" Type="http://schemas.openxmlformats.org/officeDocument/2006/relationships/hyperlink" Target="https://treas-secure.state.mi.us/LAFDocSearch/tl41R01.aspx?&amp;lu_id=2359&amp;doc_yr=2016&amp;doc_code=AUD" TargetMode="External"/><Relationship Id="rId1687" Type="http://schemas.openxmlformats.org/officeDocument/2006/relationships/hyperlink" Target="https://treas-secure.state.mi.us/LAFDocSearch/tl41R01.aspx?&amp;lu_id=3362&amp;doc_yr=2016&amp;doc_code=AUD" TargetMode="External"/><Relationship Id="rId1894" Type="http://schemas.openxmlformats.org/officeDocument/2006/relationships/hyperlink" Target="https://treas-secure.state.mi.us/LAFDocSearch/tl41R01.aspx?&amp;lu_id=7283&amp;doc_yr=2016&amp;doc_code=AUD" TargetMode="External"/><Relationship Id="rId2500" Type="http://schemas.openxmlformats.org/officeDocument/2006/relationships/hyperlink" Target="https://treas-secure.state.mi.us/LAFDocSearch/tl41R01.aspx?&amp;lu_id=5107&amp;doc_yr=2016&amp;doc_code=AUD" TargetMode="External"/><Relationship Id="rId2738" Type="http://schemas.openxmlformats.org/officeDocument/2006/relationships/hyperlink" Target="https://treas-secure.state.mi.us/LAFDocSearch/tl41R01.aspx?&amp;lu_id=5805&amp;doc_yr=2016&amp;doc_code=AUD" TargetMode="External"/><Relationship Id="rId917" Type="http://schemas.openxmlformats.org/officeDocument/2006/relationships/hyperlink" Target="https://treas-secure.state.mi.us/LAFDocSearch/tl41R01.aspx?&amp;lu_id=1719&amp;doc_yr=2016&amp;doc_code=AUD" TargetMode="External"/><Relationship Id="rId1102" Type="http://schemas.openxmlformats.org/officeDocument/2006/relationships/hyperlink" Target="https://treas-secure.state.mi.us/LAFDocSearch/tl41R01.aspx?&amp;lu_id=2136&amp;doc_yr=2016&amp;doc_code=AUD" TargetMode="External"/><Relationship Id="rId1547" Type="http://schemas.openxmlformats.org/officeDocument/2006/relationships/hyperlink" Target="https://treas-secure.state.mi.us/LAFDocSearch/tl41R01.aspx?&amp;lu_id=3164&amp;doc_yr=2016&amp;doc_code=AUD" TargetMode="External"/><Relationship Id="rId1754" Type="http://schemas.openxmlformats.org/officeDocument/2006/relationships/hyperlink" Target="https://treas-secure.state.mi.us/LAFDocSearch/tl41R01.aspx?&amp;lu_id=3498&amp;doc_yr=2016&amp;doc_code=AUD" TargetMode="External"/><Relationship Id="rId1961" Type="http://schemas.openxmlformats.org/officeDocument/2006/relationships/hyperlink" Target="https://treas-secure.state.mi.us/LAFDocSearch/tl41R01.aspx?&amp;lu_id=6124&amp;doc_yr=2016&amp;doc_code=AUD" TargetMode="External"/><Relationship Id="rId46" Type="http://schemas.openxmlformats.org/officeDocument/2006/relationships/hyperlink" Target="https://treas-secure.state.mi.us/LAFDocSearch/tl41R01.aspx?&amp;lu_id=54&amp;doc_yr=2016&amp;doc_code=AUD" TargetMode="External"/><Relationship Id="rId1407" Type="http://schemas.openxmlformats.org/officeDocument/2006/relationships/hyperlink" Target="https://treas-secure.state.mi.us/LAFDocSearch/tl41R01.aspx?&amp;lu_id=2725&amp;doc_yr=2016&amp;doc_code=AUD" TargetMode="External"/><Relationship Id="rId1614" Type="http://schemas.openxmlformats.org/officeDocument/2006/relationships/hyperlink" Target="https://treas-secure.state.mi.us/LAFDocSearch/tl41R01.aspx?&amp;lu_id=3207&amp;doc_yr=2016&amp;doc_code=AUD" TargetMode="External"/><Relationship Id="rId1821" Type="http://schemas.openxmlformats.org/officeDocument/2006/relationships/hyperlink" Target="https://treas-secure.state.mi.us/LAFDocSearch/tl41R01.aspx?&amp;lu_id=3603&amp;doc_yr=2016&amp;doc_code=AUD" TargetMode="External"/><Relationship Id="rId195" Type="http://schemas.openxmlformats.org/officeDocument/2006/relationships/hyperlink" Target="https://treas-secure.state.mi.us/LAFDocSearch/tl41R01.aspx?&amp;lu_id=379&amp;doc_yr=2016&amp;doc_code=AUD" TargetMode="External"/><Relationship Id="rId1919" Type="http://schemas.openxmlformats.org/officeDocument/2006/relationships/hyperlink" Target="https://treas-secure.state.mi.us/LAFDocSearch/tl41R01.aspx?&amp;lu_id=3822&amp;doc_yr=2016&amp;doc_code=AUD" TargetMode="External"/><Relationship Id="rId2083" Type="http://schemas.openxmlformats.org/officeDocument/2006/relationships/hyperlink" Target="https://treas-secure.state.mi.us/LAFDocSearch/tl41R01.aspx?&amp;lu_id=4286&amp;doc_yr=2016&amp;doc_code=AUD" TargetMode="External"/><Relationship Id="rId2290" Type="http://schemas.openxmlformats.org/officeDocument/2006/relationships/hyperlink" Target="https://treas-secure.state.mi.us/LAFDocSearch/tl41R01.aspx?&amp;lu_id=4690&amp;doc_yr=2016&amp;doc_code=AUD" TargetMode="External"/><Relationship Id="rId2388" Type="http://schemas.openxmlformats.org/officeDocument/2006/relationships/hyperlink" Target="https://treas-secure.state.mi.us/LAFDocSearch/tl41R01.aspx?&amp;lu_id=4915&amp;doc_yr=2016&amp;doc_code=AUD" TargetMode="External"/><Relationship Id="rId2595" Type="http://schemas.openxmlformats.org/officeDocument/2006/relationships/hyperlink" Target="https://treas-secure.state.mi.us/LAFDocSearch/tl41R01.aspx?&amp;lu_id=5396&amp;doc_yr=2016&amp;doc_code=AUD" TargetMode="External"/><Relationship Id="rId262" Type="http://schemas.openxmlformats.org/officeDocument/2006/relationships/hyperlink" Target="https://treas-secure.state.mi.us/LAFDocSearch/tl41R01.aspx?&amp;lu_id=536&amp;doc_yr=2016&amp;doc_code=AUD" TargetMode="External"/><Relationship Id="rId567" Type="http://schemas.openxmlformats.org/officeDocument/2006/relationships/hyperlink" Target="https://treas-secure.state.mi.us/LAFDocSearch/tl41R01.aspx?&amp;lu_id=974&amp;doc_yr=2016&amp;doc_code=AUD" TargetMode="External"/><Relationship Id="rId1197" Type="http://schemas.openxmlformats.org/officeDocument/2006/relationships/hyperlink" Target="https://treas-secure.state.mi.us/LAFDocSearch/tl41R01.aspx?&amp;lu_id=2287&amp;doc_yr=2016&amp;doc_code=AUD" TargetMode="External"/><Relationship Id="rId2150" Type="http://schemas.openxmlformats.org/officeDocument/2006/relationships/hyperlink" Target="https://treas-secure.state.mi.us/LAFDocSearch/tl41R01.aspx?&amp;lu_id=4384&amp;doc_yr=2016&amp;doc_code=AUD" TargetMode="External"/><Relationship Id="rId2248" Type="http://schemas.openxmlformats.org/officeDocument/2006/relationships/hyperlink" Target="https://treas-secure.state.mi.us/LAFDocSearch/tl41R01.aspx?&amp;lu_id=4607&amp;doc_yr=2016&amp;doc_code=AUD" TargetMode="External"/><Relationship Id="rId122" Type="http://schemas.openxmlformats.org/officeDocument/2006/relationships/hyperlink" Target="https://treas-secure.state.mi.us/LAFDocSearch/tl41R01.aspx?&amp;lu_id=212&amp;doc_yr=2016&amp;doc_code=AUD" TargetMode="External"/><Relationship Id="rId774" Type="http://schemas.openxmlformats.org/officeDocument/2006/relationships/hyperlink" Target="https://treas-secure.state.mi.us/LAFDocSearch/tl41R01.aspx?&amp;lu_id=1476&amp;doc_yr=2016&amp;doc_code=AUD" TargetMode="External"/><Relationship Id="rId981" Type="http://schemas.openxmlformats.org/officeDocument/2006/relationships/hyperlink" Target="https://treas-secure.state.mi.us/LAFDocSearch/tl41R01.aspx?&amp;lu_id=1809&amp;doc_yr=2016&amp;doc_code=AUD" TargetMode="External"/><Relationship Id="rId1057" Type="http://schemas.openxmlformats.org/officeDocument/2006/relationships/hyperlink" Target="https://treas-secure.state.mi.us/LAFDocSearch/tl41R01.aspx?&amp;lu_id=2093&amp;doc_yr=2016&amp;doc_code=AUD" TargetMode="External"/><Relationship Id="rId2010" Type="http://schemas.openxmlformats.org/officeDocument/2006/relationships/hyperlink" Target="https://treas-secure.state.mi.us/LAFDocSearch/tl41R01.aspx?&amp;lu_id=3867&amp;doc_yr=2016&amp;doc_code=AUD" TargetMode="External"/><Relationship Id="rId2455" Type="http://schemas.openxmlformats.org/officeDocument/2006/relationships/hyperlink" Target="https://treas-secure.state.mi.us/LAFDocSearch/tl41R01.aspx?&amp;lu_id=5038&amp;doc_yr=2016&amp;doc_code=AUD" TargetMode="External"/><Relationship Id="rId2662" Type="http://schemas.openxmlformats.org/officeDocument/2006/relationships/hyperlink" Target="https://treas-secure.state.mi.us/LAFDocSearch/tl41R01.aspx?&amp;lu_id=5848&amp;doc_yr=2016&amp;doc_code=AUD" TargetMode="External"/><Relationship Id="rId427" Type="http://schemas.openxmlformats.org/officeDocument/2006/relationships/hyperlink" Target="https://treas-secure.state.mi.us/LAFDocSearch/tl41R01.aspx?&amp;lu_id=735&amp;doc_yr=2016&amp;doc_code=AUD" TargetMode="External"/><Relationship Id="rId634" Type="http://schemas.openxmlformats.org/officeDocument/2006/relationships/hyperlink" Target="https://treas-secure.state.mi.us/LAFDocSearch/tl41R01.aspx?&amp;lu_id=1106&amp;doc_yr=2016&amp;doc_code=AUD" TargetMode="External"/><Relationship Id="rId841" Type="http://schemas.openxmlformats.org/officeDocument/2006/relationships/hyperlink" Target="https://treas-secure.state.mi.us/LAFDocSearch/tl41R01.aspx?&amp;lu_id=1595&amp;doc_yr=2016&amp;doc_code=AUD" TargetMode="External"/><Relationship Id="rId1264" Type="http://schemas.openxmlformats.org/officeDocument/2006/relationships/hyperlink" Target="https://treas-secure.state.mi.us/LAFDocSearch/tl41R01.aspx?&amp;lu_id=2445&amp;doc_yr=2016&amp;doc_code=AUD" TargetMode="External"/><Relationship Id="rId1471" Type="http://schemas.openxmlformats.org/officeDocument/2006/relationships/hyperlink" Target="https://treas-secure.state.mi.us/LAFDocSearch/tl41R01.aspx?&amp;lu_id=2829&amp;doc_yr=2016&amp;doc_code=AUD" TargetMode="External"/><Relationship Id="rId1569" Type="http://schemas.openxmlformats.org/officeDocument/2006/relationships/hyperlink" Target="https://treas-secure.state.mi.us/LAFDocSearch/tl41R01.aspx?&amp;lu_id=2992&amp;doc_yr=2016&amp;doc_code=AUD" TargetMode="External"/><Relationship Id="rId2108" Type="http://schemas.openxmlformats.org/officeDocument/2006/relationships/hyperlink" Target="https://treas-secure.state.mi.us/LAFDocSearch/tl41R01.aspx?&amp;lu_id=4342&amp;doc_yr=2016&amp;doc_code=AUD" TargetMode="External"/><Relationship Id="rId2315" Type="http://schemas.openxmlformats.org/officeDocument/2006/relationships/hyperlink" Target="https://treas-secure.state.mi.us/LAFDocSearch/tl41R01.aspx?&amp;lu_id=4731&amp;doc_yr=2016&amp;doc_code=AUD" TargetMode="External"/><Relationship Id="rId2522" Type="http://schemas.openxmlformats.org/officeDocument/2006/relationships/hyperlink" Target="https://treas-secure.state.mi.us/LAFDocSearch/tl41R01.aspx?&amp;lu_id=5114&amp;doc_yr=2016&amp;doc_code=AUD" TargetMode="External"/><Relationship Id="rId701" Type="http://schemas.openxmlformats.org/officeDocument/2006/relationships/hyperlink" Target="https://treas-secure.state.mi.us/LAFDocSearch/tl41R01.aspx?&amp;lu_id=1414&amp;doc_yr=2016&amp;doc_code=AUD" TargetMode="External"/><Relationship Id="rId939" Type="http://schemas.openxmlformats.org/officeDocument/2006/relationships/hyperlink" Target="https://treas-secure.state.mi.us/LAFDocSearch/tl41R01.aspx?&amp;lu_id=1888&amp;doc_yr=2016&amp;doc_code=AUD" TargetMode="External"/><Relationship Id="rId1124" Type="http://schemas.openxmlformats.org/officeDocument/2006/relationships/hyperlink" Target="https://treas-secure.state.mi.us/LAFDocSearch/tl41R01.aspx?&amp;lu_id=2193&amp;doc_yr=2016&amp;doc_code=AUD" TargetMode="External"/><Relationship Id="rId1331" Type="http://schemas.openxmlformats.org/officeDocument/2006/relationships/hyperlink" Target="https://treas-secure.state.mi.us/LAFDocSearch/tl41R01.aspx?&amp;lu_id=2469&amp;doc_yr=2016&amp;doc_code=AUD" TargetMode="External"/><Relationship Id="rId1776" Type="http://schemas.openxmlformats.org/officeDocument/2006/relationships/hyperlink" Target="https://treas-secure.state.mi.us/LAFDocSearch/tl41R01.aspx?&amp;lu_id=3545&amp;doc_yr=2016&amp;doc_code=AUD" TargetMode="External"/><Relationship Id="rId1983" Type="http://schemas.openxmlformats.org/officeDocument/2006/relationships/hyperlink" Target="https://treas-secure.state.mi.us/LAFDocSearch/tl41R01.aspx?&amp;lu_id=3883&amp;doc_yr=2016&amp;doc_code=AUD" TargetMode="External"/><Relationship Id="rId68" Type="http://schemas.openxmlformats.org/officeDocument/2006/relationships/hyperlink" Target="https://treas-secure.state.mi.us/LAFDocSearch/tl41R01.aspx?&amp;lu_id=76&amp;doc_yr=2016&amp;doc_code=AUD" TargetMode="External"/><Relationship Id="rId1429" Type="http://schemas.openxmlformats.org/officeDocument/2006/relationships/hyperlink" Target="https://treas-secure.state.mi.us/LAFDocSearch/tl41R01.aspx?&amp;lu_id=2734&amp;doc_yr=2016&amp;doc_code=AUD" TargetMode="External"/><Relationship Id="rId1636" Type="http://schemas.openxmlformats.org/officeDocument/2006/relationships/hyperlink" Target="https://treas-secure.state.mi.us/LAFDocSearch/tl41R01.aspx?&amp;lu_id=3286&amp;doc_yr=2016&amp;doc_code=AUD" TargetMode="External"/><Relationship Id="rId1843" Type="http://schemas.openxmlformats.org/officeDocument/2006/relationships/hyperlink" Target="https://treas-secure.state.mi.us/LAFDocSearch/tl41R01.aspx?&amp;lu_id=3613&amp;doc_yr=2016&amp;doc_code=AUD" TargetMode="External"/><Relationship Id="rId1703" Type="http://schemas.openxmlformats.org/officeDocument/2006/relationships/hyperlink" Target="https://treas-secure.state.mi.us/LAFDocSearch/tl41R01.aspx?&amp;lu_id=3395&amp;doc_yr=2016&amp;doc_code=AUD" TargetMode="External"/><Relationship Id="rId1910" Type="http://schemas.openxmlformats.org/officeDocument/2006/relationships/hyperlink" Target="https://treas-secure.state.mi.us/LAFDocSearch/tl41R01.aspx?&amp;lu_id=3770&amp;doc_yr=2016&amp;doc_code=AUD" TargetMode="External"/><Relationship Id="rId284" Type="http://schemas.openxmlformats.org/officeDocument/2006/relationships/hyperlink" Target="https://treas-secure.state.mi.us/LAFDocSearch/tl41R01.aspx?&amp;lu_id=435&amp;doc_yr=2016&amp;doc_code=AUD" TargetMode="External"/><Relationship Id="rId491" Type="http://schemas.openxmlformats.org/officeDocument/2006/relationships/hyperlink" Target="https://treas-secure.state.mi.us/LAFDocSearch/tl41R01.aspx?&amp;lu_id=831&amp;doc_yr=2016&amp;doc_code=AUD" TargetMode="External"/><Relationship Id="rId2172" Type="http://schemas.openxmlformats.org/officeDocument/2006/relationships/hyperlink" Target="https://treas-secure.state.mi.us/LAFDocSearch/tl41R01.aspx?&amp;lu_id=4436&amp;doc_yr=2016&amp;doc_code=AUD" TargetMode="External"/><Relationship Id="rId144" Type="http://schemas.openxmlformats.org/officeDocument/2006/relationships/hyperlink" Target="https://treas-secure.state.mi.us/LAFDocSearch/tl41R01.aspx?&amp;lu_id=255&amp;doc_yr=2016&amp;doc_code=AUD" TargetMode="External"/><Relationship Id="rId589" Type="http://schemas.openxmlformats.org/officeDocument/2006/relationships/hyperlink" Target="https://treas-secure.state.mi.us/LAFDocSearch/tl41R01.aspx?&amp;lu_id=1013&amp;doc_yr=2016&amp;doc_code=AUD" TargetMode="External"/><Relationship Id="rId796" Type="http://schemas.openxmlformats.org/officeDocument/2006/relationships/hyperlink" Target="https://treas-secure.state.mi.us/LAFDocSearch/tl41R01.aspx?&amp;lu_id=1527&amp;doc_yr=2016&amp;doc_code=AUD" TargetMode="External"/><Relationship Id="rId2477" Type="http://schemas.openxmlformats.org/officeDocument/2006/relationships/hyperlink" Target="https://treas-secure.state.mi.us/LAFDocSearch/tl41R01.aspx?&amp;lu_id=5085&amp;doc_yr=2016&amp;doc_code=AUD" TargetMode="External"/><Relationship Id="rId2684" Type="http://schemas.openxmlformats.org/officeDocument/2006/relationships/hyperlink" Target="https://treas-secure.state.mi.us/LAFDocSearch/tl41R01.aspx?&amp;lu_id=5857&amp;doc_yr=2016&amp;doc_code=AUD" TargetMode="External"/><Relationship Id="rId351" Type="http://schemas.openxmlformats.org/officeDocument/2006/relationships/hyperlink" Target="https://treas-secure.state.mi.us/LAFDocSearch/tl41R01.aspx?&amp;lu_id=619&amp;doc_yr=2016&amp;doc_code=AUD" TargetMode="External"/><Relationship Id="rId449" Type="http://schemas.openxmlformats.org/officeDocument/2006/relationships/hyperlink" Target="https://treas-secure.state.mi.us/LAFDocSearch/tl41R01.aspx?&amp;lu_id=759&amp;doc_yr=2016&amp;doc_code=AUD" TargetMode="External"/><Relationship Id="rId656" Type="http://schemas.openxmlformats.org/officeDocument/2006/relationships/hyperlink" Target="https://treas-secure.state.mi.us/LAFDocSearch/tl41R01.aspx?&amp;lu_id=1100&amp;doc_yr=2016&amp;doc_code=AUD" TargetMode="External"/><Relationship Id="rId863" Type="http://schemas.openxmlformats.org/officeDocument/2006/relationships/hyperlink" Target="https://treas-secure.state.mi.us/LAFDocSearch/tl41R01.aspx?&amp;lu_id=1609&amp;doc_yr=2016&amp;doc_code=AUD" TargetMode="External"/><Relationship Id="rId1079" Type="http://schemas.openxmlformats.org/officeDocument/2006/relationships/hyperlink" Target="https://treas-secure.state.mi.us/LAFDocSearch/tl41R01.aspx?&amp;lu_id=2160&amp;doc_yr=2016&amp;doc_code=AUD" TargetMode="External"/><Relationship Id="rId1286" Type="http://schemas.openxmlformats.org/officeDocument/2006/relationships/hyperlink" Target="https://treas-secure.state.mi.us/LAFDocSearch/tl41R01.aspx?&amp;lu_id=2460&amp;doc_yr=2016&amp;doc_code=AUD" TargetMode="External"/><Relationship Id="rId1493" Type="http://schemas.openxmlformats.org/officeDocument/2006/relationships/hyperlink" Target="https://treas-secure.state.mi.us/LAFDocSearch/tl41R01.aspx?&amp;lu_id=2826&amp;doc_yr=2016&amp;doc_code=AUD" TargetMode="External"/><Relationship Id="rId2032" Type="http://schemas.openxmlformats.org/officeDocument/2006/relationships/hyperlink" Target="https://treas-secure.state.mi.us/LAFDocSearch/tl41R01.aspx?&amp;lu_id=3845&amp;doc_yr=2016&amp;doc_code=AUD" TargetMode="External"/><Relationship Id="rId2337" Type="http://schemas.openxmlformats.org/officeDocument/2006/relationships/hyperlink" Target="https://treas-secure.state.mi.us/LAFDocSearch/tl41R01.aspx?&amp;lu_id=4723&amp;doc_yr=2016&amp;doc_code=AUD" TargetMode="External"/><Relationship Id="rId2544" Type="http://schemas.openxmlformats.org/officeDocument/2006/relationships/hyperlink" Target="https://treas-secure.state.mi.us/LAFDocSearch/tl41R01.aspx?&amp;lu_id=5199&amp;doc_yr=2016&amp;doc_code=AUD" TargetMode="External"/><Relationship Id="rId211" Type="http://schemas.openxmlformats.org/officeDocument/2006/relationships/hyperlink" Target="https://treas-secure.state.mi.us/LAFDocSearch/tl41R01.aspx?&amp;lu_id=330&amp;doc_yr=2016&amp;doc_code=AUD" TargetMode="External"/><Relationship Id="rId309" Type="http://schemas.openxmlformats.org/officeDocument/2006/relationships/hyperlink" Target="https://treas-secure.state.mi.us/LAFDocSearch/tl41R01.aspx?&amp;lu_id=538&amp;doc_yr=2016&amp;doc_code=AUD" TargetMode="External"/><Relationship Id="rId516" Type="http://schemas.openxmlformats.org/officeDocument/2006/relationships/hyperlink" Target="https://treas-secure.state.mi.us/LAFDocSearch/tl41R01.aspx?&amp;lu_id=887&amp;doc_yr=2016&amp;doc_code=AUD" TargetMode="External"/><Relationship Id="rId1146" Type="http://schemas.openxmlformats.org/officeDocument/2006/relationships/hyperlink" Target="https://treas-secure.state.mi.us/LAFDocSearch/tl41R01.aspx?&amp;lu_id=2229&amp;doc_yr=2016&amp;doc_code=AUD" TargetMode="External"/><Relationship Id="rId1798" Type="http://schemas.openxmlformats.org/officeDocument/2006/relationships/hyperlink" Target="https://treas-secure.state.mi.us/LAFDocSearch/tl41R01.aspx?&amp;lu_id=3581&amp;doc_yr=2016&amp;doc_code=AUD" TargetMode="External"/><Relationship Id="rId2751" Type="http://schemas.openxmlformats.org/officeDocument/2006/relationships/hyperlink" Target="https://treas-secure.state.mi.us/LAFDocSearch/tl41R01.aspx?&amp;lu_id=5426&amp;doc_yr=2016&amp;doc_code=AUD" TargetMode="External"/><Relationship Id="rId723" Type="http://schemas.openxmlformats.org/officeDocument/2006/relationships/hyperlink" Target="https://treas-secure.state.mi.us/LAFDocSearch/tl41R01.aspx?&amp;lu_id=1336&amp;doc_yr=2016&amp;doc_code=AUD" TargetMode="External"/><Relationship Id="rId930" Type="http://schemas.openxmlformats.org/officeDocument/2006/relationships/hyperlink" Target="https://treas-secure.state.mi.us/LAFDocSearch/tl41R01.aspx?&amp;lu_id=1769&amp;doc_yr=2016&amp;doc_code=AUD" TargetMode="External"/><Relationship Id="rId1006" Type="http://schemas.openxmlformats.org/officeDocument/2006/relationships/hyperlink" Target="https://treas-secure.state.mi.us/LAFDocSearch/tl41R01.aspx?&amp;lu_id=2016&amp;doc_yr=2016&amp;doc_code=AUD" TargetMode="External"/><Relationship Id="rId1353" Type="http://schemas.openxmlformats.org/officeDocument/2006/relationships/hyperlink" Target="https://treas-secure.state.mi.us/LAFDocSearch/tl41R01.aspx?&amp;lu_id=2614&amp;doc_yr=2016&amp;doc_code=AUD" TargetMode="External"/><Relationship Id="rId1560" Type="http://schemas.openxmlformats.org/officeDocument/2006/relationships/hyperlink" Target="https://treas-secure.state.mi.us/LAFDocSearch/tl41R01.aspx?&amp;lu_id=7817&amp;doc_yr=2016&amp;doc_code=AUD" TargetMode="External"/><Relationship Id="rId1658" Type="http://schemas.openxmlformats.org/officeDocument/2006/relationships/hyperlink" Target="https://treas-secure.state.mi.us/LAFDocSearch/tl41R01.aspx?&amp;lu_id=3264&amp;doc_yr=2016&amp;doc_code=AUD" TargetMode="External"/><Relationship Id="rId1865" Type="http://schemas.openxmlformats.org/officeDocument/2006/relationships/hyperlink" Target="https://treas-secure.state.mi.us/LAFDocSearch/tl41R01.aspx?&amp;lu_id=3691&amp;doc_yr=2016&amp;doc_code=AUD" TargetMode="External"/><Relationship Id="rId2404" Type="http://schemas.openxmlformats.org/officeDocument/2006/relationships/hyperlink" Target="https://treas-secure.state.mi.us/LAFDocSearch/tl41R01.aspx?&amp;lu_id=4946&amp;doc_yr=2016&amp;doc_code=AUD" TargetMode="External"/><Relationship Id="rId2611" Type="http://schemas.openxmlformats.org/officeDocument/2006/relationships/hyperlink" Target="https://treas-secure.state.mi.us/LAFDocSearch/tl41R01.aspx?&amp;lu_id=5412&amp;doc_yr=2016&amp;doc_code=AUD" TargetMode="External"/><Relationship Id="rId2709" Type="http://schemas.openxmlformats.org/officeDocument/2006/relationships/hyperlink" Target="https://treas-secure.state.mi.us/LAFDocSearch/tl41R01.aspx?&amp;lu_id=5442&amp;doc_yr=2016&amp;doc_code=AUD" TargetMode="External"/><Relationship Id="rId1213" Type="http://schemas.openxmlformats.org/officeDocument/2006/relationships/hyperlink" Target="https://treas-secure.state.mi.us/LAFDocSearch/tl41R01.aspx?&amp;lu_id=2363&amp;doc_yr=2016&amp;doc_code=AUD" TargetMode="External"/><Relationship Id="rId1420" Type="http://schemas.openxmlformats.org/officeDocument/2006/relationships/hyperlink" Target="https://treas-secure.state.mi.us/LAFDocSearch/tl41R01.aspx?&amp;lu_id=2715&amp;doc_yr=2016&amp;doc_code=AUD" TargetMode="External"/><Relationship Id="rId1518" Type="http://schemas.openxmlformats.org/officeDocument/2006/relationships/hyperlink" Target="https://treas-secure.state.mi.us/LAFDocSearch/tl41R01.aspx?&amp;lu_id=2943&amp;doc_yr=2016&amp;doc_code=AUD" TargetMode="External"/><Relationship Id="rId1725" Type="http://schemas.openxmlformats.org/officeDocument/2006/relationships/hyperlink" Target="https://treas-secure.state.mi.us/LAFDocSearch/tl41R01.aspx?&amp;lu_id=3483&amp;doc_yr=2016&amp;doc_code=AUD" TargetMode="External"/><Relationship Id="rId1932" Type="http://schemas.openxmlformats.org/officeDocument/2006/relationships/hyperlink" Target="https://treas-secure.state.mi.us/LAFDocSearch/tl41R01.aspx?&amp;lu_id=3785&amp;doc_yr=2016&amp;doc_code=AUD" TargetMode="External"/><Relationship Id="rId17" Type="http://schemas.openxmlformats.org/officeDocument/2006/relationships/hyperlink" Target="https://treas-secure.state.mi.us/LAFDocSearch/tl41R01.aspx?&amp;lu_id=43&amp;doc_yr=2016&amp;doc_code=AUD" TargetMode="External"/><Relationship Id="rId2194" Type="http://schemas.openxmlformats.org/officeDocument/2006/relationships/hyperlink" Target="https://treas-secure.state.mi.us/LAFDocSearch/tl41R01.aspx?&amp;lu_id=4428&amp;doc_yr=2016&amp;doc_code=AUD" TargetMode="External"/><Relationship Id="rId166" Type="http://schemas.openxmlformats.org/officeDocument/2006/relationships/hyperlink" Target="https://treas-secure.state.mi.us/LAFDocSearch/tl41R01.aspx?&amp;lu_id=315&amp;doc_yr=2016&amp;doc_code=AUD" TargetMode="External"/><Relationship Id="rId373" Type="http://schemas.openxmlformats.org/officeDocument/2006/relationships/hyperlink" Target="https://treas-secure.state.mi.us/LAFDocSearch/tl41R01.aspx?&amp;lu_id=678&amp;doc_yr=2016&amp;doc_code=AUD" TargetMode="External"/><Relationship Id="rId580" Type="http://schemas.openxmlformats.org/officeDocument/2006/relationships/hyperlink" Target="https://treas-secure.state.mi.us/LAFDocSearch/tl41R01.aspx?&amp;lu_id=1003&amp;doc_yr=2016&amp;doc_code=AUD" TargetMode="External"/><Relationship Id="rId2054" Type="http://schemas.openxmlformats.org/officeDocument/2006/relationships/hyperlink" Target="https://treas-secure.state.mi.us/LAFDocSearch/tl41R01.aspx?&amp;lu_id=4257&amp;doc_yr=2016&amp;doc_code=AUD" TargetMode="External"/><Relationship Id="rId2261" Type="http://schemas.openxmlformats.org/officeDocument/2006/relationships/hyperlink" Target="https://treas-secure.state.mi.us/LAFDocSearch/tl41R01.aspx?&amp;lu_id=4700&amp;doc_yr=2016&amp;doc_code=AUD" TargetMode="External"/><Relationship Id="rId2499" Type="http://schemas.openxmlformats.org/officeDocument/2006/relationships/hyperlink" Target="https://treas-secure.state.mi.us/LAFDocSearch/tl41R01.aspx?&amp;lu_id=5106&amp;doc_yr=2016&amp;doc_code=AUD" TargetMode="External"/><Relationship Id="rId1" Type="http://schemas.openxmlformats.org/officeDocument/2006/relationships/hyperlink" Target="https://treas-secure.state.mi.us/LAFDocSearch/tl41R01.aspx?&amp;lu_id=1&amp;doc_yr=2016&amp;doc_code=AUD" TargetMode="External"/><Relationship Id="rId233" Type="http://schemas.openxmlformats.org/officeDocument/2006/relationships/hyperlink" Target="https://treas-secure.state.mi.us/LAFDocSearch/tl41R01.aspx?&amp;lu_id=424&amp;doc_yr=2016&amp;doc_code=AUD" TargetMode="External"/><Relationship Id="rId440" Type="http://schemas.openxmlformats.org/officeDocument/2006/relationships/hyperlink" Target="https://treas-secure.state.mi.us/LAFDocSearch/tl41R01.aspx?&amp;lu_id=744&amp;doc_yr=2016&amp;doc_code=AUD" TargetMode="External"/><Relationship Id="rId678" Type="http://schemas.openxmlformats.org/officeDocument/2006/relationships/hyperlink" Target="https://treas-secure.state.mi.us/LAFDocSearch/tl41R01.aspx?&amp;lu_id=1319&amp;doc_yr=2016&amp;doc_code=AUD" TargetMode="External"/><Relationship Id="rId885" Type="http://schemas.openxmlformats.org/officeDocument/2006/relationships/hyperlink" Target="https://treas-secure.state.mi.us/LAFDocSearch/tl41R01.aspx?&amp;lu_id=1699&amp;doc_yr=2016&amp;doc_code=AUD" TargetMode="External"/><Relationship Id="rId1070" Type="http://schemas.openxmlformats.org/officeDocument/2006/relationships/hyperlink" Target="https://treas-secure.state.mi.us/LAFDocSearch/tl41R01.aspx?&amp;lu_id=2100&amp;doc_yr=2016&amp;doc_code=AUD" TargetMode="External"/><Relationship Id="rId2121" Type="http://schemas.openxmlformats.org/officeDocument/2006/relationships/hyperlink" Target="https://treas-secure.state.mi.us/LAFDocSearch/tl41R01.aspx?&amp;lu_id=4337&amp;doc_yr=2016&amp;doc_code=AUD" TargetMode="External"/><Relationship Id="rId2359" Type="http://schemas.openxmlformats.org/officeDocument/2006/relationships/hyperlink" Target="https://treas-secure.state.mi.us/LAFDocSearch/tl41R01.aspx?&amp;lu_id=4873&amp;doc_yr=2016&amp;doc_code=AUD" TargetMode="External"/><Relationship Id="rId2566" Type="http://schemas.openxmlformats.org/officeDocument/2006/relationships/hyperlink" Target="https://treas-secure.state.mi.us/LAFDocSearch/tl41R01.aspx?&amp;lu_id=5233&amp;doc_yr=2016&amp;doc_code=AUD" TargetMode="External"/><Relationship Id="rId2773" Type="http://schemas.openxmlformats.org/officeDocument/2006/relationships/hyperlink" Target="https://treas-secure.state.mi.us/LAFDocSearch/tl41R01.aspx?&amp;lu_id=5895&amp;doc_yr=2016&amp;doc_code=AUD" TargetMode="External"/><Relationship Id="rId300" Type="http://schemas.openxmlformats.org/officeDocument/2006/relationships/hyperlink" Target="https://treas-secure.state.mi.us/LAFDocSearch/tl41R01.aspx?&amp;lu_id=440&amp;doc_yr=2016&amp;doc_code=AUD" TargetMode="External"/><Relationship Id="rId538" Type="http://schemas.openxmlformats.org/officeDocument/2006/relationships/hyperlink" Target="https://treas-secure.state.mi.us/LAFDocSearch/tl41R01.aspx?&amp;lu_id=929&amp;doc_yr=2016&amp;doc_code=AUD" TargetMode="External"/><Relationship Id="rId745" Type="http://schemas.openxmlformats.org/officeDocument/2006/relationships/hyperlink" Target="https://treas-secure.state.mi.us/LAFDocSearch/tl41R01.aspx?&amp;lu_id=1352&amp;doc_yr=2016&amp;doc_code=AUD" TargetMode="External"/><Relationship Id="rId952" Type="http://schemas.openxmlformats.org/officeDocument/2006/relationships/hyperlink" Target="https://treas-secure.state.mi.us/LAFDocSearch/tl41R01.aspx?&amp;lu_id=1881&amp;doc_yr=2016&amp;doc_code=AUD" TargetMode="External"/><Relationship Id="rId1168" Type="http://schemas.openxmlformats.org/officeDocument/2006/relationships/hyperlink" Target="https://treas-secure.state.mi.us/LAFDocSearch/tl41R01.aspx?&amp;lu_id=2269&amp;doc_yr=2016&amp;doc_code=AUD" TargetMode="External"/><Relationship Id="rId1375" Type="http://schemas.openxmlformats.org/officeDocument/2006/relationships/hyperlink" Target="https://treas-secure.state.mi.us/LAFDocSearch/tl41R01.aspx?&amp;lu_id=2647&amp;doc_yr=2016&amp;doc_code=AUD" TargetMode="External"/><Relationship Id="rId1582" Type="http://schemas.openxmlformats.org/officeDocument/2006/relationships/hyperlink" Target="https://treas-secure.state.mi.us/LAFDocSearch/tl41R01.aspx?&amp;lu_id=2994&amp;doc_yr=2016&amp;doc_code=AUD" TargetMode="External"/><Relationship Id="rId2219" Type="http://schemas.openxmlformats.org/officeDocument/2006/relationships/hyperlink" Target="https://treas-secure.state.mi.us/LAFDocSearch/tl41R01.aspx?&amp;lu_id=4511&amp;doc_yr=2016&amp;doc_code=AUD" TargetMode="External"/><Relationship Id="rId2426" Type="http://schemas.openxmlformats.org/officeDocument/2006/relationships/hyperlink" Target="https://treas-secure.state.mi.us/LAFDocSearch/tl41R01.aspx?&amp;lu_id=4934&amp;doc_yr=2016&amp;doc_code=AUD" TargetMode="External"/><Relationship Id="rId2633" Type="http://schemas.openxmlformats.org/officeDocument/2006/relationships/hyperlink" Target="https://treas-secure.state.mi.us/LAFDocSearch/tl41R01.aspx?&amp;lu_id=7562&amp;doc_yr=2016&amp;doc_code=AUD" TargetMode="External"/><Relationship Id="rId81" Type="http://schemas.openxmlformats.org/officeDocument/2006/relationships/hyperlink" Target="https://treas-secure.state.mi.us/LAFDocSearch/tl41R01.aspx?&amp;lu_id=138&amp;doc_yr=2016&amp;doc_code=AUD" TargetMode="External"/><Relationship Id="rId605" Type="http://schemas.openxmlformats.org/officeDocument/2006/relationships/hyperlink" Target="https://treas-secure.state.mi.us/LAFDocSearch/tl41R01.aspx?&amp;lu_id=1041&amp;doc_yr=2016&amp;doc_code=AUD" TargetMode="External"/><Relationship Id="rId812" Type="http://schemas.openxmlformats.org/officeDocument/2006/relationships/hyperlink" Target="https://treas-secure.state.mi.us/LAFDocSearch/tl41R01.aspx?&amp;lu_id=1567&amp;doc_yr=2016&amp;doc_code=AUD" TargetMode="External"/><Relationship Id="rId1028" Type="http://schemas.openxmlformats.org/officeDocument/2006/relationships/hyperlink" Target="https://treas-secure.state.mi.us/LAFDocSearch/tl41R01.aspx?&amp;lu_id=2018&amp;doc_yr=2016&amp;doc_code=AUD" TargetMode="External"/><Relationship Id="rId1235" Type="http://schemas.openxmlformats.org/officeDocument/2006/relationships/hyperlink" Target="https://treas-secure.state.mi.us/LAFDocSearch/tl41R01.aspx?&amp;lu_id=2355&amp;doc_yr=2016&amp;doc_code=AUD" TargetMode="External"/><Relationship Id="rId1442" Type="http://schemas.openxmlformats.org/officeDocument/2006/relationships/hyperlink" Target="https://treas-secure.state.mi.us/LAFDocSearch/tl41R01.aspx?&amp;lu_id=2794&amp;doc_yr=2016&amp;doc_code=AUD" TargetMode="External"/><Relationship Id="rId1887" Type="http://schemas.openxmlformats.org/officeDocument/2006/relationships/hyperlink" Target="https://treas-secure.state.mi.us/LAFDocSearch/tl41R01.aspx?&amp;lu_id=3749&amp;doc_yr=2016&amp;doc_code=AUD" TargetMode="External"/><Relationship Id="rId1302" Type="http://schemas.openxmlformats.org/officeDocument/2006/relationships/hyperlink" Target="https://treas-secure.state.mi.us/LAFDocSearch/tl41R01.aspx?&amp;lu_id=2476&amp;doc_yr=2016&amp;doc_code=AUD" TargetMode="External"/><Relationship Id="rId1747" Type="http://schemas.openxmlformats.org/officeDocument/2006/relationships/hyperlink" Target="https://treas-secure.state.mi.us/LAFDocSearch/tl41R01.aspx?&amp;lu_id=3469&amp;doc_yr=2016&amp;doc_code=AUD" TargetMode="External"/><Relationship Id="rId1954" Type="http://schemas.openxmlformats.org/officeDocument/2006/relationships/hyperlink" Target="https://treas-secure.state.mi.us/LAFDocSearch/tl41R01.aspx?&amp;lu_id=4181&amp;doc_yr=2016&amp;doc_code=AUD" TargetMode="External"/><Relationship Id="rId2700" Type="http://schemas.openxmlformats.org/officeDocument/2006/relationships/hyperlink" Target="https://treas-secure.state.mi.us/LAFDocSearch/tl41R01.aspx?&amp;lu_id=5419&amp;doc_yr=2016&amp;doc_code=AUD" TargetMode="External"/><Relationship Id="rId39" Type="http://schemas.openxmlformats.org/officeDocument/2006/relationships/hyperlink" Target="https://treas-secure.state.mi.us/LAFDocSearch/tl41R01.aspx?&amp;lu_id=131&amp;doc_yr=2016&amp;doc_code=AUD" TargetMode="External"/><Relationship Id="rId1607" Type="http://schemas.openxmlformats.org/officeDocument/2006/relationships/hyperlink" Target="https://treas-secure.state.mi.us/LAFDocSearch/tl41R01.aspx?&amp;lu_id=3236&amp;doc_yr=2016&amp;doc_code=AUD" TargetMode="External"/><Relationship Id="rId1814" Type="http://schemas.openxmlformats.org/officeDocument/2006/relationships/hyperlink" Target="https://treas-secure.state.mi.us/LAFDocSearch/tl41R01.aspx?&amp;lu_id=3615&amp;doc_yr=2016&amp;doc_code=AUD" TargetMode="External"/><Relationship Id="rId188" Type="http://schemas.openxmlformats.org/officeDocument/2006/relationships/hyperlink" Target="https://treas-secure.state.mi.us/LAFDocSearch/tl41R01.aspx?&amp;lu_id=288&amp;doc_yr=2016&amp;doc_code=AUD" TargetMode="External"/><Relationship Id="rId395" Type="http://schemas.openxmlformats.org/officeDocument/2006/relationships/hyperlink" Target="https://treas-secure.state.mi.us/LAFDocSearch/tl41R01.aspx?&amp;lu_id=618&amp;doc_yr=2016&amp;doc_code=AUD" TargetMode="External"/><Relationship Id="rId2076" Type="http://schemas.openxmlformats.org/officeDocument/2006/relationships/hyperlink" Target="https://treas-secure.state.mi.us/LAFDocSearch/tl41R01.aspx?&amp;lu_id=4271&amp;doc_yr=2016&amp;doc_code=AUD" TargetMode="External"/><Relationship Id="rId2283" Type="http://schemas.openxmlformats.org/officeDocument/2006/relationships/hyperlink" Target="https://treas-secure.state.mi.us/LAFDocSearch/tl41R01.aspx?&amp;lu_id=4605&amp;doc_yr=2016&amp;doc_code=AUD" TargetMode="External"/><Relationship Id="rId2490" Type="http://schemas.openxmlformats.org/officeDocument/2006/relationships/hyperlink" Target="https://treas-secure.state.mi.us/LAFDocSearch/tl41R01.aspx?&amp;lu_id=5098&amp;doc_yr=2016&amp;doc_code=AUD" TargetMode="External"/><Relationship Id="rId2588" Type="http://schemas.openxmlformats.org/officeDocument/2006/relationships/hyperlink" Target="https://treas-secure.state.mi.us/LAFDocSearch/tl41R01.aspx?&amp;lu_id=5289&amp;doc_yr=2016&amp;doc_code=AUD" TargetMode="External"/><Relationship Id="rId255" Type="http://schemas.openxmlformats.org/officeDocument/2006/relationships/hyperlink" Target="https://treas-secure.state.mi.us/LAFDocSearch/tl41R01.aspx?&amp;lu_id=449&amp;doc_yr=2016&amp;doc_code=AUD" TargetMode="External"/><Relationship Id="rId462" Type="http://schemas.openxmlformats.org/officeDocument/2006/relationships/hyperlink" Target="https://treas-secure.state.mi.us/LAFDocSearch/tl41R01.aspx?&amp;lu_id=754&amp;doc_yr=2016&amp;doc_code=AUD" TargetMode="External"/><Relationship Id="rId1092" Type="http://schemas.openxmlformats.org/officeDocument/2006/relationships/hyperlink" Target="https://treas-secure.state.mi.us/LAFDocSearch/tl41R01.aspx?&amp;lu_id=2171&amp;doc_yr=2016&amp;doc_code=AUD" TargetMode="External"/><Relationship Id="rId1397" Type="http://schemas.openxmlformats.org/officeDocument/2006/relationships/hyperlink" Target="https://treas-secure.state.mi.us/LAFDocSearch/tl41R01.aspx?&amp;lu_id=2652&amp;doc_yr=2016&amp;doc_code=AUD" TargetMode="External"/><Relationship Id="rId2143" Type="http://schemas.openxmlformats.org/officeDocument/2006/relationships/hyperlink" Target="https://treas-secure.state.mi.us/LAFDocSearch/tl41R01.aspx?&amp;lu_id=4388&amp;doc_yr=2016&amp;doc_code=AUD" TargetMode="External"/><Relationship Id="rId2350" Type="http://schemas.openxmlformats.org/officeDocument/2006/relationships/hyperlink" Target="https://treas-secure.state.mi.us/LAFDocSearch/tl41R01.aspx?&amp;lu_id=4840&amp;doc_yr=2016&amp;doc_code=AUD" TargetMode="External"/><Relationship Id="rId2795" Type="http://schemas.openxmlformats.org/officeDocument/2006/relationships/hyperlink" Target="https://treas-secure.state.mi.us/LAFDocSearch/tl41R01.aspx?&amp;lu_id=5907&amp;doc_yr=2016&amp;doc_code=AUD" TargetMode="External"/><Relationship Id="rId115" Type="http://schemas.openxmlformats.org/officeDocument/2006/relationships/hyperlink" Target="https://treas-secure.state.mi.us/LAFDocSearch/tl41R01.aspx?&amp;lu_id=199&amp;doc_yr=2016&amp;doc_code=AUD" TargetMode="External"/><Relationship Id="rId322" Type="http://schemas.openxmlformats.org/officeDocument/2006/relationships/hyperlink" Target="https://treas-secure.state.mi.us/LAFDocSearch/tl41R01.aspx?&amp;lu_id=527&amp;doc_yr=2016&amp;doc_code=AUD" TargetMode="External"/><Relationship Id="rId767" Type="http://schemas.openxmlformats.org/officeDocument/2006/relationships/hyperlink" Target="https://treas-secure.state.mi.us/LAFDocSearch/tl41R01.aspx?&amp;lu_id=1475&amp;doc_yr=2016&amp;doc_code=AUD" TargetMode="External"/><Relationship Id="rId974" Type="http://schemas.openxmlformats.org/officeDocument/2006/relationships/hyperlink" Target="https://treas-secure.state.mi.us/LAFDocSearch/tl41R01.aspx?&amp;lu_id=1805&amp;doc_yr=2016&amp;doc_code=AUD" TargetMode="External"/><Relationship Id="rId2003" Type="http://schemas.openxmlformats.org/officeDocument/2006/relationships/hyperlink" Target="https://treas-secure.state.mi.us/LAFDocSearch/tl41R01.aspx?&amp;lu_id=3840&amp;doc_yr=2016&amp;doc_code=AUD" TargetMode="External"/><Relationship Id="rId2210" Type="http://schemas.openxmlformats.org/officeDocument/2006/relationships/hyperlink" Target="https://treas-secure.state.mi.us/LAFDocSearch/tl41R01.aspx?&amp;lu_id=4520&amp;doc_yr=2016&amp;doc_code=AUD" TargetMode="External"/><Relationship Id="rId2448" Type="http://schemas.openxmlformats.org/officeDocument/2006/relationships/hyperlink" Target="https://treas-secure.state.mi.us/LAFDocSearch/tl41R01.aspx?&amp;lu_id=5086&amp;doc_yr=2016&amp;doc_code=AUD" TargetMode="External"/><Relationship Id="rId2655" Type="http://schemas.openxmlformats.org/officeDocument/2006/relationships/hyperlink" Target="https://treas-secure.state.mi.us/LAFDocSearch/tl41R01.aspx?&amp;lu_id=5806&amp;doc_yr=2016&amp;doc_code=AUD" TargetMode="External"/><Relationship Id="rId627" Type="http://schemas.openxmlformats.org/officeDocument/2006/relationships/hyperlink" Target="https://treas-secure.state.mi.us/LAFDocSearch/tl41R01.aspx?&amp;lu_id=1063&amp;doc_yr=2016&amp;doc_code=AUD" TargetMode="External"/><Relationship Id="rId834" Type="http://schemas.openxmlformats.org/officeDocument/2006/relationships/hyperlink" Target="https://treas-secure.state.mi.us/LAFDocSearch/tl41R01.aspx?&amp;lu_id=1571&amp;doc_yr=2016&amp;doc_code=AUD" TargetMode="External"/><Relationship Id="rId1257" Type="http://schemas.openxmlformats.org/officeDocument/2006/relationships/hyperlink" Target="https://treas-secure.state.mi.us/LAFDocSearch/tl41R01.aspx?&amp;lu_id=2446&amp;doc_yr=2016&amp;doc_code=AUD" TargetMode="External"/><Relationship Id="rId1464" Type="http://schemas.openxmlformats.org/officeDocument/2006/relationships/hyperlink" Target="https://treas-secure.state.mi.us/LAFDocSearch/tl41R01.aspx?&amp;lu_id=2754&amp;doc_yr=2016&amp;doc_code=AUD" TargetMode="External"/><Relationship Id="rId1671" Type="http://schemas.openxmlformats.org/officeDocument/2006/relationships/hyperlink" Target="https://treas-secure.state.mi.us/LAFDocSearch/tl41R01.aspx?&amp;lu_id=3351&amp;doc_yr=2016&amp;doc_code=AUD" TargetMode="External"/><Relationship Id="rId2308" Type="http://schemas.openxmlformats.org/officeDocument/2006/relationships/hyperlink" Target="https://treas-secure.state.mi.us/LAFDocSearch/tl41R01.aspx?&amp;lu_id=4820&amp;doc_yr=2016&amp;doc_code=AUD" TargetMode="External"/><Relationship Id="rId2515" Type="http://schemas.openxmlformats.org/officeDocument/2006/relationships/hyperlink" Target="https://treas-secure.state.mi.us/LAFDocSearch/tl41R01.aspx?&amp;lu_id=5092&amp;doc_yr=2016&amp;doc_code=AUD" TargetMode="External"/><Relationship Id="rId2722" Type="http://schemas.openxmlformats.org/officeDocument/2006/relationships/hyperlink" Target="https://treas-secure.state.mi.us/LAFDocSearch/tl41R01.aspx?&amp;lu_id=5448&amp;doc_yr=2016&amp;doc_code=AUD" TargetMode="External"/><Relationship Id="rId901" Type="http://schemas.openxmlformats.org/officeDocument/2006/relationships/hyperlink" Target="https://treas-secure.state.mi.us/LAFDocSearch/tl41R01.aspx?&amp;lu_id=1720&amp;doc_yr=2016&amp;doc_code=AUD" TargetMode="External"/><Relationship Id="rId1117" Type="http://schemas.openxmlformats.org/officeDocument/2006/relationships/hyperlink" Target="https://treas-secure.state.mi.us/LAFDocSearch/tl41R01.aspx?&amp;lu_id=2179&amp;doc_yr=2016&amp;doc_code=AUD" TargetMode="External"/><Relationship Id="rId1324" Type="http://schemas.openxmlformats.org/officeDocument/2006/relationships/hyperlink" Target="https://treas-secure.state.mi.us/LAFDocSearch/tl41R01.aspx?&amp;lu_id=2561&amp;doc_yr=2016&amp;doc_code=AUD" TargetMode="External"/><Relationship Id="rId1531" Type="http://schemas.openxmlformats.org/officeDocument/2006/relationships/hyperlink" Target="https://treas-secure.state.mi.us/LAFDocSearch/tl41R01.aspx?&amp;lu_id=2951&amp;doc_yr=2016&amp;doc_code=AUD" TargetMode="External"/><Relationship Id="rId1769" Type="http://schemas.openxmlformats.org/officeDocument/2006/relationships/hyperlink" Target="https://treas-secure.state.mi.us/LAFDocSearch/tl41R01.aspx?&amp;lu_id=3507&amp;doc_yr=2016&amp;doc_code=AUD" TargetMode="External"/><Relationship Id="rId1976" Type="http://schemas.openxmlformats.org/officeDocument/2006/relationships/hyperlink" Target="https://treas-secure.state.mi.us/LAFDocSearch/tl41R01.aspx?&amp;lu_id=3834&amp;doc_yr=2016&amp;doc_code=AUD" TargetMode="External"/><Relationship Id="rId30" Type="http://schemas.openxmlformats.org/officeDocument/2006/relationships/hyperlink" Target="https://treas-secure.state.mi.us/LAFDocSearch/tl41R01.aspx?&amp;lu_id=119&amp;doc_yr=2016&amp;doc_code=AUD" TargetMode="External"/><Relationship Id="rId1629" Type="http://schemas.openxmlformats.org/officeDocument/2006/relationships/hyperlink" Target="https://treas-secure.state.mi.us/LAFDocSearch/tl41R01.aspx?&amp;lu_id=3245&amp;doc_yr=2016&amp;doc_code=AUD" TargetMode="External"/><Relationship Id="rId1836" Type="http://schemas.openxmlformats.org/officeDocument/2006/relationships/hyperlink" Target="https://treas-secure.state.mi.us/LAFDocSearch/tl41R01.aspx?&amp;lu_id=3633&amp;doc_yr=2016&amp;doc_code=AUD" TargetMode="External"/><Relationship Id="rId1903" Type="http://schemas.openxmlformats.org/officeDocument/2006/relationships/hyperlink" Target="https://treas-secure.state.mi.us/LAFDocSearch/tl41R01.aspx?&amp;lu_id=3813&amp;doc_yr=2016&amp;doc_code=AUD" TargetMode="External"/><Relationship Id="rId2098" Type="http://schemas.openxmlformats.org/officeDocument/2006/relationships/hyperlink" Target="https://treas-secure.state.mi.us/LAFDocSearch/tl41R01.aspx?&amp;lu_id=4305&amp;doc_yr=2016&amp;doc_code=AUD" TargetMode="External"/><Relationship Id="rId277" Type="http://schemas.openxmlformats.org/officeDocument/2006/relationships/hyperlink" Target="https://treas-secure.state.mi.us/LAFDocSearch/tl41R01.aspx?&amp;lu_id=433&amp;doc_yr=2016&amp;doc_code=AUD" TargetMode="External"/><Relationship Id="rId484" Type="http://schemas.openxmlformats.org/officeDocument/2006/relationships/hyperlink" Target="https://treas-secure.state.mi.us/LAFDocSearch/tl41R01.aspx?&amp;lu_id=806&amp;doc_yr=2016&amp;doc_code=AUD" TargetMode="External"/><Relationship Id="rId2165" Type="http://schemas.openxmlformats.org/officeDocument/2006/relationships/hyperlink" Target="https://treas-secure.state.mi.us/LAFDocSearch/tl41R01.aspx?&amp;lu_id=4420&amp;doc_yr=2016&amp;doc_code=AUD" TargetMode="External"/><Relationship Id="rId137" Type="http://schemas.openxmlformats.org/officeDocument/2006/relationships/hyperlink" Target="https://treas-secure.state.mi.us/LAFDocSearch/tl41R01.aspx?&amp;lu_id=226&amp;doc_yr=2016&amp;doc_code=AUD" TargetMode="External"/><Relationship Id="rId344" Type="http://schemas.openxmlformats.org/officeDocument/2006/relationships/hyperlink" Target="https://treas-secure.state.mi.us/LAFDocSearch/tl41R01.aspx?&amp;lu_id=570&amp;doc_yr=2016&amp;doc_code=AUD" TargetMode="External"/><Relationship Id="rId691" Type="http://schemas.openxmlformats.org/officeDocument/2006/relationships/hyperlink" Target="https://treas-secure.state.mi.us/LAFDocSearch/tl41R01.aspx?&amp;lu_id=7008&amp;doc_yr=2016&amp;doc_code=AUD" TargetMode="External"/><Relationship Id="rId789" Type="http://schemas.openxmlformats.org/officeDocument/2006/relationships/hyperlink" Target="https://treas-secure.state.mi.us/LAFDocSearch/tl41R01.aspx?&amp;lu_id=7917&amp;doc_yr=2016&amp;doc_code=AUD" TargetMode="External"/><Relationship Id="rId996" Type="http://schemas.openxmlformats.org/officeDocument/2006/relationships/hyperlink" Target="https://treas-secure.state.mi.us/LAFDocSearch/tl41R01.aspx?&amp;lu_id=2021&amp;doc_yr=2016&amp;doc_code=AUD" TargetMode="External"/><Relationship Id="rId2025" Type="http://schemas.openxmlformats.org/officeDocument/2006/relationships/hyperlink" Target="https://treas-secure.state.mi.us/LAFDocSearch/tl41R01.aspx?&amp;lu_id=3873&amp;doc_yr=2016&amp;doc_code=AUD" TargetMode="External"/><Relationship Id="rId2372" Type="http://schemas.openxmlformats.org/officeDocument/2006/relationships/hyperlink" Target="https://treas-secure.state.mi.us/LAFDocSearch/tl41R01.aspx?&amp;lu_id=4855&amp;doc_yr=2016&amp;doc_code=AUD" TargetMode="External"/><Relationship Id="rId2677" Type="http://schemas.openxmlformats.org/officeDocument/2006/relationships/hyperlink" Target="https://treas-secure.state.mi.us/LAFDocSearch/tl41R01.aspx?&amp;lu_id=5819&amp;doc_yr=2016&amp;doc_code=AUD" TargetMode="External"/><Relationship Id="rId551" Type="http://schemas.openxmlformats.org/officeDocument/2006/relationships/hyperlink" Target="https://treas-secure.state.mi.us/LAFDocSearch/tl41R01.aspx?&amp;lu_id=973&amp;doc_yr=2016&amp;doc_code=AUD" TargetMode="External"/><Relationship Id="rId649" Type="http://schemas.openxmlformats.org/officeDocument/2006/relationships/hyperlink" Target="https://treas-secure.state.mi.us/LAFDocSearch/tl41R01.aspx?&amp;lu_id=1263&amp;doc_yr=2016&amp;doc_code=AUD" TargetMode="External"/><Relationship Id="rId856" Type="http://schemas.openxmlformats.org/officeDocument/2006/relationships/hyperlink" Target="https://treas-secure.state.mi.us/LAFDocSearch/tl41R01.aspx?&amp;lu_id=1605&amp;doc_yr=2016&amp;doc_code=AUD" TargetMode="External"/><Relationship Id="rId1181" Type="http://schemas.openxmlformats.org/officeDocument/2006/relationships/hyperlink" Target="https://treas-secure.state.mi.us/LAFDocSearch/tl41R01.aspx?&amp;lu_id=2278&amp;doc_yr=2016&amp;doc_code=AUD" TargetMode="External"/><Relationship Id="rId1279" Type="http://schemas.openxmlformats.org/officeDocument/2006/relationships/hyperlink" Target="https://treas-secure.state.mi.us/LAFDocSearch/tl41R01.aspx?&amp;lu_id=2458&amp;doc_yr=2016&amp;doc_code=AUD" TargetMode="External"/><Relationship Id="rId1486" Type="http://schemas.openxmlformats.org/officeDocument/2006/relationships/hyperlink" Target="https://treas-secure.state.mi.us/LAFDocSearch/tl41R01.aspx?&amp;lu_id=2844&amp;doc_yr=2016&amp;doc_code=AUD" TargetMode="External"/><Relationship Id="rId2232" Type="http://schemas.openxmlformats.org/officeDocument/2006/relationships/hyperlink" Target="https://treas-secure.state.mi.us/LAFDocSearch/tl41R01.aspx?&amp;lu_id=4567&amp;doc_yr=2016&amp;doc_code=AUD" TargetMode="External"/><Relationship Id="rId2537" Type="http://schemas.openxmlformats.org/officeDocument/2006/relationships/hyperlink" Target="https://treas-secure.state.mi.us/LAFDocSearch/tl41R01.aspx?&amp;lu_id=5203&amp;doc_yr=2016&amp;doc_code=AUD" TargetMode="External"/><Relationship Id="rId204" Type="http://schemas.openxmlformats.org/officeDocument/2006/relationships/hyperlink" Target="https://treas-secure.state.mi.us/LAFDocSearch/tl41R01.aspx?&amp;lu_id=380&amp;doc_yr=2016&amp;doc_code=AUD" TargetMode="External"/><Relationship Id="rId411" Type="http://schemas.openxmlformats.org/officeDocument/2006/relationships/hyperlink" Target="https://treas-secure.state.mi.us/LAFDocSearch/tl41R01.aspx?&amp;lu_id=709&amp;doc_yr=2016&amp;doc_code=AUD" TargetMode="External"/><Relationship Id="rId509" Type="http://schemas.openxmlformats.org/officeDocument/2006/relationships/hyperlink" Target="https://treas-secure.state.mi.us/LAFDocSearch/tl41R01.aspx?&amp;lu_id=886&amp;doc_yr=2016&amp;doc_code=AUD" TargetMode="External"/><Relationship Id="rId1041" Type="http://schemas.openxmlformats.org/officeDocument/2006/relationships/hyperlink" Target="https://treas-secure.state.mi.us/LAFDocSearch/tl41R01.aspx?&amp;lu_id=2069&amp;doc_yr=2016&amp;doc_code=AUD" TargetMode="External"/><Relationship Id="rId1139" Type="http://schemas.openxmlformats.org/officeDocument/2006/relationships/hyperlink" Target="https://treas-secure.state.mi.us/LAFDocSearch/tl41R01.aspx?&amp;lu_id=2259&amp;doc_yr=2016&amp;doc_code=AUD" TargetMode="External"/><Relationship Id="rId1346" Type="http://schemas.openxmlformats.org/officeDocument/2006/relationships/hyperlink" Target="https://treas-secure.state.mi.us/LAFDocSearch/tl41R01.aspx?&amp;lu_id=2624&amp;doc_yr=2016&amp;doc_code=AUD" TargetMode="External"/><Relationship Id="rId1693" Type="http://schemas.openxmlformats.org/officeDocument/2006/relationships/hyperlink" Target="https://treas-secure.state.mi.us/LAFDocSearch/tl41R01.aspx?&amp;lu_id=3369&amp;doc_yr=2016&amp;doc_code=AUD" TargetMode="External"/><Relationship Id="rId1998" Type="http://schemas.openxmlformats.org/officeDocument/2006/relationships/hyperlink" Target="https://treas-secure.state.mi.us/LAFDocSearch/tl41R01.aspx?&amp;lu_id=6074&amp;doc_yr=2016&amp;doc_code=AUD" TargetMode="External"/><Relationship Id="rId2744" Type="http://schemas.openxmlformats.org/officeDocument/2006/relationships/hyperlink" Target="https://treas-secure.state.mi.us/LAFDocSearch/tl41R01.aspx?&amp;lu_id=5454&amp;doc_yr=2016&amp;doc_code=AUD" TargetMode="External"/><Relationship Id="rId716" Type="http://schemas.openxmlformats.org/officeDocument/2006/relationships/hyperlink" Target="https://treas-secure.state.mi.us/LAFDocSearch/tl41R01.aspx?&amp;lu_id=1333&amp;doc_yr=2016&amp;doc_code=AUD" TargetMode="External"/><Relationship Id="rId923" Type="http://schemas.openxmlformats.org/officeDocument/2006/relationships/hyperlink" Target="https://treas-secure.state.mi.us/LAFDocSearch/tl41R01.aspx?&amp;lu_id=1729&amp;doc_yr=2016&amp;doc_code=AUD" TargetMode="External"/><Relationship Id="rId1553" Type="http://schemas.openxmlformats.org/officeDocument/2006/relationships/hyperlink" Target="https://treas-secure.state.mi.us/LAFDocSearch/tl41R01.aspx?&amp;lu_id=2980&amp;doc_yr=2016&amp;doc_code=AUD" TargetMode="External"/><Relationship Id="rId1760" Type="http://schemas.openxmlformats.org/officeDocument/2006/relationships/hyperlink" Target="https://treas-secure.state.mi.us/LAFDocSearch/tl41R01.aspx?&amp;lu_id=3518&amp;doc_yr=2016&amp;doc_code=AUD" TargetMode="External"/><Relationship Id="rId1858" Type="http://schemas.openxmlformats.org/officeDocument/2006/relationships/hyperlink" Target="https://treas-secure.state.mi.us/LAFDocSearch/tl41R01.aspx?&amp;lu_id=3682&amp;doc_yr=2016&amp;doc_code=AUD" TargetMode="External"/><Relationship Id="rId2604" Type="http://schemas.openxmlformats.org/officeDocument/2006/relationships/hyperlink" Target="https://treas-secure.state.mi.us/LAFDocSearch/tl41R01.aspx?&amp;lu_id=5295&amp;doc_yr=2016&amp;doc_code=AUD" TargetMode="External"/><Relationship Id="rId52" Type="http://schemas.openxmlformats.org/officeDocument/2006/relationships/hyperlink" Target="https://treas-secure.state.mi.us/LAFDocSearch/tl41R01.aspx?&amp;lu_id=57&amp;doc_yr=2016&amp;doc_code=AUD" TargetMode="External"/><Relationship Id="rId1206" Type="http://schemas.openxmlformats.org/officeDocument/2006/relationships/hyperlink" Target="https://treas-secure.state.mi.us/LAFDocSearch/tl41R01.aspx?&amp;lu_id=7079&amp;doc_yr=2016&amp;doc_code=AUD" TargetMode="External"/><Relationship Id="rId1413" Type="http://schemas.openxmlformats.org/officeDocument/2006/relationships/hyperlink" Target="https://treas-secure.state.mi.us/LAFDocSearch/tl41R01.aspx?&amp;lu_id=2727&amp;doc_yr=2016&amp;doc_code=AUD" TargetMode="External"/><Relationship Id="rId1620" Type="http://schemas.openxmlformats.org/officeDocument/2006/relationships/hyperlink" Target="https://treas-secure.state.mi.us/LAFDocSearch/tl41R01.aspx?&amp;lu_id=3248&amp;doc_yr=2016&amp;doc_code=AUD" TargetMode="External"/><Relationship Id="rId1718" Type="http://schemas.openxmlformats.org/officeDocument/2006/relationships/hyperlink" Target="https://treas-secure.state.mi.us/LAFDocSearch/tl41R01.aspx?&amp;lu_id=3419&amp;doc_yr=2016&amp;doc_code=AUD" TargetMode="External"/><Relationship Id="rId1925" Type="http://schemas.openxmlformats.org/officeDocument/2006/relationships/hyperlink" Target="https://treas-secure.state.mi.us/LAFDocSearch/tl41R01.aspx?&amp;lu_id=3824&amp;doc_yr=2016&amp;doc_code=AUD" TargetMode="External"/><Relationship Id="rId299" Type="http://schemas.openxmlformats.org/officeDocument/2006/relationships/hyperlink" Target="https://treas-secure.state.mi.us/LAFDocSearch/tl41R01.aspx?&amp;lu_id=454&amp;doc_yr=2016&amp;doc_code=AUD" TargetMode="External"/><Relationship Id="rId2187" Type="http://schemas.openxmlformats.org/officeDocument/2006/relationships/hyperlink" Target="https://treas-secure.state.mi.us/LAFDocSearch/tl41R01.aspx?&amp;lu_id=4485&amp;doc_yr=2016&amp;doc_code=AUD" TargetMode="External"/><Relationship Id="rId2394" Type="http://schemas.openxmlformats.org/officeDocument/2006/relationships/hyperlink" Target="https://treas-secure.state.mi.us/LAFDocSearch/tl41R01.aspx?&amp;lu_id=4917&amp;doc_yr=2016&amp;doc_code=AUD" TargetMode="External"/><Relationship Id="rId159" Type="http://schemas.openxmlformats.org/officeDocument/2006/relationships/hyperlink" Target="https://treas-secure.state.mi.us/LAFDocSearch/tl41R01.aspx?&amp;lu_id=273&amp;doc_yr=2016&amp;doc_code=AUD" TargetMode="External"/><Relationship Id="rId366" Type="http://schemas.openxmlformats.org/officeDocument/2006/relationships/hyperlink" Target="https://treas-secure.state.mi.us/LAFDocSearch/tl41R01.aspx?&amp;lu_id=670&amp;doc_yr=2016&amp;doc_code=AUD" TargetMode="External"/><Relationship Id="rId573" Type="http://schemas.openxmlformats.org/officeDocument/2006/relationships/hyperlink" Target="https://treas-secure.state.mi.us/LAFDocSearch/tl41R01.aspx?&amp;lu_id=993&amp;doc_yr=2016&amp;doc_code=AUD" TargetMode="External"/><Relationship Id="rId780" Type="http://schemas.openxmlformats.org/officeDocument/2006/relationships/hyperlink" Target="https://treas-secure.state.mi.us/LAFDocSearch/tl41R01.aspx?&amp;lu_id=1482&amp;doc_yr=2016&amp;doc_code=AUD" TargetMode="External"/><Relationship Id="rId2047" Type="http://schemas.openxmlformats.org/officeDocument/2006/relationships/hyperlink" Target="https://treas-secure.state.mi.us/LAFDocSearch/tl41R01.aspx?&amp;lu_id=4214&amp;doc_yr=2016&amp;doc_code=AUD" TargetMode="External"/><Relationship Id="rId2254" Type="http://schemas.openxmlformats.org/officeDocument/2006/relationships/hyperlink" Target="https://treas-secure.state.mi.us/LAFDocSearch/tl41R01.aspx?&amp;lu_id=4583&amp;doc_yr=2016&amp;doc_code=AUD" TargetMode="External"/><Relationship Id="rId2461" Type="http://schemas.openxmlformats.org/officeDocument/2006/relationships/hyperlink" Target="https://treas-secure.state.mi.us/LAFDocSearch/tl41R01.aspx?&amp;lu_id=5023&amp;doc_yr=2016&amp;doc_code=AUD" TargetMode="External"/><Relationship Id="rId2699" Type="http://schemas.openxmlformats.org/officeDocument/2006/relationships/hyperlink" Target="https://treas-secure.state.mi.us/LAFDocSearch/tl41R01.aspx?&amp;lu_id=7714&amp;doc_yr=2016&amp;doc_code=AUD" TargetMode="External"/><Relationship Id="rId226" Type="http://schemas.openxmlformats.org/officeDocument/2006/relationships/hyperlink" Target="https://treas-secure.state.mi.us/LAFDocSearch/tl41R01.aspx?&amp;lu_id=390&amp;doc_yr=2016&amp;doc_code=AUD" TargetMode="External"/><Relationship Id="rId433" Type="http://schemas.openxmlformats.org/officeDocument/2006/relationships/hyperlink" Target="https://treas-secure.state.mi.us/LAFDocSearch/tl41R01.aspx?&amp;lu_id=742&amp;doc_yr=2016&amp;doc_code=AUD" TargetMode="External"/><Relationship Id="rId878" Type="http://schemas.openxmlformats.org/officeDocument/2006/relationships/hyperlink" Target="https://treas-secure.state.mi.us/LAFDocSearch/tl41R01.aspx?&amp;lu_id=1705&amp;doc_yr=2016&amp;doc_code=AUD" TargetMode="External"/><Relationship Id="rId1063" Type="http://schemas.openxmlformats.org/officeDocument/2006/relationships/hyperlink" Target="https://treas-secure.state.mi.us/LAFDocSearch/tl41R01.aspx?&amp;lu_id=2060&amp;doc_yr=2016&amp;doc_code=AUD" TargetMode="External"/><Relationship Id="rId1270" Type="http://schemas.openxmlformats.org/officeDocument/2006/relationships/hyperlink" Target="https://treas-secure.state.mi.us/LAFDocSearch/tl41R01.aspx?&amp;lu_id=2452&amp;doc_yr=2016&amp;doc_code=AUD" TargetMode="External"/><Relationship Id="rId2114" Type="http://schemas.openxmlformats.org/officeDocument/2006/relationships/hyperlink" Target="https://treas-secure.state.mi.us/LAFDocSearch/tl41R01.aspx?&amp;lu_id=4365&amp;doc_yr=2016&amp;doc_code=AUD" TargetMode="External"/><Relationship Id="rId2559" Type="http://schemas.openxmlformats.org/officeDocument/2006/relationships/hyperlink" Target="https://treas-secure.state.mi.us/LAFDocSearch/tl41R01.aspx?&amp;lu_id=5231&amp;doc_yr=2016&amp;doc_code=AUD" TargetMode="External"/><Relationship Id="rId2766" Type="http://schemas.openxmlformats.org/officeDocument/2006/relationships/hyperlink" Target="https://treas-secure.state.mi.us/LAFDocSearch/tl41R01.aspx?&amp;lu_id=5813&amp;doc_yr=2016&amp;doc_code=AUD" TargetMode="External"/><Relationship Id="rId640" Type="http://schemas.openxmlformats.org/officeDocument/2006/relationships/hyperlink" Target="https://treas-secure.state.mi.us/LAFDocSearch/tl41R01.aspx?&amp;lu_id=1267&amp;doc_yr=2016&amp;doc_code=AUD" TargetMode="External"/><Relationship Id="rId738" Type="http://schemas.openxmlformats.org/officeDocument/2006/relationships/hyperlink" Target="https://treas-secure.state.mi.us/LAFDocSearch/tl41R01.aspx?&amp;lu_id=1338&amp;doc_yr=2016&amp;doc_code=AUD" TargetMode="External"/><Relationship Id="rId945" Type="http://schemas.openxmlformats.org/officeDocument/2006/relationships/hyperlink" Target="https://treas-secure.state.mi.us/LAFDocSearch/tl41R01.aspx?&amp;lu_id=1879&amp;doc_yr=2016&amp;doc_code=AUD" TargetMode="External"/><Relationship Id="rId1368" Type="http://schemas.openxmlformats.org/officeDocument/2006/relationships/hyperlink" Target="https://treas-secure.state.mi.us/LAFDocSearch/tl41R01.aspx?&amp;lu_id=2640&amp;doc_yr=2016&amp;doc_code=AUD" TargetMode="External"/><Relationship Id="rId1575" Type="http://schemas.openxmlformats.org/officeDocument/2006/relationships/hyperlink" Target="https://treas-secure.state.mi.us/LAFDocSearch/tl41R01.aspx?&amp;lu_id=2993&amp;doc_yr=2016&amp;doc_code=AUD" TargetMode="External"/><Relationship Id="rId1782" Type="http://schemas.openxmlformats.org/officeDocument/2006/relationships/hyperlink" Target="https://treas-secure.state.mi.us/LAFDocSearch/tl41R01.aspx?&amp;lu_id=3532&amp;doc_yr=2016&amp;doc_code=AUD" TargetMode="External"/><Relationship Id="rId2321" Type="http://schemas.openxmlformats.org/officeDocument/2006/relationships/hyperlink" Target="https://treas-secure.state.mi.us/LAFDocSearch/tl41R01.aspx?&amp;lu_id=4737&amp;doc_yr=2016&amp;doc_code=AUD" TargetMode="External"/><Relationship Id="rId2419" Type="http://schemas.openxmlformats.org/officeDocument/2006/relationships/hyperlink" Target="https://treas-secure.state.mi.us/LAFDocSearch/tl41R01.aspx?&amp;lu_id=4910&amp;doc_yr=2016&amp;doc_code=AUD" TargetMode="External"/><Relationship Id="rId2626" Type="http://schemas.openxmlformats.org/officeDocument/2006/relationships/hyperlink" Target="https://treas-secure.state.mi.us/LAFDocSearch/tl41R01.aspx?&amp;lu_id=5383&amp;doc_yr=2016&amp;doc_code=AUD" TargetMode="External"/><Relationship Id="rId74" Type="http://schemas.openxmlformats.org/officeDocument/2006/relationships/hyperlink" Target="https://treas-secure.state.mi.us/LAFDocSearch/tl41R01.aspx?&amp;lu_id=120&amp;doc_yr=2016&amp;doc_code=AUD" TargetMode="External"/><Relationship Id="rId500" Type="http://schemas.openxmlformats.org/officeDocument/2006/relationships/hyperlink" Target="https://treas-secure.state.mi.us/LAFDocSearch/tl41R01.aspx?&amp;lu_id=839&amp;doc_yr=2016&amp;doc_code=AUD" TargetMode="External"/><Relationship Id="rId805" Type="http://schemas.openxmlformats.org/officeDocument/2006/relationships/hyperlink" Target="https://treas-secure.state.mi.us/LAFDocSearch/tl41R01.aspx?&amp;lu_id=1542&amp;doc_yr=2016&amp;doc_code=AUD" TargetMode="External"/><Relationship Id="rId1130" Type="http://schemas.openxmlformats.org/officeDocument/2006/relationships/hyperlink" Target="https://treas-secure.state.mi.us/LAFDocSearch/tl41R01.aspx?&amp;lu_id=2268&amp;doc_yr=2016&amp;doc_code=AUD" TargetMode="External"/><Relationship Id="rId1228" Type="http://schemas.openxmlformats.org/officeDocument/2006/relationships/hyperlink" Target="https://treas-secure.state.mi.us/LAFDocSearch/tl41R01.aspx?&amp;lu_id=6090&amp;doc_yr=2016&amp;doc_code=AUD" TargetMode="External"/><Relationship Id="rId1435" Type="http://schemas.openxmlformats.org/officeDocument/2006/relationships/hyperlink" Target="https://treas-secure.state.mi.us/LAFDocSearch/tl41R01.aspx?&amp;lu_id=2764&amp;doc_yr=2016&amp;doc_code=AUD" TargetMode="External"/><Relationship Id="rId1642" Type="http://schemas.openxmlformats.org/officeDocument/2006/relationships/hyperlink" Target="https://treas-secure.state.mi.us/LAFDocSearch/tl41R01.aspx?&amp;lu_id=3305&amp;doc_yr=2016&amp;doc_code=AUD" TargetMode="External"/><Relationship Id="rId1947" Type="http://schemas.openxmlformats.org/officeDocument/2006/relationships/hyperlink" Target="https://treas-secure.state.mi.us/LAFDocSearch/tl41R01.aspx?&amp;lu_id=3850&amp;doc_yr=2016&amp;doc_code=AUD" TargetMode="External"/><Relationship Id="rId1502" Type="http://schemas.openxmlformats.org/officeDocument/2006/relationships/hyperlink" Target="https://treas-secure.state.mi.us/LAFDocSearch/tl41R01.aspx?&amp;lu_id=2841&amp;doc_yr=2016&amp;doc_code=AUD" TargetMode="External"/><Relationship Id="rId1807" Type="http://schemas.openxmlformats.org/officeDocument/2006/relationships/hyperlink" Target="https://treas-secure.state.mi.us/LAFDocSearch/tl41R01.aspx?&amp;lu_id=3574&amp;doc_yr=2016&amp;doc_code=AUD" TargetMode="External"/><Relationship Id="rId290" Type="http://schemas.openxmlformats.org/officeDocument/2006/relationships/hyperlink" Target="https://treas-secure.state.mi.us/LAFDocSearch/tl41R01.aspx?&amp;lu_id=532&amp;doc_yr=2016&amp;doc_code=AUD" TargetMode="External"/><Relationship Id="rId388" Type="http://schemas.openxmlformats.org/officeDocument/2006/relationships/hyperlink" Target="https://treas-secure.state.mi.us/LAFDocSearch/tl41R01.aspx?&amp;lu_id=681&amp;doc_yr=2016&amp;doc_code=AUD" TargetMode="External"/><Relationship Id="rId2069" Type="http://schemas.openxmlformats.org/officeDocument/2006/relationships/hyperlink" Target="https://treas-secure.state.mi.us/LAFDocSearch/tl41R01.aspx?&amp;lu_id=4254&amp;doc_yr=2016&amp;doc_code=AUD" TargetMode="External"/><Relationship Id="rId150" Type="http://schemas.openxmlformats.org/officeDocument/2006/relationships/hyperlink" Target="https://treas-secure.state.mi.us/LAFDocSearch/tl41R01.aspx?&amp;lu_id=267&amp;doc_yr=2016&amp;doc_code=AUD" TargetMode="External"/><Relationship Id="rId595" Type="http://schemas.openxmlformats.org/officeDocument/2006/relationships/hyperlink" Target="https://treas-secure.state.mi.us/LAFDocSearch/tl41R01.aspx?&amp;lu_id=1023&amp;doc_yr=2016&amp;doc_code=AUD" TargetMode="External"/><Relationship Id="rId2276" Type="http://schemas.openxmlformats.org/officeDocument/2006/relationships/hyperlink" Target="https://treas-secure.state.mi.us/LAFDocSearch/tl41R01.aspx?&amp;lu_id=4609&amp;doc_yr=2016&amp;doc_code=AUD" TargetMode="External"/><Relationship Id="rId2483" Type="http://schemas.openxmlformats.org/officeDocument/2006/relationships/hyperlink" Target="https://treas-secure.state.mi.us/LAFDocSearch/tl41R01.aspx?&amp;lu_id=5165&amp;doc_yr=2016&amp;doc_code=AUD" TargetMode="External"/><Relationship Id="rId2690" Type="http://schemas.openxmlformats.org/officeDocument/2006/relationships/hyperlink" Target="https://treas-secure.state.mi.us/LAFDocSearch/tl41R01.aspx?&amp;lu_id=5748&amp;doc_yr=2016&amp;doc_code=AUD" TargetMode="External"/><Relationship Id="rId248" Type="http://schemas.openxmlformats.org/officeDocument/2006/relationships/hyperlink" Target="https://treas-secure.state.mi.us/LAFDocSearch/tl41R01.aspx?&amp;lu_id=402&amp;doc_yr=2016&amp;doc_code=AUD" TargetMode="External"/><Relationship Id="rId455" Type="http://schemas.openxmlformats.org/officeDocument/2006/relationships/hyperlink" Target="https://treas-secure.state.mi.us/LAFDocSearch/tl41R01.aspx?&amp;lu_id=749&amp;doc_yr=2016&amp;doc_code=AUD" TargetMode="External"/><Relationship Id="rId662" Type="http://schemas.openxmlformats.org/officeDocument/2006/relationships/hyperlink" Target="https://treas-secure.state.mi.us/LAFDocSearch/tl41R01.aspx?&amp;lu_id=1253&amp;doc_yr=2016&amp;doc_code=AUD" TargetMode="External"/><Relationship Id="rId1085" Type="http://schemas.openxmlformats.org/officeDocument/2006/relationships/hyperlink" Target="https://treas-secure.state.mi.us/LAFDocSearch/tl41R01.aspx?&amp;lu_id=2157&amp;doc_yr=2016&amp;doc_code=AUD" TargetMode="External"/><Relationship Id="rId1292" Type="http://schemas.openxmlformats.org/officeDocument/2006/relationships/hyperlink" Target="https://treas-secure.state.mi.us/LAFDocSearch/tl41R01.aspx?&amp;lu_id=2569&amp;doc_yr=2016&amp;doc_code=AUD" TargetMode="External"/><Relationship Id="rId2136" Type="http://schemas.openxmlformats.org/officeDocument/2006/relationships/hyperlink" Target="https://treas-secure.state.mi.us/LAFDocSearch/tl41R01.aspx?&amp;lu_id=4376&amp;doc_yr=2016&amp;doc_code=AUD" TargetMode="External"/><Relationship Id="rId2343" Type="http://schemas.openxmlformats.org/officeDocument/2006/relationships/hyperlink" Target="https://treas-secure.state.mi.us/LAFDocSearch/tl41R01.aspx?&amp;lu_id=4724&amp;doc_yr=2016&amp;doc_code=AUD" TargetMode="External"/><Relationship Id="rId2550" Type="http://schemas.openxmlformats.org/officeDocument/2006/relationships/hyperlink" Target="https://treas-secure.state.mi.us/LAFDocSearch/tl41R01.aspx?&amp;lu_id=5191&amp;doc_yr=2016&amp;doc_code=AUD" TargetMode="External"/><Relationship Id="rId2788" Type="http://schemas.openxmlformats.org/officeDocument/2006/relationships/hyperlink" Target="https://treas-secure.state.mi.us/LAFDocSearch/tl41R01.aspx?&amp;lu_id=5919&amp;doc_yr=2016&amp;doc_code=AUD" TargetMode="External"/><Relationship Id="rId108" Type="http://schemas.openxmlformats.org/officeDocument/2006/relationships/hyperlink" Target="https://treas-secure.state.mi.us/LAFDocSearch/tl41R01.aspx?&amp;lu_id=169&amp;doc_yr=2016&amp;doc_code=AUD" TargetMode="External"/><Relationship Id="rId315" Type="http://schemas.openxmlformats.org/officeDocument/2006/relationships/hyperlink" Target="https://treas-secure.state.mi.us/LAFDocSearch/tl41R01.aspx?&amp;lu_id=464&amp;doc_yr=2016&amp;doc_code=AUD" TargetMode="External"/><Relationship Id="rId522" Type="http://schemas.openxmlformats.org/officeDocument/2006/relationships/hyperlink" Target="https://treas-secure.state.mi.us/LAFDocSearch/tl41R01.aspx?&amp;lu_id=903&amp;doc_yr=2016&amp;doc_code=AUD" TargetMode="External"/><Relationship Id="rId967" Type="http://schemas.openxmlformats.org/officeDocument/2006/relationships/hyperlink" Target="https://treas-secure.state.mi.us/LAFDocSearch/tl41R01.aspx?&amp;lu_id=1818&amp;doc_yr=2016&amp;doc_code=AUD" TargetMode="External"/><Relationship Id="rId1152" Type="http://schemas.openxmlformats.org/officeDocument/2006/relationships/hyperlink" Target="https://treas-secure.state.mi.us/LAFDocSearch/tl41R01.aspx?&amp;lu_id=2232&amp;doc_yr=2016&amp;doc_code=AUD" TargetMode="External"/><Relationship Id="rId1597" Type="http://schemas.openxmlformats.org/officeDocument/2006/relationships/hyperlink" Target="https://treas-secure.state.mi.us/LAFDocSearch/tl41R01.aspx?&amp;lu_id=3201&amp;doc_yr=2016&amp;doc_code=AUD" TargetMode="External"/><Relationship Id="rId2203" Type="http://schemas.openxmlformats.org/officeDocument/2006/relationships/hyperlink" Target="https://treas-secure.state.mi.us/LAFDocSearch/tl41R01.aspx?&amp;lu_id=4432&amp;doc_yr=2016&amp;doc_code=AUD" TargetMode="External"/><Relationship Id="rId2410" Type="http://schemas.openxmlformats.org/officeDocument/2006/relationships/hyperlink" Target="https://treas-secure.state.mi.us/LAFDocSearch/tl41R01.aspx?&amp;lu_id=4930&amp;doc_yr=2016&amp;doc_code=AUD" TargetMode="External"/><Relationship Id="rId2648" Type="http://schemas.openxmlformats.org/officeDocument/2006/relationships/hyperlink" Target="https://treas-secure.state.mi.us/LAFDocSearch/tl41R01.aspx?&amp;lu_id=5784&amp;doc_yr=2016&amp;doc_code=AUD" TargetMode="External"/><Relationship Id="rId96" Type="http://schemas.openxmlformats.org/officeDocument/2006/relationships/hyperlink" Target="https://treas-secure.state.mi.us/LAFDocSearch/tl41R01.aspx?&amp;lu_id=196&amp;doc_yr=2016&amp;doc_code=AUD" TargetMode="External"/><Relationship Id="rId827" Type="http://schemas.openxmlformats.org/officeDocument/2006/relationships/hyperlink" Target="https://treas-secure.state.mi.us/LAFDocSearch/tl41R01.aspx?&amp;lu_id=1564&amp;doc_yr=2016&amp;doc_code=AUD" TargetMode="External"/><Relationship Id="rId1012" Type="http://schemas.openxmlformats.org/officeDocument/2006/relationships/hyperlink" Target="https://treas-secure.state.mi.us/LAFDocSearch/tl41R01.aspx?&amp;lu_id=1991&amp;doc_yr=2016&amp;doc_code=AUD" TargetMode="External"/><Relationship Id="rId1457" Type="http://schemas.openxmlformats.org/officeDocument/2006/relationships/hyperlink" Target="https://treas-secure.state.mi.us/LAFDocSearch/tl41R01.aspx?&amp;lu_id=2750&amp;doc_yr=2016&amp;doc_code=AUD" TargetMode="External"/><Relationship Id="rId1664" Type="http://schemas.openxmlformats.org/officeDocument/2006/relationships/hyperlink" Target="https://treas-secure.state.mi.us/LAFDocSearch/tl41R01.aspx?&amp;lu_id=3322&amp;doc_yr=2016&amp;doc_code=AUD" TargetMode="External"/><Relationship Id="rId1871" Type="http://schemas.openxmlformats.org/officeDocument/2006/relationships/hyperlink" Target="https://treas-secure.state.mi.us/LAFDocSearch/tl41R01.aspx?&amp;lu_id=3694&amp;doc_yr=2016&amp;doc_code=AUD" TargetMode="External"/><Relationship Id="rId2508" Type="http://schemas.openxmlformats.org/officeDocument/2006/relationships/hyperlink" Target="https://treas-secure.state.mi.us/LAFDocSearch/tl41R01.aspx?&amp;lu_id=5169&amp;doc_yr=2016&amp;doc_code=AUD" TargetMode="External"/><Relationship Id="rId2715" Type="http://schemas.openxmlformats.org/officeDocument/2006/relationships/hyperlink" Target="https://treas-secure.state.mi.us/LAFDocSearch/tl41R01.aspx?&amp;lu_id=5445&amp;doc_yr=2016&amp;doc_code=AUD" TargetMode="External"/><Relationship Id="rId1317" Type="http://schemas.openxmlformats.org/officeDocument/2006/relationships/hyperlink" Target="https://treas-secure.state.mi.us/LAFDocSearch/tl41R01.aspx?&amp;lu_id=2478&amp;doc_yr=2016&amp;doc_code=AUD" TargetMode="External"/><Relationship Id="rId1524" Type="http://schemas.openxmlformats.org/officeDocument/2006/relationships/hyperlink" Target="https://treas-secure.state.mi.us/LAFDocSearch/tl41R01.aspx?&amp;lu_id=2940&amp;doc_yr=2016&amp;doc_code=AUD" TargetMode="External"/><Relationship Id="rId1731" Type="http://schemas.openxmlformats.org/officeDocument/2006/relationships/hyperlink" Target="https://treas-secure.state.mi.us/LAFDocSearch/tl41R01.aspx?&amp;lu_id=3456&amp;doc_yr=2016&amp;doc_code=AUD" TargetMode="External"/><Relationship Id="rId1969" Type="http://schemas.openxmlformats.org/officeDocument/2006/relationships/hyperlink" Target="https://treas-secure.state.mi.us/LAFDocSearch/tl41R01.aspx?&amp;lu_id=3880&amp;doc_yr=2016&amp;doc_code=AUD" TargetMode="External"/><Relationship Id="rId23" Type="http://schemas.openxmlformats.org/officeDocument/2006/relationships/hyperlink" Target="https://treas-secure.state.mi.us/LAFDocSearch/tl41R01.aspx?&amp;lu_id=32&amp;doc_yr=2016&amp;doc_code=AUD" TargetMode="External"/><Relationship Id="rId1829" Type="http://schemas.openxmlformats.org/officeDocument/2006/relationships/hyperlink" Target="https://treas-secure.state.mi.us/LAFDocSearch/tl41R01.aspx?&amp;lu_id=3619&amp;doc_yr=2016&amp;doc_code=AUD" TargetMode="External"/><Relationship Id="rId2298" Type="http://schemas.openxmlformats.org/officeDocument/2006/relationships/hyperlink" Target="https://treas-secure.state.mi.us/LAFDocSearch/tl41R01.aspx?&amp;lu_id=4599&amp;doc_yr=2016&amp;doc_code=AUD" TargetMode="External"/><Relationship Id="rId172" Type="http://schemas.openxmlformats.org/officeDocument/2006/relationships/hyperlink" Target="https://treas-secure.state.mi.us/LAFDocSearch/tl41R01.aspx?&amp;lu_id=279&amp;doc_yr=2016&amp;doc_code=AUD" TargetMode="External"/><Relationship Id="rId477" Type="http://schemas.openxmlformats.org/officeDocument/2006/relationships/hyperlink" Target="https://treas-secure.state.mi.us/LAFDocSearch/tl41R01.aspx?&amp;lu_id=810&amp;doc_yr=2016&amp;doc_code=AUD" TargetMode="External"/><Relationship Id="rId684" Type="http://schemas.openxmlformats.org/officeDocument/2006/relationships/hyperlink" Target="https://treas-secure.state.mi.us/LAFDocSearch/tl41R01.aspx?&amp;lu_id=1283&amp;doc_yr=2016&amp;doc_code=AUD" TargetMode="External"/><Relationship Id="rId2060" Type="http://schemas.openxmlformats.org/officeDocument/2006/relationships/hyperlink" Target="https://treas-secure.state.mi.us/LAFDocSearch/tl41R01.aspx?&amp;lu_id=4213&amp;doc_yr=2016&amp;doc_code=AUD" TargetMode="External"/><Relationship Id="rId2158" Type="http://schemas.openxmlformats.org/officeDocument/2006/relationships/hyperlink" Target="https://treas-secure.state.mi.us/LAFDocSearch/tl41R01.aspx?&amp;lu_id=4417&amp;doc_yr=2016&amp;doc_code=AUD" TargetMode="External"/><Relationship Id="rId2365" Type="http://schemas.openxmlformats.org/officeDocument/2006/relationships/hyperlink" Target="https://treas-secure.state.mi.us/LAFDocSearch/tl41R01.aspx?&amp;lu_id=4902&amp;doc_yr=2016&amp;doc_code=AUD" TargetMode="External"/><Relationship Id="rId337" Type="http://schemas.openxmlformats.org/officeDocument/2006/relationships/hyperlink" Target="https://treas-secure.state.mi.us/LAFDocSearch/tl41R01.aspx?&amp;lu_id=564&amp;doc_yr=2016&amp;doc_code=AUD" TargetMode="External"/><Relationship Id="rId891" Type="http://schemas.openxmlformats.org/officeDocument/2006/relationships/hyperlink" Target="https://treas-secure.state.mi.us/LAFDocSearch/tl41R01.aspx?&amp;lu_id=1664&amp;doc_yr=2016&amp;doc_code=AUD" TargetMode="External"/><Relationship Id="rId989" Type="http://schemas.openxmlformats.org/officeDocument/2006/relationships/hyperlink" Target="https://treas-secure.state.mi.us/LAFDocSearch/tl41R01.aspx?&amp;lu_id=1992&amp;doc_yr=2016&amp;doc_code=AUD" TargetMode="External"/><Relationship Id="rId2018" Type="http://schemas.openxmlformats.org/officeDocument/2006/relationships/hyperlink" Target="https://treas-secure.state.mi.us/LAFDocSearch/tl41R01.aspx?&amp;lu_id=3870&amp;doc_yr=2016&amp;doc_code=AUD" TargetMode="External"/><Relationship Id="rId2572" Type="http://schemas.openxmlformats.org/officeDocument/2006/relationships/hyperlink" Target="https://treas-secure.state.mi.us/LAFDocSearch/tl41R01.aspx?&amp;lu_id=5243&amp;doc_yr=2016&amp;doc_code=AUD" TargetMode="External"/><Relationship Id="rId544" Type="http://schemas.openxmlformats.org/officeDocument/2006/relationships/hyperlink" Target="https://treas-secure.state.mi.us/LAFDocSearch/tl41R01.aspx?&amp;lu_id=976&amp;doc_yr=2016&amp;doc_code=AUD" TargetMode="External"/><Relationship Id="rId751" Type="http://schemas.openxmlformats.org/officeDocument/2006/relationships/hyperlink" Target="https://treas-secure.state.mi.us/LAFDocSearch/tl41R01.aspx?&amp;lu_id=1358&amp;doc_yr=2016&amp;doc_code=AUD" TargetMode="External"/><Relationship Id="rId849" Type="http://schemas.openxmlformats.org/officeDocument/2006/relationships/hyperlink" Target="https://treas-secure.state.mi.us/LAFDocSearch/tl41R01.aspx?&amp;lu_id=1612&amp;doc_yr=2016&amp;doc_code=AUD" TargetMode="External"/><Relationship Id="rId1174" Type="http://schemas.openxmlformats.org/officeDocument/2006/relationships/hyperlink" Target="https://treas-secure.state.mi.us/LAFDocSearch/tl41R01.aspx?&amp;lu_id=2329&amp;doc_yr=2016&amp;doc_code=AUD" TargetMode="External"/><Relationship Id="rId1381" Type="http://schemas.openxmlformats.org/officeDocument/2006/relationships/hyperlink" Target="https://treas-secure.state.mi.us/LAFDocSearch/tl41R01.aspx?&amp;lu_id=2657&amp;doc_yr=2016&amp;doc_code=AUD" TargetMode="External"/><Relationship Id="rId1479" Type="http://schemas.openxmlformats.org/officeDocument/2006/relationships/hyperlink" Target="https://treas-secure.state.mi.us/LAFDocSearch/tl41R01.aspx?&amp;lu_id=2893&amp;doc_yr=2016&amp;doc_code=AUD" TargetMode="External"/><Relationship Id="rId1686" Type="http://schemas.openxmlformats.org/officeDocument/2006/relationships/hyperlink" Target="https://treas-secure.state.mi.us/LAFDocSearch/tl41R01.aspx?&amp;lu_id=3390&amp;doc_yr=2016&amp;doc_code=AUD" TargetMode="External"/><Relationship Id="rId2225" Type="http://schemas.openxmlformats.org/officeDocument/2006/relationships/hyperlink" Target="https://treas-secure.state.mi.us/LAFDocSearch/tl41R01.aspx?&amp;lu_id=4541&amp;doc_yr=2016&amp;doc_code=AUD" TargetMode="External"/><Relationship Id="rId2432" Type="http://schemas.openxmlformats.org/officeDocument/2006/relationships/hyperlink" Target="https://treas-secure.state.mi.us/LAFDocSearch/tl41R01.aspx?&amp;lu_id=5006&amp;doc_yr=2016&amp;doc_code=AUD" TargetMode="External"/><Relationship Id="rId404" Type="http://schemas.openxmlformats.org/officeDocument/2006/relationships/hyperlink" Target="https://treas-secure.state.mi.us/LAFDocSearch/tl41R01.aspx?&amp;lu_id=736&amp;doc_yr=2016&amp;doc_code=AUD" TargetMode="External"/><Relationship Id="rId611" Type="http://schemas.openxmlformats.org/officeDocument/2006/relationships/hyperlink" Target="https://treas-secure.state.mi.us/LAFDocSearch/tl41R01.aspx?&amp;lu_id=1022&amp;doc_yr=2016&amp;doc_code=AUD" TargetMode="External"/><Relationship Id="rId1034" Type="http://schemas.openxmlformats.org/officeDocument/2006/relationships/hyperlink" Target="https://treas-secure.state.mi.us/LAFDocSearch/tl41R01.aspx?&amp;lu_id=1919&amp;doc_yr=2016&amp;doc_code=AUD" TargetMode="External"/><Relationship Id="rId1241" Type="http://schemas.openxmlformats.org/officeDocument/2006/relationships/hyperlink" Target="https://treas-secure.state.mi.us/LAFDocSearch/tl41R01.aspx?&amp;lu_id=2358&amp;doc_yr=2016&amp;doc_code=AUD" TargetMode="External"/><Relationship Id="rId1339" Type="http://schemas.openxmlformats.org/officeDocument/2006/relationships/hyperlink" Target="https://treas-secure.state.mi.us/LAFDocSearch/tl41R01.aspx?&amp;lu_id=2481&amp;doc_yr=2016&amp;doc_code=AUD" TargetMode="External"/><Relationship Id="rId1893" Type="http://schemas.openxmlformats.org/officeDocument/2006/relationships/hyperlink" Target="https://treas-secure.state.mi.us/LAFDocSearch/tl41R01.aspx?&amp;lu_id=3700&amp;doc_yr=2016&amp;doc_code=AUD" TargetMode="External"/><Relationship Id="rId2737" Type="http://schemas.openxmlformats.org/officeDocument/2006/relationships/hyperlink" Target="https://treas-secure.state.mi.us/LAFDocSearch/tl41R01.aspx?&amp;lu_id=5452&amp;doc_yr=2016&amp;doc_code=AUD" TargetMode="External"/><Relationship Id="rId709" Type="http://schemas.openxmlformats.org/officeDocument/2006/relationships/hyperlink" Target="https://treas-secure.state.mi.us/LAFDocSearch/tl41R01.aspx?&amp;lu_id=1331&amp;doc_yr=2016&amp;doc_code=AUD" TargetMode="External"/><Relationship Id="rId916" Type="http://schemas.openxmlformats.org/officeDocument/2006/relationships/hyperlink" Target="https://treas-secure.state.mi.us/LAFDocSearch/tl41R01.aspx?&amp;lu_id=1762&amp;doc_yr=2016&amp;doc_code=AUD" TargetMode="External"/><Relationship Id="rId1101" Type="http://schemas.openxmlformats.org/officeDocument/2006/relationships/hyperlink" Target="https://treas-secure.state.mi.us/LAFDocSearch/tl41R01.aspx?&amp;lu_id=2139&amp;doc_yr=2016&amp;doc_code=AUD" TargetMode="External"/><Relationship Id="rId1546" Type="http://schemas.openxmlformats.org/officeDocument/2006/relationships/hyperlink" Target="https://treas-secure.state.mi.us/LAFDocSearch/tl41R01.aspx?&amp;lu_id=2987&amp;doc_yr=2016&amp;doc_code=AUD" TargetMode="External"/><Relationship Id="rId1753" Type="http://schemas.openxmlformats.org/officeDocument/2006/relationships/hyperlink" Target="https://treas-secure.state.mi.us/LAFDocSearch/tl41R01.aspx?&amp;lu_id=3521&amp;doc_yr=2016&amp;doc_code=AUD" TargetMode="External"/><Relationship Id="rId1960" Type="http://schemas.openxmlformats.org/officeDocument/2006/relationships/hyperlink" Target="https://treas-secure.state.mi.us/LAFDocSearch/tl41R01.aspx?&amp;lu_id=3853&amp;doc_yr=2016&amp;doc_code=AUD" TargetMode="External"/><Relationship Id="rId45" Type="http://schemas.openxmlformats.org/officeDocument/2006/relationships/hyperlink" Target="https://treas-secure.state.mi.us/LAFDocSearch/tl41R01.aspx?&amp;lu_id=53&amp;doc_yr=2016&amp;doc_code=AUD" TargetMode="External"/><Relationship Id="rId1406" Type="http://schemas.openxmlformats.org/officeDocument/2006/relationships/hyperlink" Target="https://treas-secure.state.mi.us/LAFDocSearch/tl41R01.aspx?&amp;lu_id=2706&amp;doc_yr=2016&amp;doc_code=AUD" TargetMode="External"/><Relationship Id="rId1613" Type="http://schemas.openxmlformats.org/officeDocument/2006/relationships/hyperlink" Target="https://treas-secure.state.mi.us/LAFDocSearch/tl41R01.aspx?&amp;lu_id=3240&amp;doc_yr=2016&amp;doc_code=AUD" TargetMode="External"/><Relationship Id="rId1820" Type="http://schemas.openxmlformats.org/officeDocument/2006/relationships/hyperlink" Target="https://treas-secure.state.mi.us/LAFDocSearch/tl41R01.aspx?&amp;lu_id=3602&amp;doc_yr=2016&amp;doc_code=AUD" TargetMode="External"/><Relationship Id="rId194" Type="http://schemas.openxmlformats.org/officeDocument/2006/relationships/hyperlink" Target="https://treas-secure.state.mi.us/LAFDocSearch/tl41R01.aspx?&amp;lu_id=322&amp;doc_yr=2016&amp;doc_code=AUD" TargetMode="External"/><Relationship Id="rId1918" Type="http://schemas.openxmlformats.org/officeDocument/2006/relationships/hyperlink" Target="https://treas-secure.state.mi.us/LAFDocSearch/tl41R01.aspx?&amp;lu_id=3821&amp;doc_yr=2016&amp;doc_code=AUD" TargetMode="External"/><Relationship Id="rId2082" Type="http://schemas.openxmlformats.org/officeDocument/2006/relationships/hyperlink" Target="https://treas-secure.state.mi.us/LAFDocSearch/tl41R01.aspx?&amp;lu_id=4294&amp;doc_yr=2016&amp;doc_code=AUD" TargetMode="External"/><Relationship Id="rId261" Type="http://schemas.openxmlformats.org/officeDocument/2006/relationships/hyperlink" Target="https://treas-secure.state.mi.us/LAFDocSearch/tl41R01.aspx?&amp;lu_id=430&amp;doc_yr=2016&amp;doc_code=AUD" TargetMode="External"/><Relationship Id="rId499" Type="http://schemas.openxmlformats.org/officeDocument/2006/relationships/hyperlink" Target="https://treas-secure.state.mi.us/LAFDocSearch/tl41R01.aspx?&amp;lu_id=875&amp;doc_yr=2016&amp;doc_code=AUD" TargetMode="External"/><Relationship Id="rId2387" Type="http://schemas.openxmlformats.org/officeDocument/2006/relationships/hyperlink" Target="https://treas-secure.state.mi.us/LAFDocSearch/tl41R01.aspx?&amp;lu_id=4987&amp;doc_yr=2016&amp;doc_code=AUD" TargetMode="External"/><Relationship Id="rId2594" Type="http://schemas.openxmlformats.org/officeDocument/2006/relationships/hyperlink" Target="https://treas-secure.state.mi.us/LAFDocSearch/tl41R01.aspx?&amp;lu_id=5271&amp;doc_yr=2016&amp;doc_code=AUD" TargetMode="External"/><Relationship Id="rId359" Type="http://schemas.openxmlformats.org/officeDocument/2006/relationships/hyperlink" Target="https://treas-secure.state.mi.us/LAFDocSearch/tl41R01.aspx?&amp;lu_id=662&amp;doc_yr=2016&amp;doc_code=AUD" TargetMode="External"/><Relationship Id="rId566" Type="http://schemas.openxmlformats.org/officeDocument/2006/relationships/hyperlink" Target="https://treas-secure.state.mi.us/LAFDocSearch/tl41R01.aspx?&amp;lu_id=982&amp;doc_yr=2016&amp;doc_code=AUD" TargetMode="External"/><Relationship Id="rId773" Type="http://schemas.openxmlformats.org/officeDocument/2006/relationships/hyperlink" Target="https://treas-secure.state.mi.us/LAFDocSearch/tl41R01.aspx?&amp;lu_id=1491&amp;doc_yr=2016&amp;doc_code=AUD" TargetMode="External"/><Relationship Id="rId1196" Type="http://schemas.openxmlformats.org/officeDocument/2006/relationships/hyperlink" Target="https://treas-secure.state.mi.us/LAFDocSearch/tl41R01.aspx?&amp;lu_id=2327&amp;doc_yr=2016&amp;doc_code=AUD" TargetMode="External"/><Relationship Id="rId2247" Type="http://schemas.openxmlformats.org/officeDocument/2006/relationships/hyperlink" Target="https://treas-secure.state.mi.us/LAFDocSearch/tl41R01.aspx?&amp;lu_id=4578&amp;doc_yr=2016&amp;doc_code=AUD" TargetMode="External"/><Relationship Id="rId2454" Type="http://schemas.openxmlformats.org/officeDocument/2006/relationships/hyperlink" Target="https://treas-secure.state.mi.us/LAFDocSearch/tl41R01.aspx?&amp;lu_id=5067&amp;doc_yr=2016&amp;doc_code=AUD" TargetMode="External"/><Relationship Id="rId121" Type="http://schemas.openxmlformats.org/officeDocument/2006/relationships/hyperlink" Target="https://treas-secure.state.mi.us/LAFDocSearch/tl41R01.aspx?&amp;lu_id=209&amp;doc_yr=2016&amp;doc_code=AUD" TargetMode="External"/><Relationship Id="rId219" Type="http://schemas.openxmlformats.org/officeDocument/2006/relationships/hyperlink" Target="https://treas-secure.state.mi.us/LAFDocSearch/tl41R01.aspx?&amp;lu_id=341&amp;doc_yr=2016&amp;doc_code=AUD" TargetMode="External"/><Relationship Id="rId426" Type="http://schemas.openxmlformats.org/officeDocument/2006/relationships/hyperlink" Target="https://treas-secure.state.mi.us/LAFDocSearch/tl41R01.aspx?&amp;lu_id=704&amp;doc_yr=2016&amp;doc_code=AUD" TargetMode="External"/><Relationship Id="rId633" Type="http://schemas.openxmlformats.org/officeDocument/2006/relationships/hyperlink" Target="https://treas-secure.state.mi.us/LAFDocSearch/tl41R01.aspx?&amp;lu_id=1093&amp;doc_yr=2016&amp;doc_code=AUD" TargetMode="External"/><Relationship Id="rId980" Type="http://schemas.openxmlformats.org/officeDocument/2006/relationships/hyperlink" Target="https://treas-secure.state.mi.us/LAFDocSearch/tl41R01.aspx?&amp;lu_id=1808&amp;doc_yr=2016&amp;doc_code=AUD" TargetMode="External"/><Relationship Id="rId1056" Type="http://schemas.openxmlformats.org/officeDocument/2006/relationships/hyperlink" Target="https://treas-secure.state.mi.us/LAFDocSearch/tl41R01.aspx?&amp;lu_id=2102&amp;doc_yr=2016&amp;doc_code=AUD" TargetMode="External"/><Relationship Id="rId1263" Type="http://schemas.openxmlformats.org/officeDocument/2006/relationships/hyperlink" Target="https://treas-secure.state.mi.us/LAFDocSearch/tl41R01.aspx?&amp;lu_id=2427&amp;doc_yr=2016&amp;doc_code=AUD" TargetMode="External"/><Relationship Id="rId2107" Type="http://schemas.openxmlformats.org/officeDocument/2006/relationships/hyperlink" Target="https://treas-secure.state.mi.us/LAFDocSearch/tl41R01.aspx?&amp;lu_id=4327&amp;doc_yr=2016&amp;doc_code=AUD" TargetMode="External"/><Relationship Id="rId2314" Type="http://schemas.openxmlformats.org/officeDocument/2006/relationships/hyperlink" Target="https://treas-secure.state.mi.us/LAFDocSearch/tl41R01.aspx?&amp;lu_id=4730&amp;doc_yr=2016&amp;doc_code=AUD" TargetMode="External"/><Relationship Id="rId2661" Type="http://schemas.openxmlformats.org/officeDocument/2006/relationships/hyperlink" Target="https://treas-secure.state.mi.us/LAFDocSearch/tl41R01.aspx?&amp;lu_id=5833&amp;doc_yr=2016&amp;doc_code=AUD" TargetMode="External"/><Relationship Id="rId2759" Type="http://schemas.openxmlformats.org/officeDocument/2006/relationships/hyperlink" Target="https://treas-secure.state.mi.us/LAFDocSearch/tl41R01.aspx?&amp;lu_id=5841&amp;doc_yr=2016&amp;doc_code=AUD" TargetMode="External"/><Relationship Id="rId840" Type="http://schemas.openxmlformats.org/officeDocument/2006/relationships/hyperlink" Target="https://treas-secure.state.mi.us/LAFDocSearch/tl41R01.aspx?&amp;lu_id=1642&amp;doc_yr=2016&amp;doc_code=AUD" TargetMode="External"/><Relationship Id="rId938" Type="http://schemas.openxmlformats.org/officeDocument/2006/relationships/hyperlink" Target="https://treas-secure.state.mi.us/LAFDocSearch/tl41R01.aspx?&amp;lu_id=1787&amp;doc_yr=2016&amp;doc_code=AUD" TargetMode="External"/><Relationship Id="rId1470" Type="http://schemas.openxmlformats.org/officeDocument/2006/relationships/hyperlink" Target="https://treas-secure.state.mi.us/LAFDocSearch/tl41R01.aspx?&amp;lu_id=2890&amp;doc_yr=2016&amp;doc_code=AUD" TargetMode="External"/><Relationship Id="rId1568" Type="http://schemas.openxmlformats.org/officeDocument/2006/relationships/hyperlink" Target="https://treas-secure.state.mi.us/LAFDocSearch/tl41R01.aspx?&amp;lu_id=6138&amp;doc_yr=2016&amp;doc_code=AUD" TargetMode="External"/><Relationship Id="rId1775" Type="http://schemas.openxmlformats.org/officeDocument/2006/relationships/hyperlink" Target="https://treas-secure.state.mi.us/LAFDocSearch/tl41R01.aspx?&amp;lu_id=3529&amp;doc_yr=2016&amp;doc_code=AUD" TargetMode="External"/><Relationship Id="rId2521" Type="http://schemas.openxmlformats.org/officeDocument/2006/relationships/hyperlink" Target="https://treas-secure.state.mi.us/LAFDocSearch/tl41R01.aspx?&amp;lu_id=5113&amp;doc_yr=2016&amp;doc_code=AUD" TargetMode="External"/><Relationship Id="rId2619" Type="http://schemas.openxmlformats.org/officeDocument/2006/relationships/hyperlink" Target="https://treas-secure.state.mi.us/LAFDocSearch/tl41R01.aspx?&amp;lu_id=5281&amp;doc_yr=2016&amp;doc_code=AUD" TargetMode="External"/><Relationship Id="rId67" Type="http://schemas.openxmlformats.org/officeDocument/2006/relationships/hyperlink" Target="https://treas-secure.state.mi.us/LAFDocSearch/tl41R01.aspx?&amp;lu_id=65&amp;doc_yr=2016&amp;doc_code=AUD" TargetMode="External"/><Relationship Id="rId700" Type="http://schemas.openxmlformats.org/officeDocument/2006/relationships/hyperlink" Target="https://treas-secure.state.mi.us/LAFDocSearch/tl41R01.aspx?&amp;lu_id=1329&amp;doc_yr=2016&amp;doc_code=AUD" TargetMode="External"/><Relationship Id="rId1123" Type="http://schemas.openxmlformats.org/officeDocument/2006/relationships/hyperlink" Target="https://treas-secure.state.mi.us/LAFDocSearch/tl41R01.aspx?&amp;lu_id=2200&amp;doc_yr=2016&amp;doc_code=AUD" TargetMode="External"/><Relationship Id="rId1330" Type="http://schemas.openxmlformats.org/officeDocument/2006/relationships/hyperlink" Target="https://treas-secure.state.mi.us/LAFDocSearch/tl41R01.aspx?&amp;lu_id=2468&amp;doc_yr=2016&amp;doc_code=AUD" TargetMode="External"/><Relationship Id="rId1428" Type="http://schemas.openxmlformats.org/officeDocument/2006/relationships/hyperlink" Target="https://treas-secure.state.mi.us/LAFDocSearch/tl41R01.aspx?&amp;lu_id=2809&amp;doc_yr=2016&amp;doc_code=AUD" TargetMode="External"/><Relationship Id="rId1635" Type="http://schemas.openxmlformats.org/officeDocument/2006/relationships/hyperlink" Target="https://treas-secure.state.mi.us/LAFDocSearch/tl41R01.aspx?&amp;lu_id=3246&amp;doc_yr=2016&amp;doc_code=AUD" TargetMode="External"/><Relationship Id="rId1982" Type="http://schemas.openxmlformats.org/officeDocument/2006/relationships/hyperlink" Target="https://treas-secure.state.mi.us/LAFDocSearch/tl41R01.aspx?&amp;lu_id=3882&amp;doc_yr=2016&amp;doc_code=AUD" TargetMode="External"/><Relationship Id="rId1842" Type="http://schemas.openxmlformats.org/officeDocument/2006/relationships/hyperlink" Target="https://treas-secure.state.mi.us/LAFDocSearch/tl41R01.aspx?&amp;lu_id=3623&amp;doc_yr=2016&amp;doc_code=AUD" TargetMode="External"/><Relationship Id="rId1702" Type="http://schemas.openxmlformats.org/officeDocument/2006/relationships/hyperlink" Target="https://treas-secure.state.mi.us/LAFDocSearch/tl41R01.aspx?&amp;lu_id=3378&amp;doc_yr=2016&amp;doc_code=AUD" TargetMode="External"/><Relationship Id="rId283" Type="http://schemas.openxmlformats.org/officeDocument/2006/relationships/hyperlink" Target="https://treas-secure.state.mi.us/LAFDocSearch/tl41R01.aspx?&amp;lu_id=543&amp;doc_yr=2016&amp;doc_code=AUD" TargetMode="External"/><Relationship Id="rId490" Type="http://schemas.openxmlformats.org/officeDocument/2006/relationships/hyperlink" Target="https://treas-secure.state.mi.us/LAFDocSearch/tl41R01.aspx?&amp;lu_id=834&amp;doc_yr=2016&amp;doc_code=AUD" TargetMode="External"/><Relationship Id="rId2171" Type="http://schemas.openxmlformats.org/officeDocument/2006/relationships/hyperlink" Target="https://treas-secure.state.mi.us/LAFDocSearch/tl41R01.aspx?&amp;lu_id=4499&amp;doc_yr=2016&amp;doc_code=AUD" TargetMode="External"/><Relationship Id="rId143" Type="http://schemas.openxmlformats.org/officeDocument/2006/relationships/hyperlink" Target="https://treas-secure.state.mi.us/LAFDocSearch/tl41R01.aspx?&amp;lu_id=248&amp;doc_yr=2016&amp;doc_code=AUD" TargetMode="External"/><Relationship Id="rId350" Type="http://schemas.openxmlformats.org/officeDocument/2006/relationships/hyperlink" Target="https://treas-secure.state.mi.us/LAFDocSearch/tl41R01.aspx?&amp;lu_id=578&amp;doc_yr=2016&amp;doc_code=AUD" TargetMode="External"/><Relationship Id="rId588" Type="http://schemas.openxmlformats.org/officeDocument/2006/relationships/hyperlink" Target="https://treas-secure.state.mi.us/LAFDocSearch/tl41R01.aspx?&amp;lu_id=1012&amp;doc_yr=2016&amp;doc_code=AUD" TargetMode="External"/><Relationship Id="rId795" Type="http://schemas.openxmlformats.org/officeDocument/2006/relationships/hyperlink" Target="https://treas-secure.state.mi.us/LAFDocSearch/tl41R01.aspx?&amp;lu_id=1507&amp;doc_yr=2016&amp;doc_code=AUD" TargetMode="External"/><Relationship Id="rId2031" Type="http://schemas.openxmlformats.org/officeDocument/2006/relationships/hyperlink" Target="https://treas-secure.state.mi.us/LAFDocSearch/tl41R01.aspx?&amp;lu_id=4148&amp;doc_yr=2016&amp;doc_code=AUD" TargetMode="External"/><Relationship Id="rId2269" Type="http://schemas.openxmlformats.org/officeDocument/2006/relationships/hyperlink" Target="https://treas-secure.state.mi.us/LAFDocSearch/tl41R01.aspx?&amp;lu_id=4590&amp;doc_yr=2016&amp;doc_code=AUD" TargetMode="External"/><Relationship Id="rId2476" Type="http://schemas.openxmlformats.org/officeDocument/2006/relationships/hyperlink" Target="https://treas-secure.state.mi.us/LAFDocSearch/tl41R01.aspx?&amp;lu_id=5041&amp;doc_yr=2016&amp;doc_code=AUD" TargetMode="External"/><Relationship Id="rId2683" Type="http://schemas.openxmlformats.org/officeDocument/2006/relationships/hyperlink" Target="https://treas-secure.state.mi.us/LAFDocSearch/tl41R01.aspx?&amp;lu_id=5856&amp;doc_yr=2016&amp;doc_code=AUD" TargetMode="External"/><Relationship Id="rId9" Type="http://schemas.openxmlformats.org/officeDocument/2006/relationships/hyperlink" Target="https://treas-secure.state.mi.us/LAFDocSearch/tl41R01.aspx?&amp;lu_id=15&amp;doc_yr=2016&amp;doc_code=AUD" TargetMode="External"/><Relationship Id="rId210" Type="http://schemas.openxmlformats.org/officeDocument/2006/relationships/hyperlink" Target="https://treas-secure.state.mi.us/LAFDocSearch/tl41R01.aspx?&amp;lu_id=327&amp;doc_yr=2016&amp;doc_code=AUD" TargetMode="External"/><Relationship Id="rId448" Type="http://schemas.openxmlformats.org/officeDocument/2006/relationships/hyperlink" Target="https://treas-secure.state.mi.us/LAFDocSearch/tl41R01.aspx?&amp;lu_id=787&amp;doc_yr=2016&amp;doc_code=AUD" TargetMode="External"/><Relationship Id="rId655" Type="http://schemas.openxmlformats.org/officeDocument/2006/relationships/hyperlink" Target="https://treas-secure.state.mi.us/LAFDocSearch/tl41R01.aspx?&amp;lu_id=1252&amp;doc_yr=2016&amp;doc_code=AUD" TargetMode="External"/><Relationship Id="rId862" Type="http://schemas.openxmlformats.org/officeDocument/2006/relationships/hyperlink" Target="https://treas-secure.state.mi.us/LAFDocSearch/tl41R01.aspx?&amp;lu_id=1640&amp;doc_yr=2016&amp;doc_code=AUD" TargetMode="External"/><Relationship Id="rId1078" Type="http://schemas.openxmlformats.org/officeDocument/2006/relationships/hyperlink" Target="https://treas-secure.state.mi.us/LAFDocSearch/tl41R01.aspx?&amp;lu_id=2127&amp;doc_yr=2016&amp;doc_code=AUD" TargetMode="External"/><Relationship Id="rId1285" Type="http://schemas.openxmlformats.org/officeDocument/2006/relationships/hyperlink" Target="https://treas-secure.state.mi.us/LAFDocSearch/tl41R01.aspx?&amp;lu_id=2549&amp;doc_yr=2016&amp;doc_code=AUD" TargetMode="External"/><Relationship Id="rId1492" Type="http://schemas.openxmlformats.org/officeDocument/2006/relationships/hyperlink" Target="https://treas-secure.state.mi.us/LAFDocSearch/tl41R01.aspx?&amp;lu_id=2825&amp;doc_yr=2016&amp;doc_code=AUD" TargetMode="External"/><Relationship Id="rId2129" Type="http://schemas.openxmlformats.org/officeDocument/2006/relationships/hyperlink" Target="https://treas-secure.state.mi.us/LAFDocSearch/tl41R01.aspx?&amp;lu_id=4357&amp;doc_yr=2016&amp;doc_code=AUD" TargetMode="External"/><Relationship Id="rId2336" Type="http://schemas.openxmlformats.org/officeDocument/2006/relationships/hyperlink" Target="https://treas-secure.state.mi.us/LAFDocSearch/tl41R01.aspx?&amp;lu_id=4752&amp;doc_yr=2016&amp;doc_code=AUD" TargetMode="External"/><Relationship Id="rId2543" Type="http://schemas.openxmlformats.org/officeDocument/2006/relationships/hyperlink" Target="https://treas-secure.state.mi.us/LAFDocSearch/tl41R01.aspx?&amp;lu_id=5188&amp;doc_yr=2016&amp;doc_code=AUD" TargetMode="External"/><Relationship Id="rId2750" Type="http://schemas.openxmlformats.org/officeDocument/2006/relationships/hyperlink" Target="https://treas-secure.state.mi.us/LAFDocSearch/tl41R01.aspx?&amp;lu_id=5456&amp;doc_yr=2016&amp;doc_code=AUD" TargetMode="External"/><Relationship Id="rId308" Type="http://schemas.openxmlformats.org/officeDocument/2006/relationships/hyperlink" Target="https://treas-secure.state.mi.us/LAFDocSearch/tl41R01.aspx?&amp;lu_id=445&amp;doc_yr=2016&amp;doc_code=AUD" TargetMode="External"/><Relationship Id="rId515" Type="http://schemas.openxmlformats.org/officeDocument/2006/relationships/hyperlink" Target="https://treas-secure.state.mi.us/LAFDocSearch/tl41R01.aspx?&amp;lu_id=917&amp;doc_yr=2016&amp;doc_code=AUD" TargetMode="External"/><Relationship Id="rId722" Type="http://schemas.openxmlformats.org/officeDocument/2006/relationships/hyperlink" Target="https://treas-secure.state.mi.us/LAFDocSearch/tl41R01.aspx?&amp;lu_id=1335&amp;doc_yr=2016&amp;doc_code=AUD" TargetMode="External"/><Relationship Id="rId1145" Type="http://schemas.openxmlformats.org/officeDocument/2006/relationships/hyperlink" Target="https://treas-secure.state.mi.us/LAFDocSearch/tl41R01.aspx?&amp;lu_id=2222&amp;doc_yr=2016&amp;doc_code=AUD" TargetMode="External"/><Relationship Id="rId1352" Type="http://schemas.openxmlformats.org/officeDocument/2006/relationships/hyperlink" Target="https://treas-secure.state.mi.us/LAFDocSearch/tl41R01.aspx?&amp;lu_id=2613&amp;doc_yr=2016&amp;doc_code=AUD" TargetMode="External"/><Relationship Id="rId1797" Type="http://schemas.openxmlformats.org/officeDocument/2006/relationships/hyperlink" Target="https://treas-secure.state.mi.us/LAFDocSearch/tl41R01.aspx?&amp;lu_id=3582&amp;doc_yr=2016&amp;doc_code=AUD" TargetMode="External"/><Relationship Id="rId2403" Type="http://schemas.openxmlformats.org/officeDocument/2006/relationships/hyperlink" Target="https://treas-secure.state.mi.us/LAFDocSearch/tl41R01.aspx?&amp;lu_id=4926&amp;doc_yr=2016&amp;doc_code=AUD" TargetMode="External"/><Relationship Id="rId89" Type="http://schemas.openxmlformats.org/officeDocument/2006/relationships/hyperlink" Target="https://treas-secure.state.mi.us/LAFDocSearch/tl41R01.aspx?&amp;lu_id=144&amp;doc_yr=2016&amp;doc_code=AUD" TargetMode="External"/><Relationship Id="rId1005" Type="http://schemas.openxmlformats.org/officeDocument/2006/relationships/hyperlink" Target="https://treas-secure.state.mi.us/LAFDocSearch/tl41R01.aspx?&amp;lu_id=1909&amp;doc_yr=2016&amp;doc_code=AUD" TargetMode="External"/><Relationship Id="rId1212" Type="http://schemas.openxmlformats.org/officeDocument/2006/relationships/hyperlink" Target="https://treas-secure.state.mi.us/LAFDocSearch/tl41R01.aspx?&amp;lu_id=2408&amp;doc_yr=2016&amp;doc_code=AUD" TargetMode="External"/><Relationship Id="rId1657" Type="http://schemas.openxmlformats.org/officeDocument/2006/relationships/hyperlink" Target="https://treas-secure.state.mi.us/LAFDocSearch/tl41R01.aspx?&amp;lu_id=3303&amp;doc_yr=2016&amp;doc_code=AUD" TargetMode="External"/><Relationship Id="rId1864" Type="http://schemas.openxmlformats.org/officeDocument/2006/relationships/hyperlink" Target="https://treas-secure.state.mi.us/LAFDocSearch/tl41R01.aspx?&amp;lu_id=3690&amp;doc_yr=2016&amp;doc_code=AUD" TargetMode="External"/><Relationship Id="rId2610" Type="http://schemas.openxmlformats.org/officeDocument/2006/relationships/hyperlink" Target="https://treas-secure.state.mi.us/LAFDocSearch/tl41R01.aspx?&amp;lu_id=5277&amp;doc_yr=2016&amp;doc_code=AUD" TargetMode="External"/><Relationship Id="rId2708" Type="http://schemas.openxmlformats.org/officeDocument/2006/relationships/hyperlink" Target="https://treas-secure.state.mi.us/LAFDocSearch/tl41R01.aspx?&amp;lu_id=5441&amp;doc_yr=2016&amp;doc_code=AUD" TargetMode="External"/><Relationship Id="rId1517" Type="http://schemas.openxmlformats.org/officeDocument/2006/relationships/hyperlink" Target="https://treas-secure.state.mi.us/LAFDocSearch/tl41R01.aspx?&amp;lu_id=2942&amp;doc_yr=2016&amp;doc_code=AUD" TargetMode="External"/><Relationship Id="rId1724" Type="http://schemas.openxmlformats.org/officeDocument/2006/relationships/hyperlink" Target="https://treas-secure.state.mi.us/LAFDocSearch/tl41R01.aspx?&amp;lu_id=3467&amp;doc_yr=2016&amp;doc_code=AUD" TargetMode="External"/><Relationship Id="rId16" Type="http://schemas.openxmlformats.org/officeDocument/2006/relationships/hyperlink" Target="https://treas-secure.state.mi.us/LAFDocSearch/tl41R01.aspx?&amp;lu_id=26&amp;doc_yr=2016&amp;doc_code=AUD" TargetMode="External"/><Relationship Id="rId1931" Type="http://schemas.openxmlformats.org/officeDocument/2006/relationships/hyperlink" Target="https://treas-secure.state.mi.us/LAFDocSearch/tl41R01.aspx?&amp;lu_id=3784&amp;doc_yr=2016&amp;doc_code=AUD" TargetMode="External"/><Relationship Id="rId2193" Type="http://schemas.openxmlformats.org/officeDocument/2006/relationships/hyperlink" Target="https://treas-secure.state.mi.us/LAFDocSearch/tl41R01.aspx?&amp;lu_id=4427&amp;doc_yr=2016&amp;doc_code=AUD" TargetMode="External"/><Relationship Id="rId2498" Type="http://schemas.openxmlformats.org/officeDocument/2006/relationships/hyperlink" Target="https://treas-secure.state.mi.us/LAFDocSearch/tl41R01.aspx?&amp;lu_id=5105&amp;doc_yr=2016&amp;doc_code=AUD" TargetMode="External"/><Relationship Id="rId165" Type="http://schemas.openxmlformats.org/officeDocument/2006/relationships/hyperlink" Target="https://treas-secure.state.mi.us/LAFDocSearch/tl41R01.aspx?&amp;lu_id=313&amp;doc_yr=2016&amp;doc_code=AUD" TargetMode="External"/><Relationship Id="rId372" Type="http://schemas.openxmlformats.org/officeDocument/2006/relationships/hyperlink" Target="https://treas-secure.state.mi.us/LAFDocSearch/tl41R01.aspx?&amp;lu_id=679&amp;doc_yr=2016&amp;doc_code=AUD" TargetMode="External"/><Relationship Id="rId677" Type="http://schemas.openxmlformats.org/officeDocument/2006/relationships/hyperlink" Target="https://treas-secure.state.mi.us/LAFDocSearch/tl41R01.aspx?&amp;lu_id=1281&amp;doc_yr=2016&amp;doc_code=AUD" TargetMode="External"/><Relationship Id="rId2053" Type="http://schemas.openxmlformats.org/officeDocument/2006/relationships/hyperlink" Target="https://treas-secure.state.mi.us/LAFDocSearch/tl41R01.aspx?&amp;lu_id=4249&amp;doc_yr=2016&amp;doc_code=AUD" TargetMode="External"/><Relationship Id="rId2260" Type="http://schemas.openxmlformats.org/officeDocument/2006/relationships/hyperlink" Target="https://treas-secure.state.mi.us/LAFDocSearch/tl41R01.aspx?&amp;lu_id=4692&amp;doc_yr=2016&amp;doc_code=AUD" TargetMode="External"/><Relationship Id="rId2358" Type="http://schemas.openxmlformats.org/officeDocument/2006/relationships/hyperlink" Target="https://treas-secure.state.mi.us/LAFDocSearch/tl41R01.aspx?&amp;lu_id=4845&amp;doc_yr=2016&amp;doc_code=AUD" TargetMode="External"/><Relationship Id="rId232" Type="http://schemas.openxmlformats.org/officeDocument/2006/relationships/hyperlink" Target="https://treas-secure.state.mi.us/LAFDocSearch/tl41R01.aspx?&amp;lu_id=405&amp;doc_yr=2016&amp;doc_code=AUD" TargetMode="External"/><Relationship Id="rId884" Type="http://schemas.openxmlformats.org/officeDocument/2006/relationships/hyperlink" Target="https://treas-secure.state.mi.us/LAFDocSearch/tl41R01.aspx?&amp;lu_id=1709&amp;doc_yr=2016&amp;doc_code=AUD" TargetMode="External"/><Relationship Id="rId2120" Type="http://schemas.openxmlformats.org/officeDocument/2006/relationships/hyperlink" Target="https://treas-secure.state.mi.us/LAFDocSearch/tl41R01.aspx?&amp;lu_id=4324&amp;doc_yr=2016&amp;doc_code=AUD" TargetMode="External"/><Relationship Id="rId2565" Type="http://schemas.openxmlformats.org/officeDocument/2006/relationships/hyperlink" Target="https://treas-secure.state.mi.us/LAFDocSearch/tl41R01.aspx?&amp;lu_id=5239&amp;doc_yr=2016&amp;doc_code=AUD" TargetMode="External"/><Relationship Id="rId2772" Type="http://schemas.openxmlformats.org/officeDocument/2006/relationships/hyperlink" Target="https://treas-secure.state.mi.us/LAFDocSearch/tl41R01.aspx?&amp;lu_id=5878&amp;doc_yr=2016&amp;doc_code=AUD" TargetMode="External"/><Relationship Id="rId537" Type="http://schemas.openxmlformats.org/officeDocument/2006/relationships/hyperlink" Target="https://treas-secure.state.mi.us/LAFDocSearch/tl41R01.aspx?&amp;lu_id=928&amp;doc_yr=2016&amp;doc_code=AUD" TargetMode="External"/><Relationship Id="rId744" Type="http://schemas.openxmlformats.org/officeDocument/2006/relationships/hyperlink" Target="https://treas-secure.state.mi.us/LAFDocSearch/tl41R01.aspx?&amp;lu_id=1463&amp;doc_yr=2016&amp;doc_code=AUD" TargetMode="External"/><Relationship Id="rId951" Type="http://schemas.openxmlformats.org/officeDocument/2006/relationships/hyperlink" Target="https://treas-secure.state.mi.us/LAFDocSearch/tl41R01.aspx?&amp;lu_id=1896&amp;doc_yr=2016&amp;doc_code=AUD" TargetMode="External"/><Relationship Id="rId1167" Type="http://schemas.openxmlformats.org/officeDocument/2006/relationships/hyperlink" Target="https://treas-secure.state.mi.us/LAFDocSearch/tl41R01.aspx?&amp;lu_id=2290&amp;doc_yr=2016&amp;doc_code=AUD" TargetMode="External"/><Relationship Id="rId1374" Type="http://schemas.openxmlformats.org/officeDocument/2006/relationships/hyperlink" Target="https://treas-secure.state.mi.us/LAFDocSearch/tl41R01.aspx?&amp;lu_id=2646&amp;doc_yr=2016&amp;doc_code=AUD" TargetMode="External"/><Relationship Id="rId1581" Type="http://schemas.openxmlformats.org/officeDocument/2006/relationships/hyperlink" Target="https://treas-secure.state.mi.us/LAFDocSearch/tl41R01.aspx?&amp;lu_id=3153&amp;doc_yr=2016&amp;doc_code=AUD" TargetMode="External"/><Relationship Id="rId1679" Type="http://schemas.openxmlformats.org/officeDocument/2006/relationships/hyperlink" Target="https://treas-secure.state.mi.us/LAFDocSearch/tl41R01.aspx?&amp;lu_id=3347&amp;doc_yr=2016&amp;doc_code=AUD" TargetMode="External"/><Relationship Id="rId2218" Type="http://schemas.openxmlformats.org/officeDocument/2006/relationships/hyperlink" Target="https://treas-secure.state.mi.us/LAFDocSearch/tl41R01.aspx?&amp;lu_id=4523&amp;doc_yr=2016&amp;doc_code=AUD" TargetMode="External"/><Relationship Id="rId2425" Type="http://schemas.openxmlformats.org/officeDocument/2006/relationships/hyperlink" Target="https://treas-secure.state.mi.us/LAFDocSearch/tl41R01.aspx?&amp;lu_id=4980&amp;doc_yr=2016&amp;doc_code=AUD" TargetMode="External"/><Relationship Id="rId2632" Type="http://schemas.openxmlformats.org/officeDocument/2006/relationships/hyperlink" Target="https://treas-secure.state.mi.us/LAFDocSearch/tl41R01.aspx?&amp;lu_id=5379&amp;doc_yr=2016&amp;doc_code=AUD" TargetMode="External"/><Relationship Id="rId80" Type="http://schemas.openxmlformats.org/officeDocument/2006/relationships/hyperlink" Target="https://treas-secure.state.mi.us/LAFDocSearch/tl41R01.aspx?&amp;lu_id=136&amp;doc_yr=2016&amp;doc_code=AUD" TargetMode="External"/><Relationship Id="rId604" Type="http://schemas.openxmlformats.org/officeDocument/2006/relationships/hyperlink" Target="https://treas-secure.state.mi.us/LAFDocSearch/tl41R01.aspx?&amp;lu_id=1021&amp;doc_yr=2016&amp;doc_code=AUD" TargetMode="External"/><Relationship Id="rId811" Type="http://schemas.openxmlformats.org/officeDocument/2006/relationships/hyperlink" Target="https://treas-secure.state.mi.us/LAFDocSearch/tl41R01.aspx?&amp;lu_id=5965&amp;doc_yr=2016&amp;doc_code=AUD" TargetMode="External"/><Relationship Id="rId1027" Type="http://schemas.openxmlformats.org/officeDocument/2006/relationships/hyperlink" Target="https://treas-secure.state.mi.us/LAFDocSearch/tl41R01.aspx?&amp;lu_id=2026&amp;doc_yr=2016&amp;doc_code=AUD" TargetMode="External"/><Relationship Id="rId1234" Type="http://schemas.openxmlformats.org/officeDocument/2006/relationships/hyperlink" Target="https://treas-secure.state.mi.us/LAFDocSearch/tl41R01.aspx?&amp;lu_id=2419&amp;doc_yr=2016&amp;doc_code=AUD" TargetMode="External"/><Relationship Id="rId1441" Type="http://schemas.openxmlformats.org/officeDocument/2006/relationships/hyperlink" Target="https://treas-secure.state.mi.us/LAFDocSearch/tl41R01.aspx?&amp;lu_id=2731&amp;doc_yr=2016&amp;doc_code=AUD" TargetMode="External"/><Relationship Id="rId1886" Type="http://schemas.openxmlformats.org/officeDocument/2006/relationships/hyperlink" Target="https://treas-secure.state.mi.us/LAFDocSearch/tl41R01.aspx?&amp;lu_id=3705&amp;doc_yr=2016&amp;doc_code=AUD" TargetMode="External"/><Relationship Id="rId909" Type="http://schemas.openxmlformats.org/officeDocument/2006/relationships/hyperlink" Target="https://treas-secure.state.mi.us/LAFDocSearch/tl41R01.aspx?&amp;lu_id=1734&amp;doc_yr=2016&amp;doc_code=AUD" TargetMode="External"/><Relationship Id="rId1301" Type="http://schemas.openxmlformats.org/officeDocument/2006/relationships/hyperlink" Target="https://treas-secure.state.mi.us/LAFDocSearch/tl41R01.aspx?&amp;lu_id=2581&amp;doc_yr=2016&amp;doc_code=AUD" TargetMode="External"/><Relationship Id="rId1539" Type="http://schemas.openxmlformats.org/officeDocument/2006/relationships/hyperlink" Target="https://treas-secure.state.mi.us/LAFDocSearch/tl41R01.aspx?&amp;lu_id=2976&amp;doc_yr=2016&amp;doc_code=AUD" TargetMode="External"/><Relationship Id="rId1746" Type="http://schemas.openxmlformats.org/officeDocument/2006/relationships/hyperlink" Target="https://treas-secure.state.mi.us/LAFDocSearch/tl41R01.aspx?&amp;lu_id=3465&amp;doc_yr=2016&amp;doc_code=AUD" TargetMode="External"/><Relationship Id="rId1953" Type="http://schemas.openxmlformats.org/officeDocument/2006/relationships/hyperlink" Target="https://treas-secure.state.mi.us/LAFDocSearch/tl41R01.aspx?&amp;lu_id=3852&amp;doc_yr=2016&amp;doc_code=AUD" TargetMode="External"/><Relationship Id="rId38" Type="http://schemas.openxmlformats.org/officeDocument/2006/relationships/hyperlink" Target="https://treas-secure.state.mi.us/LAFDocSearch/tl41R01.aspx?&amp;lu_id=52&amp;doc_yr=2016&amp;doc_code=AUD" TargetMode="External"/><Relationship Id="rId1606" Type="http://schemas.openxmlformats.org/officeDocument/2006/relationships/hyperlink" Target="https://treas-secure.state.mi.us/LAFDocSearch/tl41R01.aspx?&amp;lu_id=3206&amp;doc_yr=2016&amp;doc_code=AUD" TargetMode="External"/><Relationship Id="rId1813" Type="http://schemas.openxmlformats.org/officeDocument/2006/relationships/hyperlink" Target="https://treas-secure.state.mi.us/LAFDocSearch/tl41R01.aspx?&amp;lu_id=3596&amp;doc_yr=2016&amp;doc_code=AUD" TargetMode="External"/><Relationship Id="rId187" Type="http://schemas.openxmlformats.org/officeDocument/2006/relationships/hyperlink" Target="https://treas-secure.state.mi.us/LAFDocSearch/tl41R01.aspx?&amp;lu_id=314&amp;doc_yr=2016&amp;doc_code=AUD" TargetMode="External"/><Relationship Id="rId394" Type="http://schemas.openxmlformats.org/officeDocument/2006/relationships/hyperlink" Target="https://treas-secure.state.mi.us/LAFDocSearch/tl41R01.aspx?&amp;lu_id=674&amp;doc_yr=2016&amp;doc_code=AUD" TargetMode="External"/><Relationship Id="rId2075" Type="http://schemas.openxmlformats.org/officeDocument/2006/relationships/hyperlink" Target="https://treas-secure.state.mi.us/LAFDocSearch/tl41R01.aspx?&amp;lu_id=4268&amp;doc_yr=2016&amp;doc_code=AUD" TargetMode="External"/><Relationship Id="rId2282" Type="http://schemas.openxmlformats.org/officeDocument/2006/relationships/hyperlink" Target="https://treas-secure.state.mi.us/LAFDocSearch/tl41R01.aspx?&amp;lu_id=4714&amp;doc_yr=2016&amp;doc_code=AUD" TargetMode="External"/><Relationship Id="rId254" Type="http://schemas.openxmlformats.org/officeDocument/2006/relationships/hyperlink" Target="https://treas-secure.state.mi.us/LAFDocSearch/tl41R01.aspx?&amp;lu_id=429&amp;doc_yr=2016&amp;doc_code=AUD" TargetMode="External"/><Relationship Id="rId699" Type="http://schemas.openxmlformats.org/officeDocument/2006/relationships/hyperlink" Target="https://treas-secure.state.mi.us/LAFDocSearch/tl41R01.aspx?&amp;lu_id=1328&amp;doc_yr=2016&amp;doc_code=AUD" TargetMode="External"/><Relationship Id="rId1091" Type="http://schemas.openxmlformats.org/officeDocument/2006/relationships/hyperlink" Target="https://treas-secure.state.mi.us/LAFDocSearch/tl41R01.aspx?&amp;lu_id=2131&amp;doc_yr=2016&amp;doc_code=AUD" TargetMode="External"/><Relationship Id="rId2587" Type="http://schemas.openxmlformats.org/officeDocument/2006/relationships/hyperlink" Target="https://treas-secure.state.mi.us/LAFDocSearch/tl41R01.aspx?&amp;lu_id=5270&amp;doc_yr=2016&amp;doc_code=AUD" TargetMode="External"/><Relationship Id="rId2794" Type="http://schemas.openxmlformats.org/officeDocument/2006/relationships/hyperlink" Target="https://treas-secure.state.mi.us/LAFDocSearch/tl41R01.aspx?&amp;lu_id=5892&amp;doc_yr=2016&amp;doc_code=AUD" TargetMode="External"/><Relationship Id="rId114" Type="http://schemas.openxmlformats.org/officeDocument/2006/relationships/hyperlink" Target="https://treas-secure.state.mi.us/LAFDocSearch/tl41R01.aspx?&amp;lu_id=193&amp;doc_yr=2016&amp;doc_code=AUD" TargetMode="External"/><Relationship Id="rId461" Type="http://schemas.openxmlformats.org/officeDocument/2006/relationships/hyperlink" Target="https://treas-secure.state.mi.us/LAFDocSearch/tl41R01.aspx?&amp;lu_id=755&amp;doc_yr=2016&amp;doc_code=AUD" TargetMode="External"/><Relationship Id="rId559" Type="http://schemas.openxmlformats.org/officeDocument/2006/relationships/hyperlink" Target="https://treas-secure.state.mi.us/LAFDocSearch/tl41R01.aspx?&amp;lu_id=935&amp;doc_yr=2016&amp;doc_code=AUD" TargetMode="External"/><Relationship Id="rId766" Type="http://schemas.openxmlformats.org/officeDocument/2006/relationships/hyperlink" Target="https://treas-secure.state.mi.us/LAFDocSearch/tl41R01.aspx?&amp;lu_id=1466&amp;doc_yr=2016&amp;doc_code=AUD" TargetMode="External"/><Relationship Id="rId1189" Type="http://schemas.openxmlformats.org/officeDocument/2006/relationships/hyperlink" Target="https://treas-secure.state.mi.us/LAFDocSearch/tl41R01.aspx?&amp;lu_id=2339&amp;doc_yr=2016&amp;doc_code=AUD" TargetMode="External"/><Relationship Id="rId1396" Type="http://schemas.openxmlformats.org/officeDocument/2006/relationships/hyperlink" Target="https://treas-secure.state.mi.us/LAFDocSearch/tl41R01.aspx?&amp;lu_id=2692&amp;doc_yr=2016&amp;doc_code=AUD" TargetMode="External"/><Relationship Id="rId2142" Type="http://schemas.openxmlformats.org/officeDocument/2006/relationships/hyperlink" Target="https://treas-secure.state.mi.us/LAFDocSearch/tl41R01.aspx?&amp;lu_id=4387&amp;doc_yr=2016&amp;doc_code=AUD" TargetMode="External"/><Relationship Id="rId2447" Type="http://schemas.openxmlformats.org/officeDocument/2006/relationships/hyperlink" Target="https://treas-secure.state.mi.us/LAFDocSearch/tl41R01.aspx?&amp;lu_id=5037&amp;doc_yr=2016&amp;doc_code=AUD" TargetMode="External"/><Relationship Id="rId321" Type="http://schemas.openxmlformats.org/officeDocument/2006/relationships/hyperlink" Target="https://treas-secure.state.mi.us/LAFDocSearch/tl41R01.aspx?&amp;lu_id=544&amp;doc_yr=2016&amp;doc_code=AUD" TargetMode="External"/><Relationship Id="rId419" Type="http://schemas.openxmlformats.org/officeDocument/2006/relationships/hyperlink" Target="https://treas-secure.state.mi.us/LAFDocSearch/tl41R01.aspx?&amp;lu_id=697&amp;doc_yr=2016&amp;doc_code=AUD" TargetMode="External"/><Relationship Id="rId626" Type="http://schemas.openxmlformats.org/officeDocument/2006/relationships/hyperlink" Target="https://treas-secure.state.mi.us/LAFDocSearch/tl41R01.aspx?&amp;lu_id=1077&amp;doc_yr=2016&amp;doc_code=AUD" TargetMode="External"/><Relationship Id="rId973" Type="http://schemas.openxmlformats.org/officeDocument/2006/relationships/hyperlink" Target="https://treas-secure.state.mi.us/LAFDocSearch/tl41R01.aspx?&amp;lu_id=1804&amp;doc_yr=2016&amp;doc_code=AUD" TargetMode="External"/><Relationship Id="rId1049" Type="http://schemas.openxmlformats.org/officeDocument/2006/relationships/hyperlink" Target="https://treas-secure.state.mi.us/LAFDocSearch/tl41R01.aspx?&amp;lu_id=2120&amp;doc_yr=2016&amp;doc_code=AUD" TargetMode="External"/><Relationship Id="rId1256" Type="http://schemas.openxmlformats.org/officeDocument/2006/relationships/hyperlink" Target="https://treas-secure.state.mi.us/LAFDocSearch/tl41R01.aspx?&amp;lu_id=2432&amp;doc_yr=2016&amp;doc_code=AUD" TargetMode="External"/><Relationship Id="rId2002" Type="http://schemas.openxmlformats.org/officeDocument/2006/relationships/hyperlink" Target="https://treas-secure.state.mi.us/LAFDocSearch/tl41R01.aspx?&amp;lu_id=3866&amp;doc_yr=2016&amp;doc_code=AUD" TargetMode="External"/><Relationship Id="rId2307" Type="http://schemas.openxmlformats.org/officeDocument/2006/relationships/hyperlink" Target="https://treas-secure.state.mi.us/LAFDocSearch/tl41R01.aspx?&amp;lu_id=4826&amp;doc_yr=2016&amp;doc_code=AUD" TargetMode="External"/><Relationship Id="rId2654" Type="http://schemas.openxmlformats.org/officeDocument/2006/relationships/hyperlink" Target="https://treas-secure.state.mi.us/LAFDocSearch/tl41R01.aspx?&amp;lu_id=5810&amp;doc_yr=2016&amp;doc_code=AUD" TargetMode="External"/><Relationship Id="rId833" Type="http://schemas.openxmlformats.org/officeDocument/2006/relationships/hyperlink" Target="https://treas-secure.state.mi.us/LAFDocSearch/tl41R01.aspx?&amp;lu_id=1554&amp;doc_yr=2016&amp;doc_code=AUD" TargetMode="External"/><Relationship Id="rId1116" Type="http://schemas.openxmlformats.org/officeDocument/2006/relationships/hyperlink" Target="https://treas-secure.state.mi.us/LAFDocSearch/tl41R01.aspx?&amp;lu_id=2186&amp;doc_yr=2016&amp;doc_code=AUD" TargetMode="External"/><Relationship Id="rId1463" Type="http://schemas.openxmlformats.org/officeDocument/2006/relationships/hyperlink" Target="https://treas-secure.state.mi.us/LAFDocSearch/tl41R01.aspx?&amp;lu_id=2815&amp;doc_yr=2016&amp;doc_code=AUD" TargetMode="External"/><Relationship Id="rId1670" Type="http://schemas.openxmlformats.org/officeDocument/2006/relationships/hyperlink" Target="https://treas-secure.state.mi.us/LAFDocSearch/tl41R01.aspx?&amp;lu_id=3317&amp;doc_yr=2016&amp;doc_code=AUD" TargetMode="External"/><Relationship Id="rId1768" Type="http://schemas.openxmlformats.org/officeDocument/2006/relationships/hyperlink" Target="https://treas-secure.state.mi.us/LAFDocSearch/tl41R01.aspx?&amp;lu_id=3506&amp;doc_yr=2016&amp;doc_code=AUD" TargetMode="External"/><Relationship Id="rId2514" Type="http://schemas.openxmlformats.org/officeDocument/2006/relationships/hyperlink" Target="https://treas-secure.state.mi.us/LAFDocSearch/tl41R01.aspx?&amp;lu_id=5154&amp;doc_yr=2016&amp;doc_code=AUD" TargetMode="External"/><Relationship Id="rId2721" Type="http://schemas.openxmlformats.org/officeDocument/2006/relationships/hyperlink" Target="https://treas-secure.state.mi.us/LAFDocSearch/tl41R01.aspx?&amp;lu_id=5829&amp;doc_yr=2016&amp;doc_code=AUD" TargetMode="External"/><Relationship Id="rId900" Type="http://schemas.openxmlformats.org/officeDocument/2006/relationships/hyperlink" Target="https://treas-secure.state.mi.us/LAFDocSearch/tl41R01.aspx?&amp;lu_id=1670&amp;doc_yr=2016&amp;doc_code=AUD" TargetMode="External"/><Relationship Id="rId1323" Type="http://schemas.openxmlformats.org/officeDocument/2006/relationships/hyperlink" Target="https://treas-secure.state.mi.us/LAFDocSearch/tl41R01.aspx?&amp;lu_id=2465&amp;doc_yr=2016&amp;doc_code=AUD" TargetMode="External"/><Relationship Id="rId1530" Type="http://schemas.openxmlformats.org/officeDocument/2006/relationships/hyperlink" Target="https://treas-secure.state.mi.us/LAFDocSearch/tl41R01.aspx?&amp;lu_id=2953&amp;doc_yr=2016&amp;doc_code=AUD" TargetMode="External"/><Relationship Id="rId1628" Type="http://schemas.openxmlformats.org/officeDocument/2006/relationships/hyperlink" Target="https://treas-secure.state.mi.us/LAFDocSearch/tl41R01.aspx?&amp;lu_id=3267&amp;doc_yr=2016&amp;doc_code=AUD" TargetMode="External"/><Relationship Id="rId1975" Type="http://schemas.openxmlformats.org/officeDocument/2006/relationships/hyperlink" Target="https://treas-secure.state.mi.us/LAFDocSearch/tl41R01.aspx?&amp;lu_id=4186&amp;doc_yr=2016&amp;doc_code=AUD" TargetMode="External"/><Relationship Id="rId1835" Type="http://schemas.openxmlformats.org/officeDocument/2006/relationships/hyperlink" Target="https://treas-secure.state.mi.us/LAFDocSearch/tl41R01.aspx?&amp;lu_id=3653&amp;doc_yr=2016&amp;doc_code=AUD" TargetMode="External"/><Relationship Id="rId1902" Type="http://schemas.openxmlformats.org/officeDocument/2006/relationships/hyperlink" Target="https://treas-secure.state.mi.us/LAFDocSearch/tl41R01.aspx?&amp;lu_id=3701&amp;doc_yr=2016&amp;doc_code=AUD" TargetMode="External"/><Relationship Id="rId2097" Type="http://schemas.openxmlformats.org/officeDocument/2006/relationships/hyperlink" Target="https://treas-secure.state.mi.us/LAFDocSearch/tl41R01.aspx?&amp;lu_id=4303&amp;doc_yr=2016&amp;doc_code=AUD" TargetMode="External"/><Relationship Id="rId276" Type="http://schemas.openxmlformats.org/officeDocument/2006/relationships/hyperlink" Target="https://treas-secure.state.mi.us/LAFDocSearch/tl41R01.aspx?&amp;lu_id=541&amp;doc_yr=2016&amp;doc_code=AUD" TargetMode="External"/><Relationship Id="rId483" Type="http://schemas.openxmlformats.org/officeDocument/2006/relationships/hyperlink" Target="https://treas-secure.state.mi.us/LAFDocSearch/tl41R01.aspx?&amp;lu_id=805&amp;doc_yr=2016&amp;doc_code=AUD" TargetMode="External"/><Relationship Id="rId690" Type="http://schemas.openxmlformats.org/officeDocument/2006/relationships/hyperlink" Target="https://treas-secure.state.mi.us/LAFDocSearch/tl41R01.aspx?&amp;lu_id=7557&amp;doc_yr=2016&amp;doc_code=AUD" TargetMode="External"/><Relationship Id="rId2164" Type="http://schemas.openxmlformats.org/officeDocument/2006/relationships/hyperlink" Target="https://treas-secure.state.mi.us/LAFDocSearch/tl41R01.aspx?&amp;lu_id=4434&amp;doc_yr=2016&amp;doc_code=AUD" TargetMode="External"/><Relationship Id="rId2371" Type="http://schemas.openxmlformats.org/officeDocument/2006/relationships/hyperlink" Target="https://treas-secure.state.mi.us/LAFDocSearch/tl41R01.aspx?&amp;lu_id=4838&amp;doc_yr=2016&amp;doc_code=AUD" TargetMode="External"/><Relationship Id="rId136" Type="http://schemas.openxmlformats.org/officeDocument/2006/relationships/hyperlink" Target="https://treas-secure.state.mi.us/LAFDocSearch/tl41R01.aspx?&amp;lu_id=240&amp;doc_yr=2016&amp;doc_code=AUD" TargetMode="External"/><Relationship Id="rId343" Type="http://schemas.openxmlformats.org/officeDocument/2006/relationships/hyperlink" Target="https://treas-secure.state.mi.us/LAFDocSearch/tl41R01.aspx?&amp;lu_id=569&amp;doc_yr=2016&amp;doc_code=AUD" TargetMode="External"/><Relationship Id="rId550" Type="http://schemas.openxmlformats.org/officeDocument/2006/relationships/hyperlink" Target="https://treas-secure.state.mi.us/LAFDocSearch/tl41R01.aspx?&amp;lu_id=931&amp;doc_yr=2016&amp;doc_code=AUD" TargetMode="External"/><Relationship Id="rId788" Type="http://schemas.openxmlformats.org/officeDocument/2006/relationships/hyperlink" Target="https://treas-secure.state.mi.us/LAFDocSearch/tl41R01.aspx?&amp;lu_id=1530&amp;doc_yr=2016&amp;doc_code=AUD" TargetMode="External"/><Relationship Id="rId995" Type="http://schemas.openxmlformats.org/officeDocument/2006/relationships/hyperlink" Target="https://treas-secure.state.mi.us/LAFDocSearch/tl41R01.aspx?&amp;lu_id=1902&amp;doc_yr=2016&amp;doc_code=AUD" TargetMode="External"/><Relationship Id="rId1180" Type="http://schemas.openxmlformats.org/officeDocument/2006/relationships/hyperlink" Target="https://treas-secure.state.mi.us/LAFDocSearch/tl41R01.aspx?&amp;lu_id=2326&amp;doc_yr=2016&amp;doc_code=AUD" TargetMode="External"/><Relationship Id="rId2024" Type="http://schemas.openxmlformats.org/officeDocument/2006/relationships/hyperlink" Target="https://treas-secure.state.mi.us/LAFDocSearch/tl41R01.aspx?&amp;lu_id=4176&amp;doc_yr=2016&amp;doc_code=AUD" TargetMode="External"/><Relationship Id="rId2231" Type="http://schemas.openxmlformats.org/officeDocument/2006/relationships/hyperlink" Target="https://treas-secure.state.mi.us/LAFDocSearch/tl41R01.aspx?&amp;lu_id=4565&amp;doc_yr=2016&amp;doc_code=AUD" TargetMode="External"/><Relationship Id="rId2469" Type="http://schemas.openxmlformats.org/officeDocument/2006/relationships/hyperlink" Target="https://treas-secure.state.mi.us/LAFDocSearch/tl41R01.aspx?&amp;lu_id=5013&amp;doc_yr=2016&amp;doc_code=AUD" TargetMode="External"/><Relationship Id="rId2676" Type="http://schemas.openxmlformats.org/officeDocument/2006/relationships/hyperlink" Target="https://treas-secure.state.mi.us/LAFDocSearch/tl41R01.aspx?&amp;lu_id=5431&amp;doc_yr=2016&amp;doc_code=AUD" TargetMode="External"/><Relationship Id="rId203" Type="http://schemas.openxmlformats.org/officeDocument/2006/relationships/hyperlink" Target="https://treas-secure.state.mi.us/LAFDocSearch/tl41R01.aspx?&amp;lu_id=323&amp;doc_yr=2016&amp;doc_code=AUD" TargetMode="External"/><Relationship Id="rId648" Type="http://schemas.openxmlformats.org/officeDocument/2006/relationships/hyperlink" Target="https://treas-secure.state.mi.us/LAFDocSearch/tl41R01.aspx?&amp;lu_id=1108&amp;doc_yr=2016&amp;doc_code=AUD" TargetMode="External"/><Relationship Id="rId855" Type="http://schemas.openxmlformats.org/officeDocument/2006/relationships/hyperlink" Target="https://treas-secure.state.mi.us/LAFDocSearch/tl41R01.aspx?&amp;lu_id=1604&amp;doc_yr=2016&amp;doc_code=AUD" TargetMode="External"/><Relationship Id="rId1040" Type="http://schemas.openxmlformats.org/officeDocument/2006/relationships/hyperlink" Target="https://treas-secure.state.mi.us/LAFDocSearch/tl41R01.aspx?&amp;lu_id=2052&amp;doc_yr=2016&amp;doc_code=AUD" TargetMode="External"/><Relationship Id="rId1278" Type="http://schemas.openxmlformats.org/officeDocument/2006/relationships/hyperlink" Target="https://treas-secure.state.mi.us/LAFDocSearch/tl41R01.aspx?&amp;lu_id=2457&amp;doc_yr=2016&amp;doc_code=AUD" TargetMode="External"/><Relationship Id="rId1485" Type="http://schemas.openxmlformats.org/officeDocument/2006/relationships/hyperlink" Target="https://treas-secure.state.mi.us/LAFDocSearch/tl41R01.aspx?&amp;lu_id=2909&amp;doc_yr=2016&amp;doc_code=AUD" TargetMode="External"/><Relationship Id="rId1692" Type="http://schemas.openxmlformats.org/officeDocument/2006/relationships/hyperlink" Target="https://treas-secure.state.mi.us/LAFDocSearch/tl41R01.aspx?&amp;lu_id=3356&amp;doc_yr=2016&amp;doc_code=AUD" TargetMode="External"/><Relationship Id="rId2329" Type="http://schemas.openxmlformats.org/officeDocument/2006/relationships/hyperlink" Target="https://treas-secure.state.mi.us/LAFDocSearch/tl41R01.aspx?&amp;lu_id=4828&amp;doc_yr=2016&amp;doc_code=AUD" TargetMode="External"/><Relationship Id="rId2536" Type="http://schemas.openxmlformats.org/officeDocument/2006/relationships/hyperlink" Target="https://treas-secure.state.mi.us/LAFDocSearch/tl41R01.aspx?&amp;lu_id=5186&amp;doc_yr=2016&amp;doc_code=AUD" TargetMode="External"/><Relationship Id="rId2743" Type="http://schemas.openxmlformats.org/officeDocument/2006/relationships/hyperlink" Target="https://treas-secure.state.mi.us/LAFDocSearch/tl41R01.aspx?&amp;lu_id=5835&amp;doc_yr=2016&amp;doc_code=AUD" TargetMode="External"/><Relationship Id="rId410" Type="http://schemas.openxmlformats.org/officeDocument/2006/relationships/hyperlink" Target="https://treas-secure.state.mi.us/LAFDocSearch/tl41R01.aspx?&amp;lu_id=737&amp;doc_yr=2016&amp;doc_code=AUD" TargetMode="External"/><Relationship Id="rId508" Type="http://schemas.openxmlformats.org/officeDocument/2006/relationships/hyperlink" Target="https://treas-secure.state.mi.us/LAFDocSearch/tl41R01.aspx?&amp;lu_id=847&amp;doc_yr=2016&amp;doc_code=AUD" TargetMode="External"/><Relationship Id="rId715" Type="http://schemas.openxmlformats.org/officeDocument/2006/relationships/hyperlink" Target="https://treas-secure.state.mi.us/LAFDocSearch/tl41R01.aspx?&amp;lu_id=7004&amp;doc_yr=2016&amp;doc_code=AUD" TargetMode="External"/><Relationship Id="rId922" Type="http://schemas.openxmlformats.org/officeDocument/2006/relationships/hyperlink" Target="https://treas-secure.state.mi.us/LAFDocSearch/tl41R01.aspx?&amp;lu_id=1728&amp;doc_yr=2016&amp;doc_code=AUD" TargetMode="External"/><Relationship Id="rId1138" Type="http://schemas.openxmlformats.org/officeDocument/2006/relationships/hyperlink" Target="https://treas-secure.state.mi.us/LAFDocSearch/tl41R01.aspx?&amp;lu_id=2221&amp;doc_yr=2016&amp;doc_code=AUD" TargetMode="External"/><Relationship Id="rId1345" Type="http://schemas.openxmlformats.org/officeDocument/2006/relationships/hyperlink" Target="https://treas-secure.state.mi.us/LAFDocSearch/tl41R01.aspx?&amp;lu_id=2598&amp;doc_yr=2016&amp;doc_code=AUD" TargetMode="External"/><Relationship Id="rId1552" Type="http://schemas.openxmlformats.org/officeDocument/2006/relationships/hyperlink" Target="https://treas-secure.state.mi.us/LAFDocSearch/tl41R01.aspx?&amp;lu_id=2978&amp;doc_yr=2016&amp;doc_code=AUD" TargetMode="External"/><Relationship Id="rId1997" Type="http://schemas.openxmlformats.org/officeDocument/2006/relationships/hyperlink" Target="https://treas-secure.state.mi.us/LAFDocSearch/tl41R01.aspx?&amp;lu_id=7011&amp;doc_yr=2016&amp;doc_code=AUD" TargetMode="External"/><Relationship Id="rId2603" Type="http://schemas.openxmlformats.org/officeDocument/2006/relationships/hyperlink" Target="https://treas-secure.state.mi.us/LAFDocSearch/tl41R01.aspx?&amp;lu_id=5276&amp;doc_yr=2016&amp;doc_code=AUD" TargetMode="External"/><Relationship Id="rId1205" Type="http://schemas.openxmlformats.org/officeDocument/2006/relationships/hyperlink" Target="https://treas-secure.state.mi.us/LAFDocSearch/tl41R01.aspx?&amp;lu_id=2349&amp;doc_yr=2016&amp;doc_code=AUD" TargetMode="External"/><Relationship Id="rId1857" Type="http://schemas.openxmlformats.org/officeDocument/2006/relationships/hyperlink" Target="https://treas-secure.state.mi.us/LAFDocSearch/tl41R01.aspx?&amp;lu_id=3680&amp;doc_yr=2016&amp;doc_code=AUD" TargetMode="External"/><Relationship Id="rId51" Type="http://schemas.openxmlformats.org/officeDocument/2006/relationships/hyperlink" Target="https://treas-secure.state.mi.us/LAFDocSearch/tl41R01.aspx?&amp;lu_id=128&amp;doc_yr=2016&amp;doc_code=AUD" TargetMode="External"/><Relationship Id="rId1412" Type="http://schemas.openxmlformats.org/officeDocument/2006/relationships/hyperlink" Target="https://treas-secure.state.mi.us/LAFDocSearch/tl41R01.aspx?&amp;lu_id=2711&amp;doc_yr=2016&amp;doc_code=AUD" TargetMode="External"/><Relationship Id="rId1717" Type="http://schemas.openxmlformats.org/officeDocument/2006/relationships/hyperlink" Target="https://treas-secure.state.mi.us/LAFDocSearch/tl41R01.aspx?&amp;lu_id=3418&amp;doc_yr=2016&amp;doc_code=AUD" TargetMode="External"/><Relationship Id="rId1924" Type="http://schemas.openxmlformats.org/officeDocument/2006/relationships/hyperlink" Target="https://treas-secure.state.mi.us/LAFDocSearch/tl41R01.aspx?&amp;lu_id=3762&amp;doc_yr=2016&amp;doc_code=AUD" TargetMode="External"/><Relationship Id="rId298" Type="http://schemas.openxmlformats.org/officeDocument/2006/relationships/hyperlink" Target="https://treas-secure.state.mi.us/LAFDocSearch/tl41R01.aspx?&amp;lu_id=550&amp;doc_yr=2016&amp;doc_code=AUD" TargetMode="External"/><Relationship Id="rId158" Type="http://schemas.openxmlformats.org/officeDocument/2006/relationships/hyperlink" Target="https://treas-secure.state.mi.us/LAFDocSearch/tl41R01.aspx?&amp;lu_id=308&amp;doc_yr=2016&amp;doc_code=AUD" TargetMode="External"/><Relationship Id="rId2186" Type="http://schemas.openxmlformats.org/officeDocument/2006/relationships/hyperlink" Target="https://treas-secure.state.mi.us/LAFDocSearch/tl41R01.aspx?&amp;lu_id=4415&amp;doc_yr=2016&amp;doc_code=AUD" TargetMode="External"/><Relationship Id="rId2393" Type="http://schemas.openxmlformats.org/officeDocument/2006/relationships/hyperlink" Target="https://treas-secure.state.mi.us/LAFDocSearch/tl41R01.aspx?&amp;lu_id=4988&amp;doc_yr=2016&amp;doc_code=AUD" TargetMode="External"/><Relationship Id="rId2698" Type="http://schemas.openxmlformats.org/officeDocument/2006/relationships/hyperlink" Target="https://treas-secure.state.mi.us/LAFDocSearch/tl41R01.aspx?&amp;lu_id=5435&amp;doc_yr=2016&amp;doc_code=AUD" TargetMode="External"/><Relationship Id="rId365" Type="http://schemas.openxmlformats.org/officeDocument/2006/relationships/hyperlink" Target="https://treas-secure.state.mi.us/LAFDocSearch/tl41R01.aspx?&amp;lu_id=656&amp;doc_yr=2016&amp;doc_code=AUD" TargetMode="External"/><Relationship Id="rId572" Type="http://schemas.openxmlformats.org/officeDocument/2006/relationships/hyperlink" Target="https://treas-secure.state.mi.us/LAFDocSearch/tl41R01.aspx?&amp;lu_id=950&amp;doc_yr=2016&amp;doc_code=AUD" TargetMode="External"/><Relationship Id="rId2046" Type="http://schemas.openxmlformats.org/officeDocument/2006/relationships/hyperlink" Target="https://treas-secure.state.mi.us/LAFDocSearch/tl41R01.aspx?&amp;lu_id=3887&amp;doc_yr=2016&amp;doc_code=AUD" TargetMode="External"/><Relationship Id="rId2253" Type="http://schemas.openxmlformats.org/officeDocument/2006/relationships/hyperlink" Target="https://treas-secure.state.mi.us/LAFDocSearch/tl41R01.aspx?&amp;lu_id=4716&amp;doc_yr=2016&amp;doc_code=AUD" TargetMode="External"/><Relationship Id="rId2460" Type="http://schemas.openxmlformats.org/officeDocument/2006/relationships/hyperlink" Target="https://treas-secure.state.mi.us/LAFDocSearch/tl41R01.aspx?&amp;lu_id=5034&amp;doc_yr=2016&amp;doc_code=AUD" TargetMode="External"/><Relationship Id="rId225" Type="http://schemas.openxmlformats.org/officeDocument/2006/relationships/hyperlink" Target="https://treas-secure.state.mi.us/LAFDocSearch/tl41R01.aspx?&amp;lu_id=392&amp;doc_yr=2016&amp;doc_code=AUD" TargetMode="External"/><Relationship Id="rId432" Type="http://schemas.openxmlformats.org/officeDocument/2006/relationships/hyperlink" Target="https://treas-secure.state.mi.us/LAFDocSearch/tl41R01.aspx?&amp;lu_id=733&amp;doc_yr=2016&amp;doc_code=AUD" TargetMode="External"/><Relationship Id="rId877" Type="http://schemas.openxmlformats.org/officeDocument/2006/relationships/hyperlink" Target="https://treas-secure.state.mi.us/LAFDocSearch/tl41R01.aspx?&amp;lu_id=1700&amp;doc_yr=2016&amp;doc_code=AUD" TargetMode="External"/><Relationship Id="rId1062" Type="http://schemas.openxmlformats.org/officeDocument/2006/relationships/hyperlink" Target="https://treas-secure.state.mi.us/LAFDocSearch/tl41R01.aspx?&amp;lu_id=2059&amp;doc_yr=2016&amp;doc_code=AUD" TargetMode="External"/><Relationship Id="rId2113" Type="http://schemas.openxmlformats.org/officeDocument/2006/relationships/hyperlink" Target="https://treas-secure.state.mi.us/LAFDocSearch/tl41R01.aspx?&amp;lu_id=4344&amp;doc_yr=2016&amp;doc_code=AUD" TargetMode="External"/><Relationship Id="rId2320" Type="http://schemas.openxmlformats.org/officeDocument/2006/relationships/hyperlink" Target="https://treas-secure.state.mi.us/LAFDocSearch/tl41R01.aspx?&amp;lu_id=4736&amp;doc_yr=2016&amp;doc_code=AUD" TargetMode="External"/><Relationship Id="rId2558" Type="http://schemas.openxmlformats.org/officeDocument/2006/relationships/hyperlink" Target="https://treas-secure.state.mi.us/LAFDocSearch/tl41R01.aspx?&amp;lu_id=5247&amp;doc_yr=2016&amp;doc_code=AUD" TargetMode="External"/><Relationship Id="rId2765" Type="http://schemas.openxmlformats.org/officeDocument/2006/relationships/hyperlink" Target="https://treas-secure.state.mi.us/LAFDocSearch/tl41R01.aspx?&amp;lu_id=5719&amp;doc_yr=2016&amp;doc_code=AUD" TargetMode="External"/><Relationship Id="rId737" Type="http://schemas.openxmlformats.org/officeDocument/2006/relationships/hyperlink" Target="https://treas-secure.state.mi.us/LAFDocSearch/tl41R01.aspx?&amp;lu_id=1351&amp;doc_yr=2016&amp;doc_code=AUD" TargetMode="External"/><Relationship Id="rId944" Type="http://schemas.openxmlformats.org/officeDocument/2006/relationships/hyperlink" Target="https://treas-secure.state.mi.us/LAFDocSearch/tl41R01.aspx?&amp;lu_id=1789&amp;doc_yr=2016&amp;doc_code=AUD" TargetMode="External"/><Relationship Id="rId1367" Type="http://schemas.openxmlformats.org/officeDocument/2006/relationships/hyperlink" Target="https://treas-secure.state.mi.us/LAFDocSearch/tl41R01.aspx?&amp;lu_id=2698&amp;doc_yr=2016&amp;doc_code=AUD" TargetMode="External"/><Relationship Id="rId1574" Type="http://schemas.openxmlformats.org/officeDocument/2006/relationships/hyperlink" Target="https://treas-secure.state.mi.us/LAFDocSearch/tl41R01.aspx?&amp;lu_id=3155&amp;doc_yr=2016&amp;doc_code=AUD" TargetMode="External"/><Relationship Id="rId1781" Type="http://schemas.openxmlformats.org/officeDocument/2006/relationships/hyperlink" Target="https://treas-secure.state.mi.us/LAFDocSearch/tl41R01.aspx?&amp;lu_id=3573&amp;doc_yr=2016&amp;doc_code=AUD" TargetMode="External"/><Relationship Id="rId2418" Type="http://schemas.openxmlformats.org/officeDocument/2006/relationships/hyperlink" Target="https://treas-secure.state.mi.us/LAFDocSearch/tl41R01.aspx?&amp;lu_id=4984&amp;doc_yr=2016&amp;doc_code=AUD" TargetMode="External"/><Relationship Id="rId2625" Type="http://schemas.openxmlformats.org/officeDocument/2006/relationships/hyperlink" Target="https://treas-secure.state.mi.us/LAFDocSearch/tl41R01.aspx?&amp;lu_id=5370&amp;doc_yr=2016&amp;doc_code=AUD" TargetMode="External"/><Relationship Id="rId73" Type="http://schemas.openxmlformats.org/officeDocument/2006/relationships/hyperlink" Target="https://treas-secure.state.mi.us/LAFDocSearch/tl41R01.aspx?&amp;lu_id=130&amp;doc_yr=2016&amp;doc_code=AUD" TargetMode="External"/><Relationship Id="rId804" Type="http://schemas.openxmlformats.org/officeDocument/2006/relationships/hyperlink" Target="https://treas-secure.state.mi.us/LAFDocSearch/tl41R01.aspx?&amp;lu_id=1569&amp;doc_yr=2016&amp;doc_code=AUD" TargetMode="External"/><Relationship Id="rId1227" Type="http://schemas.openxmlformats.org/officeDocument/2006/relationships/hyperlink" Target="https://treas-secure.state.mi.us/LAFDocSearch/tl41R01.aspx?&amp;lu_id=2346&amp;doc_yr=2016&amp;doc_code=AUD" TargetMode="External"/><Relationship Id="rId1434" Type="http://schemas.openxmlformats.org/officeDocument/2006/relationships/hyperlink" Target="https://treas-secure.state.mi.us/LAFDocSearch/tl41R01.aspx?&amp;lu_id=2736&amp;doc_yr=2016&amp;doc_code=AUD" TargetMode="External"/><Relationship Id="rId1641" Type="http://schemas.openxmlformats.org/officeDocument/2006/relationships/hyperlink" Target="https://treas-secure.state.mi.us/LAFDocSearch/tl41R01.aspx?&amp;lu_id=3301&amp;doc_yr=2016&amp;doc_code=AUD" TargetMode="External"/><Relationship Id="rId1879" Type="http://schemas.openxmlformats.org/officeDocument/2006/relationships/hyperlink" Target="https://treas-secure.state.mi.us/LAFDocSearch/tl41R01.aspx?&amp;lu_id=3704&amp;doc_yr=2016&amp;doc_code=AUD" TargetMode="External"/><Relationship Id="rId1501" Type="http://schemas.openxmlformats.org/officeDocument/2006/relationships/hyperlink" Target="https://treas-secure.state.mi.us/LAFDocSearch/tl41R01.aspx?&amp;lu_id=2910&amp;doc_yr=2016&amp;doc_code=AUD" TargetMode="External"/><Relationship Id="rId1739" Type="http://schemas.openxmlformats.org/officeDocument/2006/relationships/hyperlink" Target="https://treas-secure.state.mi.us/LAFDocSearch/tl41R01.aspx?&amp;lu_id=7558&amp;doc_yr=2016&amp;doc_code=AUD" TargetMode="External"/><Relationship Id="rId1946" Type="http://schemas.openxmlformats.org/officeDocument/2006/relationships/hyperlink" Target="https://treas-secure.state.mi.us/LAFDocSearch/tl41R01.aspx?&amp;lu_id=4180&amp;doc_yr=2016&amp;doc_code=AUD" TargetMode="External"/><Relationship Id="rId1806" Type="http://schemas.openxmlformats.org/officeDocument/2006/relationships/hyperlink" Target="https://treas-secure.state.mi.us/LAFDocSearch/tl41R01.aspx?&amp;lu_id=3543&amp;doc_yr=2016&amp;doc_code=AUD" TargetMode="External"/><Relationship Id="rId387" Type="http://schemas.openxmlformats.org/officeDocument/2006/relationships/hyperlink" Target="https://treas-secure.state.mi.us/LAFDocSearch/tl41R01.aspx?&amp;lu_id=676&amp;doc_yr=2016&amp;doc_code=AUD" TargetMode="External"/><Relationship Id="rId594" Type="http://schemas.openxmlformats.org/officeDocument/2006/relationships/hyperlink" Target="https://treas-secure.state.mi.us/LAFDocSearch/tl41R01.aspx?&amp;lu_id=1036&amp;doc_yr=2016&amp;doc_code=AUD" TargetMode="External"/><Relationship Id="rId2068" Type="http://schemas.openxmlformats.org/officeDocument/2006/relationships/hyperlink" Target="https://treas-secure.state.mi.us/LAFDocSearch/tl41R01.aspx?&amp;lu_id=4236&amp;doc_yr=2016&amp;doc_code=AUD" TargetMode="External"/><Relationship Id="rId2275" Type="http://schemas.openxmlformats.org/officeDocument/2006/relationships/hyperlink" Target="https://treas-secure.state.mi.us/LAFDocSearch/tl41R01.aspx?&amp;lu_id=4702&amp;doc_yr=2016&amp;doc_code=AUD" TargetMode="External"/><Relationship Id="rId247" Type="http://schemas.openxmlformats.org/officeDocument/2006/relationships/hyperlink" Target="https://treas-secure.state.mi.us/LAFDocSearch/tl41R01.aspx?&amp;lu_id=419&amp;doc_yr=2016&amp;doc_code=AUD" TargetMode="External"/><Relationship Id="rId899" Type="http://schemas.openxmlformats.org/officeDocument/2006/relationships/hyperlink" Target="https://treas-secure.state.mi.us/LAFDocSearch/tl41R01.aspx?&amp;lu_id=1668&amp;doc_yr=2016&amp;doc_code=AUD" TargetMode="External"/><Relationship Id="rId1084" Type="http://schemas.openxmlformats.org/officeDocument/2006/relationships/hyperlink" Target="https://treas-secure.state.mi.us/LAFDocSearch/tl41R01.aspx?&amp;lu_id=2162&amp;doc_yr=2016&amp;doc_code=AUD" TargetMode="External"/><Relationship Id="rId2482" Type="http://schemas.openxmlformats.org/officeDocument/2006/relationships/hyperlink" Target="https://treas-secure.state.mi.us/LAFDocSearch/tl41R01.aspx?&amp;lu_id=5095&amp;doc_yr=2016&amp;doc_code=AUD" TargetMode="External"/><Relationship Id="rId2787" Type="http://schemas.openxmlformats.org/officeDocument/2006/relationships/hyperlink" Target="https://treas-secure.state.mi.us/LAFDocSearch/tl41R01.aspx?&amp;lu_id=5894&amp;doc_yr=2016&amp;doc_code=AUD" TargetMode="External"/><Relationship Id="rId107" Type="http://schemas.openxmlformats.org/officeDocument/2006/relationships/hyperlink" Target="https://treas-secure.state.mi.us/LAFDocSearch/tl41R01.aspx?&amp;lu_id=168&amp;doc_yr=2016&amp;doc_code=AUD" TargetMode="External"/><Relationship Id="rId454" Type="http://schemas.openxmlformats.org/officeDocument/2006/relationships/hyperlink" Target="https://treas-secure.state.mi.us/LAFDocSearch/tl41R01.aspx?&amp;lu_id=748&amp;doc_yr=2016&amp;doc_code=AUD" TargetMode="External"/><Relationship Id="rId661" Type="http://schemas.openxmlformats.org/officeDocument/2006/relationships/hyperlink" Target="https://treas-secure.state.mi.us/LAFDocSearch/tl41R01.aspx?&amp;lu_id=1114&amp;doc_yr=2016&amp;doc_code=AUD" TargetMode="External"/><Relationship Id="rId759" Type="http://schemas.openxmlformats.org/officeDocument/2006/relationships/hyperlink" Target="https://treas-secure.state.mi.us/LAFDocSearch/tl41R01.aspx?&amp;lu_id=1495&amp;doc_yr=2016&amp;doc_code=AUD" TargetMode="External"/><Relationship Id="rId966" Type="http://schemas.openxmlformats.org/officeDocument/2006/relationships/hyperlink" Target="https://treas-secure.state.mi.us/LAFDocSearch/tl41R01.aspx?&amp;lu_id=1801&amp;doc_yr=2016&amp;doc_code=AUD" TargetMode="External"/><Relationship Id="rId1291" Type="http://schemas.openxmlformats.org/officeDocument/2006/relationships/hyperlink" Target="https://treas-secure.state.mi.us/LAFDocSearch/tl41R01.aspx?&amp;lu_id=2462&amp;doc_yr=2016&amp;doc_code=AUD" TargetMode="External"/><Relationship Id="rId1389" Type="http://schemas.openxmlformats.org/officeDocument/2006/relationships/hyperlink" Target="https://treas-secure.state.mi.us/LAFDocSearch/tl41R01.aspx?&amp;lu_id=2691&amp;doc_yr=2016&amp;doc_code=AUD" TargetMode="External"/><Relationship Id="rId1596" Type="http://schemas.openxmlformats.org/officeDocument/2006/relationships/hyperlink" Target="https://treas-secure.state.mi.us/LAFDocSearch/tl41R01.aspx?&amp;lu_id=3200&amp;doc_yr=2016&amp;doc_code=AUD" TargetMode="External"/><Relationship Id="rId2135" Type="http://schemas.openxmlformats.org/officeDocument/2006/relationships/hyperlink" Target="https://treas-secure.state.mi.us/LAFDocSearch/tl41R01.aspx?&amp;lu_id=4375&amp;doc_yr=2016&amp;doc_code=AUD" TargetMode="External"/><Relationship Id="rId2342" Type="http://schemas.openxmlformats.org/officeDocument/2006/relationships/hyperlink" Target="https://treas-secure.state.mi.us/LAFDocSearch/tl41R01.aspx?&amp;lu_id=4829&amp;doc_yr=2016&amp;doc_code=AUD" TargetMode="External"/><Relationship Id="rId2647" Type="http://schemas.openxmlformats.org/officeDocument/2006/relationships/hyperlink" Target="https://treas-secure.state.mi.us/LAFDocSearch/tl41R01.aspx?&amp;lu_id=5411&amp;doc_yr=2016&amp;doc_code=AUD" TargetMode="External"/><Relationship Id="rId314" Type="http://schemas.openxmlformats.org/officeDocument/2006/relationships/hyperlink" Target="https://treas-secure.state.mi.us/LAFDocSearch/tl41R01.aspx?&amp;lu_id=534&amp;doc_yr=2016&amp;doc_code=AUD" TargetMode="External"/><Relationship Id="rId521" Type="http://schemas.openxmlformats.org/officeDocument/2006/relationships/hyperlink" Target="https://treas-secure.state.mi.us/LAFDocSearch/tl41R01.aspx?&amp;lu_id=892&amp;doc_yr=2016&amp;doc_code=AUD" TargetMode="External"/><Relationship Id="rId619" Type="http://schemas.openxmlformats.org/officeDocument/2006/relationships/hyperlink" Target="https://treas-secure.state.mi.us/LAFDocSearch/tl41R01.aspx?&amp;lu_id=1053&amp;doc_yr=2016&amp;doc_code=AUD" TargetMode="External"/><Relationship Id="rId1151" Type="http://schemas.openxmlformats.org/officeDocument/2006/relationships/hyperlink" Target="https://treas-secure.state.mi.us/LAFDocSearch/tl41R01.aspx?&amp;lu_id=2231&amp;doc_yr=2016&amp;doc_code=AUD" TargetMode="External"/><Relationship Id="rId1249" Type="http://schemas.openxmlformats.org/officeDocument/2006/relationships/hyperlink" Target="https://treas-secure.state.mi.us/LAFDocSearch/tl41R01.aspx?&amp;lu_id=2370&amp;doc_yr=2016&amp;doc_code=AUD" TargetMode="External"/><Relationship Id="rId2202" Type="http://schemas.openxmlformats.org/officeDocument/2006/relationships/hyperlink" Target="https://treas-secure.state.mi.us/LAFDocSearch/tl41R01.aspx?&amp;lu_id=4438&amp;doc_yr=2016&amp;doc_code=AUD" TargetMode="External"/><Relationship Id="rId95" Type="http://schemas.openxmlformats.org/officeDocument/2006/relationships/hyperlink" Target="https://treas-secure.state.mi.us/LAFDocSearch/tl41R01.aspx?&amp;lu_id=177&amp;doc_yr=2016&amp;doc_code=AUD" TargetMode="External"/><Relationship Id="rId826" Type="http://schemas.openxmlformats.org/officeDocument/2006/relationships/hyperlink" Target="https://treas-secure.state.mi.us/LAFDocSearch/tl41R01.aspx?&amp;lu_id=1573&amp;doc_yr=2016&amp;doc_code=AUD" TargetMode="External"/><Relationship Id="rId1011" Type="http://schemas.openxmlformats.org/officeDocument/2006/relationships/hyperlink" Target="https://treas-secure.state.mi.us/LAFDocSearch/tl41R01.aspx?&amp;lu_id=7618&amp;doc_yr=2016&amp;doc_code=AUD" TargetMode="External"/><Relationship Id="rId1109" Type="http://schemas.openxmlformats.org/officeDocument/2006/relationships/hyperlink" Target="https://treas-secure.state.mi.us/LAFDocSearch/tl41R01.aspx?&amp;lu_id=2208&amp;doc_yr=2016&amp;doc_code=AUD" TargetMode="External"/><Relationship Id="rId1456" Type="http://schemas.openxmlformats.org/officeDocument/2006/relationships/hyperlink" Target="https://treas-secure.state.mi.us/LAFDocSearch/tl41R01.aspx?&amp;lu_id=2749&amp;doc_yr=2016&amp;doc_code=AUD" TargetMode="External"/><Relationship Id="rId1663" Type="http://schemas.openxmlformats.org/officeDocument/2006/relationships/hyperlink" Target="https://treas-secure.state.mi.us/LAFDocSearch/tl41R01.aspx?&amp;lu_id=3321&amp;doc_yr=2016&amp;doc_code=AUD" TargetMode="External"/><Relationship Id="rId1870" Type="http://schemas.openxmlformats.org/officeDocument/2006/relationships/hyperlink" Target="https://treas-secure.state.mi.us/LAFDocSearch/tl41R01.aspx?&amp;lu_id=3755&amp;doc_yr=2016&amp;doc_code=AUD" TargetMode="External"/><Relationship Id="rId1968" Type="http://schemas.openxmlformats.org/officeDocument/2006/relationships/hyperlink" Target="https://treas-secure.state.mi.us/LAFDocSearch/tl41R01.aspx?&amp;lu_id=7641&amp;doc_yr=2016&amp;doc_code=AUD" TargetMode="External"/><Relationship Id="rId2507" Type="http://schemas.openxmlformats.org/officeDocument/2006/relationships/hyperlink" Target="https://treas-secure.state.mi.us/LAFDocSearch/tl41R01.aspx?&amp;lu_id=5110&amp;doc_yr=2016&amp;doc_code=AUD" TargetMode="External"/><Relationship Id="rId2714" Type="http://schemas.openxmlformats.org/officeDocument/2006/relationships/hyperlink" Target="https://treas-secure.state.mi.us/LAFDocSearch/tl41R01.aspx?&amp;lu_id=5444&amp;doc_yr=2016&amp;doc_code=AUD" TargetMode="External"/><Relationship Id="rId1316" Type="http://schemas.openxmlformats.org/officeDocument/2006/relationships/hyperlink" Target="https://treas-secure.state.mi.us/LAFDocSearch/tl41R01.aspx?&amp;lu_id=2592&amp;doc_yr=2016&amp;doc_code=AUD" TargetMode="External"/><Relationship Id="rId1523" Type="http://schemas.openxmlformats.org/officeDocument/2006/relationships/hyperlink" Target="https://treas-secure.state.mi.us/LAFDocSearch/tl41R01.aspx?&amp;lu_id=2968&amp;doc_yr=2016&amp;doc_code=AUD" TargetMode="External"/><Relationship Id="rId1730" Type="http://schemas.openxmlformats.org/officeDocument/2006/relationships/hyperlink" Target="https://treas-secure.state.mi.us/LAFDocSearch/tl41R01.aspx?&amp;lu_id=3454&amp;doc_yr=2016&amp;doc_code=AUD" TargetMode="External"/><Relationship Id="rId22" Type="http://schemas.openxmlformats.org/officeDocument/2006/relationships/hyperlink" Target="https://treas-secure.state.mi.us/LAFDocSearch/tl41R01.aspx?&amp;lu_id=35&amp;doc_yr=2016&amp;doc_code=AUD" TargetMode="External"/><Relationship Id="rId1828" Type="http://schemas.openxmlformats.org/officeDocument/2006/relationships/hyperlink" Target="https://treas-secure.state.mi.us/LAFDocSearch/tl41R01.aspx?&amp;lu_id=3661&amp;doc_yr=2016&amp;doc_code=AUD" TargetMode="External"/><Relationship Id="rId171" Type="http://schemas.openxmlformats.org/officeDocument/2006/relationships/hyperlink" Target="https://treas-secure.state.mi.us/LAFDocSearch/tl41R01.aspx?&amp;lu_id=290&amp;doc_yr=2016&amp;doc_code=AUD" TargetMode="External"/><Relationship Id="rId2297" Type="http://schemas.openxmlformats.org/officeDocument/2006/relationships/hyperlink" Target="https://treas-secure.state.mi.us/LAFDocSearch/tl41R01.aspx?&amp;lu_id=4713&amp;doc_yr=2016&amp;doc_code=AUD" TargetMode="External"/><Relationship Id="rId269" Type="http://schemas.openxmlformats.org/officeDocument/2006/relationships/hyperlink" Target="https://treas-secure.state.mi.us/LAFDocSearch/tl41R01.aspx?&amp;lu_id=540&amp;doc_yr=2016&amp;doc_code=AUD" TargetMode="External"/><Relationship Id="rId476" Type="http://schemas.openxmlformats.org/officeDocument/2006/relationships/hyperlink" Target="https://treas-secure.state.mi.us/LAFDocSearch/tl41R01.aspx?&amp;lu_id=798&amp;doc_yr=2016&amp;doc_code=AUD" TargetMode="External"/><Relationship Id="rId683" Type="http://schemas.openxmlformats.org/officeDocument/2006/relationships/hyperlink" Target="https://treas-secure.state.mi.us/LAFDocSearch/tl41R01.aspx?&amp;lu_id=1316&amp;doc_yr=2016&amp;doc_code=AUD" TargetMode="External"/><Relationship Id="rId890" Type="http://schemas.openxmlformats.org/officeDocument/2006/relationships/hyperlink" Target="https://treas-secure.state.mi.us/LAFDocSearch/tl41R01.aspx?&amp;lu_id=1663&amp;doc_yr=2016&amp;doc_code=AUD" TargetMode="External"/><Relationship Id="rId2157" Type="http://schemas.openxmlformats.org/officeDocument/2006/relationships/hyperlink" Target="https://treas-secure.state.mi.us/LAFDocSearch/tl41R01.aspx?&amp;lu_id=4416&amp;doc_yr=2016&amp;doc_code=AUD" TargetMode="External"/><Relationship Id="rId2364" Type="http://schemas.openxmlformats.org/officeDocument/2006/relationships/hyperlink" Target="https://treas-secure.state.mi.us/LAFDocSearch/tl41R01.aspx?&amp;lu_id=4850&amp;doc_yr=2016&amp;doc_code=AUD" TargetMode="External"/><Relationship Id="rId2571" Type="http://schemas.openxmlformats.org/officeDocument/2006/relationships/hyperlink" Target="https://treas-secure.state.mi.us/LAFDocSearch/tl41R01.aspx?&amp;lu_id=5242&amp;doc_yr=2016&amp;doc_code=AUD" TargetMode="External"/><Relationship Id="rId129" Type="http://schemas.openxmlformats.org/officeDocument/2006/relationships/hyperlink" Target="https://treas-secure.state.mi.us/LAFDocSearch/tl41R01.aspx?&amp;lu_id=217&amp;doc_yr=2016&amp;doc_code=AUD" TargetMode="External"/><Relationship Id="rId336" Type="http://schemas.openxmlformats.org/officeDocument/2006/relationships/hyperlink" Target="https://treas-secure.state.mi.us/LAFDocSearch/tl41R01.aspx?&amp;lu_id=575&amp;doc_yr=2016&amp;doc_code=AUD" TargetMode="External"/><Relationship Id="rId543" Type="http://schemas.openxmlformats.org/officeDocument/2006/relationships/hyperlink" Target="https://treas-secure.state.mi.us/LAFDocSearch/tl41R01.aspx?&amp;lu_id=977&amp;doc_yr=2016&amp;doc_code=AUD" TargetMode="External"/><Relationship Id="rId988" Type="http://schemas.openxmlformats.org/officeDocument/2006/relationships/hyperlink" Target="https://treas-secure.state.mi.us/LAFDocSearch/tl41R01.aspx?&amp;lu_id=2027&amp;doc_yr=2016&amp;doc_code=AUD" TargetMode="External"/><Relationship Id="rId1173" Type="http://schemas.openxmlformats.org/officeDocument/2006/relationships/hyperlink" Target="https://treas-secure.state.mi.us/LAFDocSearch/tl41R01.aspx?&amp;lu_id=2313&amp;doc_yr=2016&amp;doc_code=AUD" TargetMode="External"/><Relationship Id="rId1380" Type="http://schemas.openxmlformats.org/officeDocument/2006/relationships/hyperlink" Target="https://treas-secure.state.mi.us/LAFDocSearch/tl41R01.aspx?&amp;lu_id=2649&amp;doc_yr=2016&amp;doc_code=AUD" TargetMode="External"/><Relationship Id="rId2017" Type="http://schemas.openxmlformats.org/officeDocument/2006/relationships/hyperlink" Target="https://treas-secure.state.mi.us/LAFDocSearch/tl41R01.aspx?&amp;lu_id=6005&amp;doc_yr=2016&amp;doc_code=AUD" TargetMode="External"/><Relationship Id="rId2224" Type="http://schemas.openxmlformats.org/officeDocument/2006/relationships/hyperlink" Target="https://treas-secure.state.mi.us/LAFDocSearch/tl41R01.aspx?&amp;lu_id=4536&amp;doc_yr=2016&amp;doc_code=AUD" TargetMode="External"/><Relationship Id="rId2669" Type="http://schemas.openxmlformats.org/officeDocument/2006/relationships/hyperlink" Target="https://treas-secure.state.mi.us/LAFDocSearch/tl41R01.aspx?&amp;lu_id=7815&amp;doc_yr=2016&amp;doc_code=AUD" TargetMode="External"/><Relationship Id="rId403" Type="http://schemas.openxmlformats.org/officeDocument/2006/relationships/hyperlink" Target="https://treas-secure.state.mi.us/LAFDocSearch/tl41R01.aspx?&amp;lu_id=726&amp;doc_yr=2016&amp;doc_code=AUD" TargetMode="External"/><Relationship Id="rId750" Type="http://schemas.openxmlformats.org/officeDocument/2006/relationships/hyperlink" Target="https://treas-secure.state.mi.us/LAFDocSearch/tl41R01.aspx?&amp;lu_id=1341&amp;doc_yr=2016&amp;doc_code=AUD" TargetMode="External"/><Relationship Id="rId848" Type="http://schemas.openxmlformats.org/officeDocument/2006/relationships/hyperlink" Target="https://treas-secure.state.mi.us/LAFDocSearch/tl41R01.aspx?&amp;lu_id=1600&amp;doc_yr=2016&amp;doc_code=AUD" TargetMode="External"/><Relationship Id="rId1033" Type="http://schemas.openxmlformats.org/officeDocument/2006/relationships/hyperlink" Target="https://treas-secure.state.mi.us/LAFDocSearch/tl41R01.aspx?&amp;lu_id=1924&amp;doc_yr=2016&amp;doc_code=AUD" TargetMode="External"/><Relationship Id="rId1478" Type="http://schemas.openxmlformats.org/officeDocument/2006/relationships/hyperlink" Target="https://treas-secure.state.mi.us/LAFDocSearch/tl41R01.aspx?&amp;lu_id=2831&amp;doc_yr=2016&amp;doc_code=AUD" TargetMode="External"/><Relationship Id="rId1685" Type="http://schemas.openxmlformats.org/officeDocument/2006/relationships/hyperlink" Target="https://treas-secure.state.mi.us/LAFDocSearch/tl41R01.aspx?&amp;lu_id=3361&amp;doc_yr=2016&amp;doc_code=AUD" TargetMode="External"/><Relationship Id="rId1892" Type="http://schemas.openxmlformats.org/officeDocument/2006/relationships/hyperlink" Target="https://treas-secure.state.mi.us/LAFDocSearch/tl41R01.aspx?&amp;lu_id=3708&amp;doc_yr=2016&amp;doc_code=AUD" TargetMode="External"/><Relationship Id="rId2431" Type="http://schemas.openxmlformats.org/officeDocument/2006/relationships/hyperlink" Target="https://treas-secure.state.mi.us/LAFDocSearch/tl41R01.aspx?&amp;lu_id=4995&amp;doc_yr=2016&amp;doc_code=AUD" TargetMode="External"/><Relationship Id="rId2529" Type="http://schemas.openxmlformats.org/officeDocument/2006/relationships/hyperlink" Target="https://treas-secure.state.mi.us/LAFDocSearch/tl41R01.aspx?&amp;lu_id=5249&amp;doc_yr=2016&amp;doc_code=AUD" TargetMode="External"/><Relationship Id="rId2736" Type="http://schemas.openxmlformats.org/officeDocument/2006/relationships/hyperlink" Target="https://treas-secure.state.mi.us/LAFDocSearch/tl41R01.aspx?&amp;lu_id=5451&amp;doc_yr=2016&amp;doc_code=AUD" TargetMode="External"/><Relationship Id="rId610" Type="http://schemas.openxmlformats.org/officeDocument/2006/relationships/hyperlink" Target="https://treas-secure.state.mi.us/LAFDocSearch/tl41R01.aspx?&amp;lu_id=1048&amp;doc_yr=2016&amp;doc_code=AUD" TargetMode="External"/><Relationship Id="rId708" Type="http://schemas.openxmlformats.org/officeDocument/2006/relationships/hyperlink" Target="https://treas-secure.state.mi.us/LAFDocSearch/tl41R01.aspx?&amp;lu_id=1347&amp;doc_yr=2016&amp;doc_code=AUD" TargetMode="External"/><Relationship Id="rId915" Type="http://schemas.openxmlformats.org/officeDocument/2006/relationships/hyperlink" Target="https://treas-secure.state.mi.us/LAFDocSearch/tl41R01.aspx?&amp;lu_id=1761&amp;doc_yr=2016&amp;doc_code=AUD" TargetMode="External"/><Relationship Id="rId1240" Type="http://schemas.openxmlformats.org/officeDocument/2006/relationships/hyperlink" Target="https://treas-secure.state.mi.us/LAFDocSearch/tl41R01.aspx?&amp;lu_id=2421&amp;doc_yr=2016&amp;doc_code=AUD" TargetMode="External"/><Relationship Id="rId1338" Type="http://schemas.openxmlformats.org/officeDocument/2006/relationships/hyperlink" Target="https://treas-secure.state.mi.us/LAFDocSearch/tl41R01.aspx?&amp;lu_id=2572&amp;doc_yr=2016&amp;doc_code=AUD" TargetMode="External"/><Relationship Id="rId1545" Type="http://schemas.openxmlformats.org/officeDocument/2006/relationships/hyperlink" Target="https://treas-secure.state.mi.us/LAFDocSearch/tl41R01.aspx?&amp;lu_id=3177&amp;doc_yr=2016&amp;doc_code=AUD" TargetMode="External"/><Relationship Id="rId1100" Type="http://schemas.openxmlformats.org/officeDocument/2006/relationships/hyperlink" Target="https://treas-secure.state.mi.us/LAFDocSearch/tl41R01.aspx?&amp;lu_id=2154&amp;doc_yr=2016&amp;doc_code=AUD" TargetMode="External"/><Relationship Id="rId1405" Type="http://schemas.openxmlformats.org/officeDocument/2006/relationships/hyperlink" Target="https://treas-secure.state.mi.us/LAFDocSearch/tl41R01.aspx?&amp;lu_id=2686&amp;doc_yr=2016&amp;doc_code=AUD" TargetMode="External"/><Relationship Id="rId1752" Type="http://schemas.openxmlformats.org/officeDocument/2006/relationships/hyperlink" Target="https://treas-secure.state.mi.us/LAFDocSearch/tl41R01.aspx?&amp;lu_id=3497&amp;doc_yr=2016&amp;doc_code=AUD" TargetMode="External"/><Relationship Id="rId44" Type="http://schemas.openxmlformats.org/officeDocument/2006/relationships/hyperlink" Target="https://treas-secure.state.mi.us/LAFDocSearch/tl41R01.aspx?&amp;lu_id=127&amp;doc_yr=2016&amp;doc_code=AUD" TargetMode="External"/><Relationship Id="rId1612" Type="http://schemas.openxmlformats.org/officeDocument/2006/relationships/hyperlink" Target="https://treas-secure.state.mi.us/LAFDocSearch/tl41R01.aspx?&amp;lu_id=3241&amp;doc_yr=2016&amp;doc_code=AUD" TargetMode="External"/><Relationship Id="rId1917" Type="http://schemas.openxmlformats.org/officeDocument/2006/relationships/hyperlink" Target="https://treas-secure.state.mi.us/LAFDocSearch/tl41R01.aspx?&amp;lu_id=3789&amp;doc_yr=2016&amp;doc_code=AUD" TargetMode="External"/><Relationship Id="rId193" Type="http://schemas.openxmlformats.org/officeDocument/2006/relationships/hyperlink" Target="https://treas-secure.state.mi.us/LAFDocSearch/tl41R01.aspx?&amp;lu_id=367&amp;doc_yr=2016&amp;doc_code=AUD" TargetMode="External"/><Relationship Id="rId498" Type="http://schemas.openxmlformats.org/officeDocument/2006/relationships/hyperlink" Target="https://treas-secure.state.mi.us/LAFDocSearch/tl41R01.aspx?&amp;lu_id=876&amp;doc_yr=2016&amp;doc_code=AUD" TargetMode="External"/><Relationship Id="rId2081" Type="http://schemas.openxmlformats.org/officeDocument/2006/relationships/hyperlink" Target="https://treas-secure.state.mi.us/LAFDocSearch/tl41R01.aspx?&amp;lu_id=4262&amp;doc_yr=2016&amp;doc_code=AUD" TargetMode="External"/><Relationship Id="rId2179" Type="http://schemas.openxmlformats.org/officeDocument/2006/relationships/hyperlink" Target="https://treas-secure.state.mi.us/LAFDocSearch/tl41R01.aspx?&amp;lu_id=4500&amp;doc_yr=2016&amp;doc_code=AUD" TargetMode="External"/><Relationship Id="rId260" Type="http://schemas.openxmlformats.org/officeDocument/2006/relationships/hyperlink" Target="https://treas-secure.state.mi.us/LAFDocSearch/tl41R01.aspx?&amp;lu_id=425&amp;doc_yr=2016&amp;doc_code=AUD" TargetMode="External"/><Relationship Id="rId2386" Type="http://schemas.openxmlformats.org/officeDocument/2006/relationships/hyperlink" Target="https://treas-secure.state.mi.us/LAFDocSearch/tl41R01.aspx?&amp;lu_id=4979&amp;doc_yr=2016&amp;doc_code=AUD" TargetMode="External"/><Relationship Id="rId2593" Type="http://schemas.openxmlformats.org/officeDocument/2006/relationships/hyperlink" Target="https://treas-secure.state.mi.us/LAFDocSearch/tl41R01.aspx?&amp;lu_id=7363&amp;doc_yr=2016&amp;doc_code=AUD" TargetMode="External"/><Relationship Id="rId120" Type="http://schemas.openxmlformats.org/officeDocument/2006/relationships/hyperlink" Target="https://treas-secure.state.mi.us/LAFDocSearch/tl41R01.aspx?&amp;lu_id=211&amp;doc_yr=2016&amp;doc_code=AUD" TargetMode="External"/><Relationship Id="rId358" Type="http://schemas.openxmlformats.org/officeDocument/2006/relationships/hyperlink" Target="https://treas-secure.state.mi.us/LAFDocSearch/tl41R01.aspx?&amp;lu_id=672&amp;doc_yr=2016&amp;doc_code=AUD" TargetMode="External"/><Relationship Id="rId565" Type="http://schemas.openxmlformats.org/officeDocument/2006/relationships/hyperlink" Target="https://treas-secure.state.mi.us/LAFDocSearch/tl41R01.aspx?&amp;lu_id=989&amp;doc_yr=2016&amp;doc_code=AUD" TargetMode="External"/><Relationship Id="rId772" Type="http://schemas.openxmlformats.org/officeDocument/2006/relationships/hyperlink" Target="https://treas-secure.state.mi.us/LAFDocSearch/tl41R01.aspx?&amp;lu_id=1500&amp;doc_yr=2016&amp;doc_code=AUD" TargetMode="External"/><Relationship Id="rId1195" Type="http://schemas.openxmlformats.org/officeDocument/2006/relationships/hyperlink" Target="https://treas-secure.state.mi.us/LAFDocSearch/tl41R01.aspx?&amp;lu_id=2296&amp;doc_yr=2016&amp;doc_code=AUD" TargetMode="External"/><Relationship Id="rId2039" Type="http://schemas.openxmlformats.org/officeDocument/2006/relationships/hyperlink" Target="https://treas-secure.state.mi.us/LAFDocSearch/tl41R01.aspx?&amp;lu_id=3847&amp;doc_yr=2016&amp;doc_code=AUD" TargetMode="External"/><Relationship Id="rId2246" Type="http://schemas.openxmlformats.org/officeDocument/2006/relationships/hyperlink" Target="https://treas-secure.state.mi.us/LAFDocSearch/tl41R01.aspx?&amp;lu_id=4577&amp;doc_yr=2016&amp;doc_code=AUD" TargetMode="External"/><Relationship Id="rId2453" Type="http://schemas.openxmlformats.org/officeDocument/2006/relationships/hyperlink" Target="https://treas-secure.state.mi.us/LAFDocSearch/tl41R01.aspx?&amp;lu_id=5033&amp;doc_yr=2016&amp;doc_code=AUD" TargetMode="External"/><Relationship Id="rId2660" Type="http://schemas.openxmlformats.org/officeDocument/2006/relationships/hyperlink" Target="https://treas-secure.state.mi.us/LAFDocSearch/tl41R01.aspx?&amp;lu_id=5427&amp;doc_yr=2016&amp;doc_code=AUD" TargetMode="Externa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calhouncountymi.gov/" TargetMode="External"/><Relationship Id="rId18" Type="http://schemas.openxmlformats.org/officeDocument/2006/relationships/hyperlink" Target="http://www.clareco.net/" TargetMode="External"/><Relationship Id="rId26" Type="http://schemas.openxmlformats.org/officeDocument/2006/relationships/hyperlink" Target="http://www.gladwinco.com/" TargetMode="External"/><Relationship Id="rId39" Type="http://schemas.openxmlformats.org/officeDocument/2006/relationships/hyperlink" Target="http://www.kalcounty.com/" TargetMode="External"/><Relationship Id="rId21" Type="http://schemas.openxmlformats.org/officeDocument/2006/relationships/hyperlink" Target="http://www.deltacountymi.org/" TargetMode="External"/><Relationship Id="rId34" Type="http://schemas.openxmlformats.org/officeDocument/2006/relationships/hyperlink" Target="http://www.ioniacounty.org/" TargetMode="External"/><Relationship Id="rId42" Type="http://schemas.openxmlformats.org/officeDocument/2006/relationships/hyperlink" Target="http://www.keweenawcountyonline.org/" TargetMode="External"/><Relationship Id="rId47" Type="http://schemas.openxmlformats.org/officeDocument/2006/relationships/hyperlink" Target="http://www.livgov.com/Pages/default.aspx" TargetMode="External"/><Relationship Id="rId50" Type="http://schemas.openxmlformats.org/officeDocument/2006/relationships/hyperlink" Target="http://www.macombcountymi.gov/" TargetMode="External"/><Relationship Id="rId55" Type="http://schemas.openxmlformats.org/officeDocument/2006/relationships/hyperlink" Target="http://www.menomineecounty.com/" TargetMode="External"/><Relationship Id="rId63" Type="http://schemas.openxmlformats.org/officeDocument/2006/relationships/hyperlink" Target="http://www.oakgov.com/" TargetMode="External"/><Relationship Id="rId68" Type="http://schemas.openxmlformats.org/officeDocument/2006/relationships/hyperlink" Target="http://www.oscodacountymi.com/" TargetMode="External"/><Relationship Id="rId76" Type="http://schemas.openxmlformats.org/officeDocument/2006/relationships/hyperlink" Target="http://www.sanilaccounty.net/" TargetMode="External"/><Relationship Id="rId7" Type="http://schemas.openxmlformats.org/officeDocument/2006/relationships/hyperlink" Target="http://www.baragacounty.org/" TargetMode="External"/><Relationship Id="rId71" Type="http://schemas.openxmlformats.org/officeDocument/2006/relationships/hyperlink" Target="http://www.presqueislecounty.org/" TargetMode="External"/><Relationship Id="rId2" Type="http://schemas.openxmlformats.org/officeDocument/2006/relationships/hyperlink" Target="http://www.algercounty.org/index.php" TargetMode="External"/><Relationship Id="rId16" Type="http://schemas.openxmlformats.org/officeDocument/2006/relationships/hyperlink" Target="http://www.cheboygancounty.net/" TargetMode="External"/><Relationship Id="rId29" Type="http://schemas.openxmlformats.org/officeDocument/2006/relationships/hyperlink" Target="http://www.co.gratiot.mi.us/" TargetMode="External"/><Relationship Id="rId11" Type="http://schemas.openxmlformats.org/officeDocument/2006/relationships/hyperlink" Target="http://www.berriencounty.org/" TargetMode="External"/><Relationship Id="rId24" Type="http://schemas.openxmlformats.org/officeDocument/2006/relationships/hyperlink" Target="http://www.emmetcounty.org/" TargetMode="External"/><Relationship Id="rId32" Type="http://schemas.openxmlformats.org/officeDocument/2006/relationships/hyperlink" Target="http://www.huroncounty.com/" TargetMode="External"/><Relationship Id="rId37" Type="http://schemas.openxmlformats.org/officeDocument/2006/relationships/hyperlink" Target="http://www.isabellacounty.org/" TargetMode="External"/><Relationship Id="rId40" Type="http://schemas.openxmlformats.org/officeDocument/2006/relationships/hyperlink" Target="http://www.kalkaskacounty.net/" TargetMode="External"/><Relationship Id="rId45" Type="http://schemas.openxmlformats.org/officeDocument/2006/relationships/hyperlink" Target="http://www.leelanau.cc/" TargetMode="External"/><Relationship Id="rId53" Type="http://schemas.openxmlformats.org/officeDocument/2006/relationships/hyperlink" Target="http://www.masoncounty.net/" TargetMode="External"/><Relationship Id="rId58" Type="http://schemas.openxmlformats.org/officeDocument/2006/relationships/hyperlink" Target="http://www.co.monroe.mi.us/" TargetMode="External"/><Relationship Id="rId66" Type="http://schemas.openxmlformats.org/officeDocument/2006/relationships/hyperlink" Target="http://ontonagonmi.org/" TargetMode="External"/><Relationship Id="rId74" Type="http://schemas.openxmlformats.org/officeDocument/2006/relationships/hyperlink" Target="http://www.stclaircounty.org/" TargetMode="External"/><Relationship Id="rId79" Type="http://schemas.openxmlformats.org/officeDocument/2006/relationships/hyperlink" Target="http://www.tuscolacounty.org/" TargetMode="External"/><Relationship Id="rId5" Type="http://schemas.openxmlformats.org/officeDocument/2006/relationships/hyperlink" Target="http://www.antrimcounty.org/" TargetMode="External"/><Relationship Id="rId61" Type="http://schemas.openxmlformats.org/officeDocument/2006/relationships/hyperlink" Target="http://co.muskegon.mi.us/" TargetMode="External"/><Relationship Id="rId82" Type="http://schemas.openxmlformats.org/officeDocument/2006/relationships/hyperlink" Target="http://www.waynecounty.com/" TargetMode="External"/><Relationship Id="rId10" Type="http://schemas.openxmlformats.org/officeDocument/2006/relationships/hyperlink" Target="http://www.benzieco.net/" TargetMode="External"/><Relationship Id="rId19" Type="http://schemas.openxmlformats.org/officeDocument/2006/relationships/hyperlink" Target="http://www.clinton-county.org/" TargetMode="External"/><Relationship Id="rId31" Type="http://schemas.openxmlformats.org/officeDocument/2006/relationships/hyperlink" Target="http://www.houghtoncounty.net/" TargetMode="External"/><Relationship Id="rId44" Type="http://schemas.openxmlformats.org/officeDocument/2006/relationships/hyperlink" Target="http://lapeercountyweb.org/" TargetMode="External"/><Relationship Id="rId52" Type="http://schemas.openxmlformats.org/officeDocument/2006/relationships/hyperlink" Target="http://www.co.marquette.mi.us/" TargetMode="External"/><Relationship Id="rId60" Type="http://schemas.openxmlformats.org/officeDocument/2006/relationships/hyperlink" Target="http://www.montmorencycountymichigan.us/" TargetMode="External"/><Relationship Id="rId65" Type="http://schemas.openxmlformats.org/officeDocument/2006/relationships/hyperlink" Target="http://www.ogemawcountymi.gov/index.php" TargetMode="External"/><Relationship Id="rId73" Type="http://schemas.openxmlformats.org/officeDocument/2006/relationships/hyperlink" Target="http://www.saginawcounty.com/" TargetMode="External"/><Relationship Id="rId78" Type="http://schemas.openxmlformats.org/officeDocument/2006/relationships/hyperlink" Target="http://www.shiawassee.net/" TargetMode="External"/><Relationship Id="rId81" Type="http://schemas.openxmlformats.org/officeDocument/2006/relationships/hyperlink" Target="http://www.ewashtenaw.org/" TargetMode="External"/><Relationship Id="rId4" Type="http://schemas.openxmlformats.org/officeDocument/2006/relationships/hyperlink" Target="http://www.alpenacounty.org/" TargetMode="External"/><Relationship Id="rId9" Type="http://schemas.openxmlformats.org/officeDocument/2006/relationships/hyperlink" Target="http://www.baycounty-mi.gov/" TargetMode="External"/><Relationship Id="rId14" Type="http://schemas.openxmlformats.org/officeDocument/2006/relationships/hyperlink" Target="http://www.casscountymi.org/Home.aspx" TargetMode="External"/><Relationship Id="rId22" Type="http://schemas.openxmlformats.org/officeDocument/2006/relationships/hyperlink" Target="http://www.dickinsoncountymi.gov/" TargetMode="External"/><Relationship Id="rId27" Type="http://schemas.openxmlformats.org/officeDocument/2006/relationships/hyperlink" Target="http://www.gogebic.org/" TargetMode="External"/><Relationship Id="rId30" Type="http://schemas.openxmlformats.org/officeDocument/2006/relationships/hyperlink" Target="http://www.co.hillsdale.mi.us/" TargetMode="External"/><Relationship Id="rId35" Type="http://schemas.openxmlformats.org/officeDocument/2006/relationships/hyperlink" Target="http://www.iosco.net/" TargetMode="External"/><Relationship Id="rId43" Type="http://schemas.openxmlformats.org/officeDocument/2006/relationships/hyperlink" Target="http://www.infomi.com/county/lake/" TargetMode="External"/><Relationship Id="rId48" Type="http://schemas.openxmlformats.org/officeDocument/2006/relationships/hyperlink" Target="http://www.lucecountymi.org/" TargetMode="External"/><Relationship Id="rId56" Type="http://schemas.openxmlformats.org/officeDocument/2006/relationships/hyperlink" Target="http://www.co.midland.mi.us/" TargetMode="External"/><Relationship Id="rId64" Type="http://schemas.openxmlformats.org/officeDocument/2006/relationships/hyperlink" Target="http://www.co.oceana.mi.us/" TargetMode="External"/><Relationship Id="rId69" Type="http://schemas.openxmlformats.org/officeDocument/2006/relationships/hyperlink" Target="http://www.otsegocountymi.gov/" TargetMode="External"/><Relationship Id="rId77" Type="http://schemas.openxmlformats.org/officeDocument/2006/relationships/hyperlink" Target="http://www.schoolcraftcounty.net/home.php" TargetMode="External"/><Relationship Id="rId8" Type="http://schemas.openxmlformats.org/officeDocument/2006/relationships/hyperlink" Target="http://www.barrycounty.org/" TargetMode="External"/><Relationship Id="rId51" Type="http://schemas.openxmlformats.org/officeDocument/2006/relationships/hyperlink" Target="http://www.manisteecounty.com/" TargetMode="External"/><Relationship Id="rId72" Type="http://schemas.openxmlformats.org/officeDocument/2006/relationships/hyperlink" Target="http://www.roscommoncounty.net/" TargetMode="External"/><Relationship Id="rId80" Type="http://schemas.openxmlformats.org/officeDocument/2006/relationships/hyperlink" Target="http://www.vbco.org/" TargetMode="External"/><Relationship Id="rId3" Type="http://schemas.openxmlformats.org/officeDocument/2006/relationships/hyperlink" Target="http://www.allegancounty.org/" TargetMode="External"/><Relationship Id="rId12" Type="http://schemas.openxmlformats.org/officeDocument/2006/relationships/hyperlink" Target="http://co.branch.mi.us/" TargetMode="External"/><Relationship Id="rId17" Type="http://schemas.openxmlformats.org/officeDocument/2006/relationships/hyperlink" Target="http://www.chippewacountymi.gov/" TargetMode="External"/><Relationship Id="rId25" Type="http://schemas.openxmlformats.org/officeDocument/2006/relationships/hyperlink" Target="http://www.co.genesee.mi.us/" TargetMode="External"/><Relationship Id="rId33" Type="http://schemas.openxmlformats.org/officeDocument/2006/relationships/hyperlink" Target="http://www.ingham.org/" TargetMode="External"/><Relationship Id="rId38" Type="http://schemas.openxmlformats.org/officeDocument/2006/relationships/hyperlink" Target="http://www.co.jackson.mi.us/" TargetMode="External"/><Relationship Id="rId46" Type="http://schemas.openxmlformats.org/officeDocument/2006/relationships/hyperlink" Target="http://www.lenawee.mi.us/" TargetMode="External"/><Relationship Id="rId59" Type="http://schemas.openxmlformats.org/officeDocument/2006/relationships/hyperlink" Target="http://www.montcalm.org/" TargetMode="External"/><Relationship Id="rId67" Type="http://schemas.openxmlformats.org/officeDocument/2006/relationships/hyperlink" Target="http://www.osceola-county.org/" TargetMode="External"/><Relationship Id="rId20" Type="http://schemas.openxmlformats.org/officeDocument/2006/relationships/hyperlink" Target="http://www.crawfordco.org/" TargetMode="External"/><Relationship Id="rId41" Type="http://schemas.openxmlformats.org/officeDocument/2006/relationships/hyperlink" Target="http://www.kentcountymi.gov/" TargetMode="External"/><Relationship Id="rId54" Type="http://schemas.openxmlformats.org/officeDocument/2006/relationships/hyperlink" Target="http://www.co.mecosta.mi.us/" TargetMode="External"/><Relationship Id="rId62" Type="http://schemas.openxmlformats.org/officeDocument/2006/relationships/hyperlink" Target="http://www.countyofnewaygo.com/" TargetMode="External"/><Relationship Id="rId70" Type="http://schemas.openxmlformats.org/officeDocument/2006/relationships/hyperlink" Target="http://www.co.ottawa.mi.us/" TargetMode="External"/><Relationship Id="rId75" Type="http://schemas.openxmlformats.org/officeDocument/2006/relationships/hyperlink" Target="http://www.stjosephcountymi.org/" TargetMode="External"/><Relationship Id="rId83" Type="http://schemas.openxmlformats.org/officeDocument/2006/relationships/hyperlink" Target="http://www.wexfordcounty.org/" TargetMode="External"/><Relationship Id="rId1" Type="http://schemas.openxmlformats.org/officeDocument/2006/relationships/hyperlink" Target="http://www.alconacountymi.com/" TargetMode="External"/><Relationship Id="rId6" Type="http://schemas.openxmlformats.org/officeDocument/2006/relationships/hyperlink" Target="http://www.arenaccountygov.com/" TargetMode="External"/><Relationship Id="rId15" Type="http://schemas.openxmlformats.org/officeDocument/2006/relationships/hyperlink" Target="http://www.charlevoixcounty.org/" TargetMode="External"/><Relationship Id="rId23" Type="http://schemas.openxmlformats.org/officeDocument/2006/relationships/hyperlink" Target="http://www.eatoncounty.org/" TargetMode="External"/><Relationship Id="rId28" Type="http://schemas.openxmlformats.org/officeDocument/2006/relationships/hyperlink" Target="http://www.co.grand-traverse.mi.us/" TargetMode="External"/><Relationship Id="rId36" Type="http://schemas.openxmlformats.org/officeDocument/2006/relationships/hyperlink" Target="http://www.iron.org/" TargetMode="External"/><Relationship Id="rId49" Type="http://schemas.openxmlformats.org/officeDocument/2006/relationships/hyperlink" Target="http://www.mackinaccounty.net/" TargetMode="External"/><Relationship Id="rId57" Type="http://schemas.openxmlformats.org/officeDocument/2006/relationships/hyperlink" Target="http://www.missauke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EBCD3-81BE-4B75-B9D4-86A5344D3CA9}">
  <sheetPr codeName="Sheet1"/>
  <dimension ref="A1:H2880"/>
  <sheetViews>
    <sheetView tabSelected="1" workbookViewId="0">
      <selection activeCell="A2" sqref="A2"/>
    </sheetView>
  </sheetViews>
  <sheetFormatPr defaultRowHeight="15" x14ac:dyDescent="0.25"/>
  <cols>
    <col min="1" max="1" width="10.28515625" bestFit="1" customWidth="1"/>
    <col min="2" max="2" width="5.28515625" bestFit="1" customWidth="1"/>
    <col min="3" max="3" width="51.7109375" customWidth="1"/>
    <col min="4" max="4" width="17.5703125" bestFit="1" customWidth="1"/>
    <col min="5" max="5" width="21.140625" bestFit="1" customWidth="1"/>
    <col min="6" max="6" width="33.42578125" customWidth="1"/>
    <col min="8" max="8" width="68.7109375" bestFit="1" customWidth="1"/>
  </cols>
  <sheetData>
    <row r="1" spans="1:8" ht="16.5" thickTop="1" thickBot="1" x14ac:dyDescent="0.3">
      <c r="A1" t="s">
        <v>5257</v>
      </c>
      <c r="B1" s="5" t="s">
        <v>0</v>
      </c>
      <c r="C1" s="6" t="s">
        <v>1</v>
      </c>
      <c r="D1" s="6" t="s">
        <v>2</v>
      </c>
      <c r="E1" s="6" t="s">
        <v>3</v>
      </c>
      <c r="F1" s="7" t="s">
        <v>4</v>
      </c>
    </row>
    <row r="2" spans="1:8" ht="15.75" thickBot="1" x14ac:dyDescent="0.3">
      <c r="A2">
        <v>1</v>
      </c>
      <c r="B2" s="8">
        <v>2016</v>
      </c>
      <c r="C2" s="1" t="s">
        <v>5</v>
      </c>
      <c r="D2" s="1" t="s">
        <v>6</v>
      </c>
      <c r="E2" s="2" t="s">
        <v>7</v>
      </c>
      <c r="F2" s="9" t="s">
        <v>8</v>
      </c>
      <c r="H2" t="str">
        <f>SUBSTITUTE(PROPER(C2)&amp;" "&amp;IF(OR(D2="County",D2="Township",D2="Village",D2="Charter Township"),D2,"")&amp;IF(D2="Township"," "&amp;"("&amp;VLOOKUP(A2,counties,3,0)&amp;")",""),"  "," ")</f>
        <v>Alcona County</v>
      </c>
    </row>
    <row r="3" spans="1:8" ht="15.75" thickBot="1" x14ac:dyDescent="0.3">
      <c r="A3">
        <f t="shared" ref="A3:A66" si="0">IF(B3="Year",A2+1,A2)</f>
        <v>1</v>
      </c>
      <c r="B3" s="10">
        <v>2016</v>
      </c>
      <c r="C3" s="3" t="s">
        <v>5</v>
      </c>
      <c r="D3" s="3" t="s">
        <v>9</v>
      </c>
      <c r="E3" s="4" t="s">
        <v>7</v>
      </c>
      <c r="F3" s="11" t="s">
        <v>8</v>
      </c>
      <c r="H3" t="str">
        <f>TRIM(SUBSTITUTE(PROPER(C3)&amp;" "&amp;IF(OR(D3="County",D3="Township",D3="Village",D3="Charter Township"),D3,"")&amp;IF(D3="Township"," "&amp;"("&amp;VLOOKUP(A3,counties,3,0)&amp;")",""),"  "," "))</f>
        <v>Alcona Township (Alcona County)</v>
      </c>
    </row>
    <row r="4" spans="1:8" ht="15.75" thickBot="1" x14ac:dyDescent="0.3">
      <c r="A4">
        <f t="shared" si="0"/>
        <v>1</v>
      </c>
      <c r="B4" s="8">
        <v>2016</v>
      </c>
      <c r="C4" s="1" t="s">
        <v>10</v>
      </c>
      <c r="D4" s="1" t="s">
        <v>11</v>
      </c>
      <c r="E4" s="2" t="s">
        <v>7</v>
      </c>
      <c r="F4" s="9" t="s">
        <v>8</v>
      </c>
      <c r="H4" t="str">
        <f>TRIM(SUBSTITUTE(PROPER(C4)&amp;" "&amp;IF(OR(D4="County",D4="Township",D4="Village",D4="Charter Township"),D4,"")&amp;IF(D4="Township"," "&amp;"("&amp;VLOOKUP(A4,counties,3,0)&amp;")",""),"  "," "))</f>
        <v>Alcona County Road Commission</v>
      </c>
    </row>
    <row r="5" spans="1:8" ht="15.75" thickBot="1" x14ac:dyDescent="0.3">
      <c r="A5">
        <f t="shared" si="0"/>
        <v>1</v>
      </c>
      <c r="B5" s="10">
        <v>2016</v>
      </c>
      <c r="C5" s="3" t="s">
        <v>12</v>
      </c>
      <c r="D5" s="3" t="s">
        <v>9</v>
      </c>
      <c r="E5" s="4" t="s">
        <v>7</v>
      </c>
      <c r="F5" s="11" t="s">
        <v>8</v>
      </c>
      <c r="H5" t="str">
        <f>TRIM(SUBSTITUTE(PROPER(C5)&amp;" "&amp;IF(OR(D5="County",D5="Township",D5="Village",D5="Charter Township"),D5,"")&amp;IF(D5="Township"," "&amp;"("&amp;VLOOKUP(A5,counties,3,0)&amp;")",""),"  "," "))</f>
        <v>Caledonia Township (Alcona County)</v>
      </c>
    </row>
    <row r="6" spans="1:8" ht="15.75" thickBot="1" x14ac:dyDescent="0.3">
      <c r="A6">
        <f t="shared" si="0"/>
        <v>1</v>
      </c>
      <c r="B6" s="8">
        <v>2016</v>
      </c>
      <c r="C6" s="1" t="s">
        <v>13</v>
      </c>
      <c r="D6" s="1" t="s">
        <v>9</v>
      </c>
      <c r="E6" s="2" t="s">
        <v>7</v>
      </c>
      <c r="F6" s="9" t="s">
        <v>8</v>
      </c>
      <c r="H6" t="str">
        <f>TRIM(SUBSTITUTE(PROPER(C6)&amp;" "&amp;IF(OR(D6="County",D6="Township",D6="Village",D6="Charter Township"),D6,"")&amp;IF(D6="Township"," "&amp;"("&amp;VLOOKUP(A6,counties,3,0)&amp;")",""),"  "," "))</f>
        <v>Curtis Township (Alcona County)</v>
      </c>
    </row>
    <row r="7" spans="1:8" ht="15.75" thickBot="1" x14ac:dyDescent="0.3">
      <c r="A7">
        <f t="shared" si="0"/>
        <v>1</v>
      </c>
      <c r="B7" s="10">
        <v>2016</v>
      </c>
      <c r="C7" s="3" t="s">
        <v>14</v>
      </c>
      <c r="D7" s="3" t="s">
        <v>15</v>
      </c>
      <c r="E7" s="4" t="s">
        <v>7</v>
      </c>
      <c r="F7" s="11" t="s">
        <v>8</v>
      </c>
      <c r="H7" t="str">
        <f>TRIM(SUBSTITUTE(PROPER(C7)&amp;" "&amp;IF(OR(D7="County",D7="Township",D7="Village",D7="Charter Township"),D7,"")&amp;IF(D7="Township"," "&amp;"("&amp;VLOOKUP(A7,counties,3,0)&amp;")",""),"  "," "))</f>
        <v>Harrisville</v>
      </c>
    </row>
    <row r="8" spans="1:8" ht="15.75" thickBot="1" x14ac:dyDescent="0.3">
      <c r="A8">
        <f t="shared" si="0"/>
        <v>1</v>
      </c>
      <c r="B8" s="8">
        <v>2016</v>
      </c>
      <c r="C8" s="1" t="s">
        <v>16</v>
      </c>
      <c r="D8" s="1" t="s">
        <v>17</v>
      </c>
      <c r="E8" s="2" t="s">
        <v>7</v>
      </c>
      <c r="F8" s="9" t="s">
        <v>8</v>
      </c>
      <c r="H8" t="str">
        <f>TRIM(SUBSTITUTE(PROPER(C8)&amp;" "&amp;IF(OR(D8="County",D8="Township",D8="Village",D8="Charter Township"),D8,"")&amp;IF(D8="Township"," "&amp;"("&amp;VLOOKUP(A8,counties,3,0)&amp;")",""),"  "," "))</f>
        <v>Harrisville City Water &amp; Sewer Funds</v>
      </c>
    </row>
    <row r="9" spans="1:8" ht="15.75" thickBot="1" x14ac:dyDescent="0.3">
      <c r="A9">
        <f t="shared" si="0"/>
        <v>1</v>
      </c>
      <c r="B9" s="10">
        <v>2016</v>
      </c>
      <c r="C9" s="3" t="s">
        <v>18</v>
      </c>
      <c r="D9" s="3" t="s">
        <v>9</v>
      </c>
      <c r="E9" s="4" t="s">
        <v>7</v>
      </c>
      <c r="F9" s="11" t="s">
        <v>19</v>
      </c>
      <c r="H9" t="str">
        <f>TRIM(SUBSTITUTE(PROPER(C9)&amp;" "&amp;IF(OR(D9="County",D9="Township",D9="Village",D9="Charter Township"),D9,"")&amp;IF(D9="Township"," "&amp;"("&amp;VLOOKUP(A9,counties,3,0)&amp;")",""),"  "," "))</f>
        <v>Hawes Township (Alcona County)</v>
      </c>
    </row>
    <row r="10" spans="1:8" ht="15.75" thickBot="1" x14ac:dyDescent="0.3">
      <c r="A10">
        <f t="shared" si="0"/>
        <v>1</v>
      </c>
      <c r="B10" s="8">
        <v>2016</v>
      </c>
      <c r="C10" s="1" t="s">
        <v>20</v>
      </c>
      <c r="D10" s="1" t="s">
        <v>21</v>
      </c>
      <c r="E10" s="2" t="s">
        <v>7</v>
      </c>
      <c r="F10" s="9" t="s">
        <v>8</v>
      </c>
      <c r="H10" t="str">
        <f>TRIM(SUBSTITUTE(PROPER(C10)&amp;" "&amp;IF(OR(D10="County",D10="Township",D10="Village",D10="Charter Township"),D10,"")&amp;IF(D10="Township"," "&amp;"("&amp;VLOOKUP(A10,counties,3,0)&amp;")",""),"  "," "))</f>
        <v>Lincoln Village</v>
      </c>
    </row>
    <row r="11" spans="1:8" ht="15.75" thickBot="1" x14ac:dyDescent="0.3">
      <c r="A11">
        <f t="shared" si="0"/>
        <v>1</v>
      </c>
      <c r="B11" s="10">
        <v>2016</v>
      </c>
      <c r="C11" s="3" t="s">
        <v>22</v>
      </c>
      <c r="D11" s="3" t="s">
        <v>17</v>
      </c>
      <c r="E11" s="4" t="s">
        <v>7</v>
      </c>
      <c r="F11" s="11" t="s">
        <v>8</v>
      </c>
      <c r="H11" t="str">
        <f>TRIM(SUBSTITUTE(PROPER(C11)&amp;" "&amp;IF(OR(D11="County",D11="Township",D11="Village",D11="Charter Township"),D11,"")&amp;IF(D11="Township"," "&amp;"("&amp;VLOOKUP(A11,counties,3,0)&amp;")",""),"  "," "))</f>
        <v>Lincoln Village Downtown Development Authority</v>
      </c>
    </row>
    <row r="12" spans="1:8" ht="15.75" thickBot="1" x14ac:dyDescent="0.3">
      <c r="A12">
        <f t="shared" si="0"/>
        <v>1</v>
      </c>
      <c r="B12" s="8">
        <v>2016</v>
      </c>
      <c r="C12" s="1" t="s">
        <v>23</v>
      </c>
      <c r="D12" s="1" t="s">
        <v>9</v>
      </c>
      <c r="E12" s="2" t="s">
        <v>7</v>
      </c>
      <c r="F12" s="9" t="s">
        <v>19</v>
      </c>
      <c r="H12" t="str">
        <f>TRIM(SUBSTITUTE(PROPER(C12)&amp;" "&amp;IF(OR(D12="County",D12="Township",D12="Village",D12="Charter Township"),D12,"")&amp;IF(D12="Township"," "&amp;"("&amp;VLOOKUP(A12,counties,3,0)&amp;")",""),"  "," "))</f>
        <v>Mikado Township (Alcona County)</v>
      </c>
    </row>
    <row r="13" spans="1:8" ht="15.75" thickBot="1" x14ac:dyDescent="0.3">
      <c r="A13">
        <f t="shared" si="0"/>
        <v>1</v>
      </c>
      <c r="B13" s="10">
        <v>2016</v>
      </c>
      <c r="C13" s="3" t="s">
        <v>24</v>
      </c>
      <c r="D13" s="3" t="s">
        <v>9</v>
      </c>
      <c r="E13" s="4" t="s">
        <v>7</v>
      </c>
      <c r="F13" s="11" t="s">
        <v>19</v>
      </c>
      <c r="H13" t="str">
        <f>TRIM(SUBSTITUTE(PROPER(C13)&amp;" "&amp;IF(OR(D13="County",D13="Township",D13="Village",D13="Charter Township"),D13,"")&amp;IF(D13="Township"," "&amp;"("&amp;VLOOKUP(A13,counties,3,0)&amp;")",""),"  "," "))</f>
        <v>Millen Township (Alcona County)</v>
      </c>
    </row>
    <row r="14" spans="1:8" ht="15.75" thickBot="1" x14ac:dyDescent="0.3">
      <c r="A14">
        <f t="shared" si="0"/>
        <v>1</v>
      </c>
      <c r="B14" s="8">
        <v>2016</v>
      </c>
      <c r="C14" s="1" t="s">
        <v>25</v>
      </c>
      <c r="D14" s="1" t="s">
        <v>9</v>
      </c>
      <c r="E14" s="2" t="s">
        <v>7</v>
      </c>
      <c r="F14" s="9" t="s">
        <v>8</v>
      </c>
      <c r="H14" t="str">
        <f>TRIM(SUBSTITUTE(PROPER(C14)&amp;" "&amp;IF(OR(D14="County",D14="Township",D14="Village",D14="Charter Township"),D14,"")&amp;IF(D14="Township"," "&amp;"("&amp;VLOOKUP(A14,counties,3,0)&amp;")",""),"  "," "))</f>
        <v>Mitchell Township (Alcona County)</v>
      </c>
    </row>
    <row r="15" spans="1:8" ht="15.75" thickBot="1" x14ac:dyDescent="0.3">
      <c r="A15">
        <f t="shared" si="0"/>
        <v>1</v>
      </c>
      <c r="B15" s="12">
        <v>2016</v>
      </c>
      <c r="C15" s="13" t="s">
        <v>26</v>
      </c>
      <c r="D15" s="13" t="s">
        <v>17</v>
      </c>
      <c r="E15" s="14" t="s">
        <v>7</v>
      </c>
      <c r="F15" s="15" t="s">
        <v>8</v>
      </c>
      <c r="H15" t="str">
        <f>TRIM(SUBSTITUTE(PROPER(C15)&amp;" "&amp;IF(OR(D15="County",D15="Township",D15="Village",D15="Charter Township"),D15,"")&amp;IF(D15="Township"," "&amp;"("&amp;VLOOKUP(A15,counties,3,0)&amp;")",""),"  "," "))</f>
        <v>Northeast Michigan Community Mental Health Auth</v>
      </c>
    </row>
    <row r="16" spans="1:8" ht="16.5" thickTop="1" thickBot="1" x14ac:dyDescent="0.3">
      <c r="A16">
        <f t="shared" si="0"/>
        <v>2</v>
      </c>
      <c r="B16" s="5" t="s">
        <v>0</v>
      </c>
      <c r="C16" s="6" t="s">
        <v>1</v>
      </c>
      <c r="D16" s="6" t="s">
        <v>2</v>
      </c>
      <c r="E16" s="6" t="s">
        <v>3</v>
      </c>
      <c r="F16" s="7" t="s">
        <v>4</v>
      </c>
      <c r="H16" t="str">
        <f>TRIM(SUBSTITUTE(PROPER(C16)&amp;" "&amp;IF(OR(D16="County",D16="Township",D16="Village",D16="Charter Township"),D16,"")&amp;IF(D16="Township"," "&amp;"("&amp;VLOOKUP(A16,counties,3,0)&amp;")",""),"  "," "))</f>
        <v>Municipality</v>
      </c>
    </row>
    <row r="17" spans="1:8" ht="15.75" thickBot="1" x14ac:dyDescent="0.3">
      <c r="A17">
        <f t="shared" si="0"/>
        <v>2</v>
      </c>
      <c r="B17" s="8">
        <v>2016</v>
      </c>
      <c r="C17" s="1" t="s">
        <v>27</v>
      </c>
      <c r="D17" s="1" t="s">
        <v>6</v>
      </c>
      <c r="E17" s="2" t="s">
        <v>7</v>
      </c>
      <c r="F17" s="9" t="s">
        <v>8</v>
      </c>
      <c r="H17" t="str">
        <f>TRIM(SUBSTITUTE(PROPER(C17)&amp;" "&amp;IF(OR(D17="County",D17="Township",D17="Village",D17="Charter Township"),D17,"")&amp;IF(D17="Township"," "&amp;"("&amp;VLOOKUP(A17,counties,3,0)&amp;")",""),"  "," "))</f>
        <v>Alger County</v>
      </c>
    </row>
    <row r="18" spans="1:8" ht="15.75" thickBot="1" x14ac:dyDescent="0.3">
      <c r="A18">
        <f t="shared" si="0"/>
        <v>2</v>
      </c>
      <c r="B18" s="10">
        <v>2016</v>
      </c>
      <c r="C18" s="3" t="s">
        <v>28</v>
      </c>
      <c r="D18" s="3" t="s">
        <v>11</v>
      </c>
      <c r="E18" s="4" t="s">
        <v>7</v>
      </c>
      <c r="F18" s="11" t="s">
        <v>8</v>
      </c>
      <c r="H18" t="str">
        <f>TRIM(SUBSTITUTE(PROPER(C18)&amp;" "&amp;IF(OR(D18="County",D18="Township",D18="Village",D18="Charter Township"),D18,"")&amp;IF(D18="Township"," "&amp;"("&amp;VLOOKUP(A18,counties,3,0)&amp;")",""),"  "," "))</f>
        <v>Alger Co Road Commission</v>
      </c>
    </row>
    <row r="19" spans="1:8" ht="15.75" thickBot="1" x14ac:dyDescent="0.3">
      <c r="A19">
        <f t="shared" si="0"/>
        <v>2</v>
      </c>
      <c r="B19" s="8">
        <v>2016</v>
      </c>
      <c r="C19" s="1" t="s">
        <v>29</v>
      </c>
      <c r="D19" s="1" t="s">
        <v>17</v>
      </c>
      <c r="E19" s="2" t="s">
        <v>7</v>
      </c>
      <c r="F19" s="9" t="s">
        <v>8</v>
      </c>
      <c r="H19" t="str">
        <f>TRIM(SUBSTITUTE(PROPER(C19)&amp;" "&amp;IF(OR(D19="County",D19="Township",D19="Village",D19="Charter Township"),D19,"")&amp;IF(D19="Township"," "&amp;"("&amp;VLOOKUP(A19,counties,3,0)&amp;")",""),"  "," "))</f>
        <v>Alger County Transit Authority-Altran</v>
      </c>
    </row>
    <row r="20" spans="1:8" ht="15.75" thickBot="1" x14ac:dyDescent="0.3">
      <c r="A20">
        <f t="shared" si="0"/>
        <v>2</v>
      </c>
      <c r="B20" s="10">
        <v>2016</v>
      </c>
      <c r="C20" s="3" t="s">
        <v>30</v>
      </c>
      <c r="D20" s="3" t="s">
        <v>9</v>
      </c>
      <c r="E20" s="4" t="s">
        <v>7</v>
      </c>
      <c r="F20" s="11" t="s">
        <v>8</v>
      </c>
      <c r="H20" t="str">
        <f>TRIM(SUBSTITUTE(PROPER(C20)&amp;" "&amp;IF(OR(D20="County",D20="Township",D20="Village",D20="Charter Township"),D20,"")&amp;IF(D20="Township"," "&amp;"("&amp;VLOOKUP(A20,counties,3,0)&amp;")",""),"  "," "))</f>
        <v>Autrain Township (Alger County)</v>
      </c>
    </row>
    <row r="21" spans="1:8" ht="15.75" thickBot="1" x14ac:dyDescent="0.3">
      <c r="A21">
        <f t="shared" si="0"/>
        <v>2</v>
      </c>
      <c r="B21" s="8">
        <v>2016</v>
      </c>
      <c r="C21" s="1" t="s">
        <v>31</v>
      </c>
      <c r="D21" s="1" t="s">
        <v>9</v>
      </c>
      <c r="E21" s="2" t="s">
        <v>7</v>
      </c>
      <c r="F21" s="9" t="s">
        <v>19</v>
      </c>
      <c r="H21" t="str">
        <f>TRIM(SUBSTITUTE(PROPER(C21)&amp;" "&amp;IF(OR(D21="County",D21="Township",D21="Village",D21="Charter Township"),D21,"")&amp;IF(D21="Township"," "&amp;"("&amp;VLOOKUP(A21,counties,3,0)&amp;")",""),"  "," "))</f>
        <v>Burt Township (Alger County)</v>
      </c>
    </row>
    <row r="22" spans="1:8" ht="15.75" thickBot="1" x14ac:dyDescent="0.3">
      <c r="A22">
        <f t="shared" si="0"/>
        <v>2</v>
      </c>
      <c r="B22" s="10">
        <v>2016</v>
      </c>
      <c r="C22" s="3" t="s">
        <v>32</v>
      </c>
      <c r="D22" s="3" t="s">
        <v>21</v>
      </c>
      <c r="E22" s="4" t="s">
        <v>7</v>
      </c>
      <c r="F22" s="11" t="s">
        <v>8</v>
      </c>
      <c r="H22" t="str">
        <f>TRIM(SUBSTITUTE(PROPER(C22)&amp;" "&amp;IF(OR(D22="County",D22="Township",D22="Village",D22="Charter Township"),D22,"")&amp;IF(D22="Township"," "&amp;"("&amp;VLOOKUP(A22,counties,3,0)&amp;")",""),"  "," "))</f>
        <v>Chatham Village</v>
      </c>
    </row>
    <row r="23" spans="1:8" ht="15.75" thickBot="1" x14ac:dyDescent="0.3">
      <c r="A23">
        <f t="shared" si="0"/>
        <v>2</v>
      </c>
      <c r="B23" s="8">
        <v>2016</v>
      </c>
      <c r="C23" s="1" t="s">
        <v>33</v>
      </c>
      <c r="D23" s="1" t="s">
        <v>9</v>
      </c>
      <c r="E23" s="2" t="s">
        <v>7</v>
      </c>
      <c r="F23" s="9" t="s">
        <v>8</v>
      </c>
      <c r="H23" t="str">
        <f>TRIM(SUBSTITUTE(PROPER(C23)&amp;" "&amp;IF(OR(D23="County",D23="Township",D23="Village",D23="Charter Township"),D23,"")&amp;IF(D23="Township"," "&amp;"("&amp;VLOOKUP(A23,counties,3,0)&amp;")",""),"  "," "))</f>
        <v>Mathias Township (Alger County)</v>
      </c>
    </row>
    <row r="24" spans="1:8" ht="15.75" thickBot="1" x14ac:dyDescent="0.3">
      <c r="A24">
        <f t="shared" si="0"/>
        <v>2</v>
      </c>
      <c r="B24" s="10">
        <v>2016</v>
      </c>
      <c r="C24" s="3" t="s">
        <v>34</v>
      </c>
      <c r="D24" s="3" t="s">
        <v>15</v>
      </c>
      <c r="E24" s="4" t="s">
        <v>7</v>
      </c>
      <c r="F24" s="11" t="s">
        <v>8</v>
      </c>
      <c r="H24" t="str">
        <f>TRIM(SUBSTITUTE(PROPER(C24)&amp;" "&amp;IF(OR(D24="County",D24="Township",D24="Village",D24="Charter Township"),D24,"")&amp;IF(D24="Township"," "&amp;"("&amp;VLOOKUP(A24,counties,3,0)&amp;")",""),"  "," "))</f>
        <v>Munising</v>
      </c>
    </row>
    <row r="25" spans="1:8" ht="15.75" thickBot="1" x14ac:dyDescent="0.3">
      <c r="A25">
        <f t="shared" si="0"/>
        <v>2</v>
      </c>
      <c r="B25" s="8">
        <v>2016</v>
      </c>
      <c r="C25" s="1" t="s">
        <v>34</v>
      </c>
      <c r="D25" s="1" t="s">
        <v>9</v>
      </c>
      <c r="E25" s="2" t="s">
        <v>7</v>
      </c>
      <c r="F25" s="9" t="s">
        <v>8</v>
      </c>
      <c r="H25" t="str">
        <f>TRIM(SUBSTITUTE(PROPER(C25)&amp;" "&amp;IF(OR(D25="County",D25="Township",D25="Village",D25="Charter Township"),D25,"")&amp;IF(D25="Township"," "&amp;"("&amp;VLOOKUP(A25,counties,3,0)&amp;")",""),"  "," "))</f>
        <v>Munising Township (Alger County)</v>
      </c>
    </row>
    <row r="26" spans="1:8" ht="15.75" thickBot="1" x14ac:dyDescent="0.3">
      <c r="A26">
        <f t="shared" si="0"/>
        <v>2</v>
      </c>
      <c r="B26" s="10">
        <v>2016</v>
      </c>
      <c r="C26" s="3" t="s">
        <v>35</v>
      </c>
      <c r="D26" s="3" t="s">
        <v>17</v>
      </c>
      <c r="E26" s="4" t="s">
        <v>7</v>
      </c>
      <c r="F26" s="11" t="s">
        <v>8</v>
      </c>
      <c r="H26" t="str">
        <f>TRIM(SUBSTITUTE(PROPER(C26)&amp;" "&amp;IF(OR(D26="County",D26="Township",D26="Village",D26="Charter Township"),D26,"")&amp;IF(D26="Township"," "&amp;"("&amp;VLOOKUP(A26,counties,3,0)&amp;")",""),"  "," "))</f>
        <v>Munising City Housing Commission</v>
      </c>
    </row>
    <row r="27" spans="1:8" ht="15.75" thickBot="1" x14ac:dyDescent="0.3">
      <c r="A27">
        <f t="shared" si="0"/>
        <v>2</v>
      </c>
      <c r="B27" s="16">
        <v>2016</v>
      </c>
      <c r="C27" s="17" t="s">
        <v>36</v>
      </c>
      <c r="D27" s="17" t="s">
        <v>9</v>
      </c>
      <c r="E27" s="18" t="s">
        <v>7</v>
      </c>
      <c r="F27" s="19" t="s">
        <v>19</v>
      </c>
      <c r="H27" t="str">
        <f>TRIM(SUBSTITUTE(PROPER(C27)&amp;" "&amp;IF(OR(D27="County",D27="Township",D27="Village",D27="Charter Township"),D27,"")&amp;IF(D27="Township"," "&amp;"("&amp;VLOOKUP(A27,counties,3,0)&amp;")",""),"  "," "))</f>
        <v>Rock River Township (Alger County)</v>
      </c>
    </row>
    <row r="28" spans="1:8" ht="16.5" thickTop="1" thickBot="1" x14ac:dyDescent="0.3">
      <c r="A28">
        <f t="shared" si="0"/>
        <v>3</v>
      </c>
      <c r="B28" s="5" t="s">
        <v>0</v>
      </c>
      <c r="C28" s="6" t="s">
        <v>1</v>
      </c>
      <c r="D28" s="6" t="s">
        <v>2</v>
      </c>
      <c r="E28" s="6" t="s">
        <v>3</v>
      </c>
      <c r="F28" s="7" t="s">
        <v>4</v>
      </c>
      <c r="H28" t="str">
        <f>TRIM(SUBSTITUTE(PROPER(C28)&amp;" "&amp;IF(OR(D28="County",D28="Township",D28="Village",D28="Charter Township"),D28,"")&amp;IF(D28="Township"," "&amp;"("&amp;VLOOKUP(A28,counties,3,0)&amp;")",""),"  "," "))</f>
        <v>Municipality</v>
      </c>
    </row>
    <row r="29" spans="1:8" ht="15.75" thickBot="1" x14ac:dyDescent="0.3">
      <c r="A29">
        <f t="shared" si="0"/>
        <v>3</v>
      </c>
      <c r="B29" s="8">
        <v>2016</v>
      </c>
      <c r="C29" s="1" t="s">
        <v>37</v>
      </c>
      <c r="D29" s="1" t="s">
        <v>15</v>
      </c>
      <c r="E29" s="2" t="s">
        <v>7</v>
      </c>
      <c r="F29" s="9" t="s">
        <v>8</v>
      </c>
      <c r="H29" t="str">
        <f>TRIM(SUBSTITUTE(PROPER(C29)&amp;" "&amp;IF(OR(D29="County",D29="Township",D29="Village",D29="Charter Township"),D29,"")&amp;IF(D29="Township"," "&amp;"("&amp;VLOOKUP(A29,counties,3,0)&amp;")",""),"  "," "))</f>
        <v>Allegan</v>
      </c>
    </row>
    <row r="30" spans="1:8" ht="15.75" thickBot="1" x14ac:dyDescent="0.3">
      <c r="A30">
        <f t="shared" si="0"/>
        <v>3</v>
      </c>
      <c r="B30" s="10">
        <v>2016</v>
      </c>
      <c r="C30" s="3" t="s">
        <v>37</v>
      </c>
      <c r="D30" s="3" t="s">
        <v>6</v>
      </c>
      <c r="E30" s="4" t="s">
        <v>7</v>
      </c>
      <c r="F30" s="11" t="s">
        <v>8</v>
      </c>
      <c r="H30" t="str">
        <f>TRIM(SUBSTITUTE(PROPER(C30)&amp;" "&amp;IF(OR(D30="County",D30="Township",D30="Village",D30="Charter Township"),D30,"")&amp;IF(D30="Township"," "&amp;"("&amp;VLOOKUP(A30,counties,3,0)&amp;")",""),"  "," "))</f>
        <v>Allegan County</v>
      </c>
    </row>
    <row r="31" spans="1:8" ht="15.75" thickBot="1" x14ac:dyDescent="0.3">
      <c r="A31">
        <f t="shared" si="0"/>
        <v>3</v>
      </c>
      <c r="B31" s="8">
        <v>2016</v>
      </c>
      <c r="C31" s="1" t="s">
        <v>37</v>
      </c>
      <c r="D31" s="1" t="s">
        <v>9</v>
      </c>
      <c r="E31" s="2" t="s">
        <v>7</v>
      </c>
      <c r="F31" s="9" t="s">
        <v>8</v>
      </c>
      <c r="H31" t="str">
        <f>TRIM(SUBSTITUTE(PROPER(C31)&amp;" "&amp;IF(OR(D31="County",D31="Township",D31="Village",D31="Charter Township"),D31,"")&amp;IF(D31="Township"," "&amp;"("&amp;VLOOKUP(A31,counties,3,0)&amp;")",""),"  "," "))</f>
        <v>Allegan Township (Allegan County)</v>
      </c>
    </row>
    <row r="32" spans="1:8" ht="15.75" thickBot="1" x14ac:dyDescent="0.3">
      <c r="A32">
        <f t="shared" si="0"/>
        <v>3</v>
      </c>
      <c r="B32" s="10">
        <v>2016</v>
      </c>
      <c r="C32" s="3" t="s">
        <v>38</v>
      </c>
      <c r="D32" s="3" t="s">
        <v>11</v>
      </c>
      <c r="E32" s="4" t="s">
        <v>7</v>
      </c>
      <c r="F32" s="11" t="s">
        <v>8</v>
      </c>
      <c r="H32" t="str">
        <f>TRIM(SUBSTITUTE(PROPER(C32)&amp;" "&amp;IF(OR(D32="County",D32="Township",D32="Village",D32="Charter Township"),D32,"")&amp;IF(D32="Township"," "&amp;"("&amp;VLOOKUP(A32,counties,3,0)&amp;")",""),"  "," "))</f>
        <v>Allegan Co Road Commission</v>
      </c>
    </row>
    <row r="33" spans="1:8" ht="21.75" thickBot="1" x14ac:dyDescent="0.3">
      <c r="A33">
        <f t="shared" si="0"/>
        <v>3</v>
      </c>
      <c r="B33" s="8">
        <v>2016</v>
      </c>
      <c r="C33" s="1" t="s">
        <v>39</v>
      </c>
      <c r="D33" s="1" t="s">
        <v>17</v>
      </c>
      <c r="E33" s="2" t="s">
        <v>7</v>
      </c>
      <c r="F33" s="9" t="s">
        <v>8</v>
      </c>
      <c r="H33" t="str">
        <f>TRIM(SUBSTITUTE(PROPER(C33)&amp;" "&amp;IF(OR(D33="County",D33="Township",D33="Village",D33="Charter Township"),D33,"")&amp;IF(D33="Township"," "&amp;"("&amp;VLOOKUP(A33,counties,3,0)&amp;")",""),"  "," "))</f>
        <v>Allegan County Community Mental Health Services Board</v>
      </c>
    </row>
    <row r="34" spans="1:8" ht="15.75" thickBot="1" x14ac:dyDescent="0.3">
      <c r="A34">
        <f t="shared" si="0"/>
        <v>3</v>
      </c>
      <c r="B34" s="10">
        <v>2016</v>
      </c>
      <c r="C34" s="3" t="s">
        <v>40</v>
      </c>
      <c r="D34" s="3" t="s">
        <v>17</v>
      </c>
      <c r="E34" s="4" t="s">
        <v>7</v>
      </c>
      <c r="F34" s="11" t="s">
        <v>8</v>
      </c>
      <c r="H34" t="str">
        <f>TRIM(SUBSTITUTE(PROPER(C34)&amp;" "&amp;IF(OR(D34="County",D34="Township",D34="Village",D34="Charter Township"),D34,"")&amp;IF(D34="Township"," "&amp;"("&amp;VLOOKUP(A34,counties,3,0)&amp;")",""),"  "," "))</f>
        <v>Allegan County Medical Care Facility</v>
      </c>
    </row>
    <row r="35" spans="1:8" ht="15.75" thickBot="1" x14ac:dyDescent="0.3">
      <c r="A35">
        <f t="shared" si="0"/>
        <v>3</v>
      </c>
      <c r="B35" s="8">
        <v>2016</v>
      </c>
      <c r="C35" s="1" t="s">
        <v>41</v>
      </c>
      <c r="D35" s="1" t="s">
        <v>42</v>
      </c>
      <c r="E35" s="2" t="s">
        <v>7</v>
      </c>
      <c r="F35" s="9" t="s">
        <v>8</v>
      </c>
      <c r="H35" t="str">
        <f>TRIM(SUBSTITUTE(PROPER(C35)&amp;" "&amp;IF(OR(D35="County",D35="Township",D35="Village",D35="Charter Township"),D35,"")&amp;IF(D35="Township"," "&amp;"("&amp;VLOOKUP(A35,counties,3,0)&amp;")",""),"  "," "))</f>
        <v>Allegan District Library</v>
      </c>
    </row>
    <row r="36" spans="1:8" ht="15.75" thickBot="1" x14ac:dyDescent="0.3">
      <c r="A36">
        <f t="shared" si="0"/>
        <v>3</v>
      </c>
      <c r="B36" s="10">
        <v>2016</v>
      </c>
      <c r="C36" s="3" t="s">
        <v>43</v>
      </c>
      <c r="D36" s="3" t="s">
        <v>17</v>
      </c>
      <c r="E36" s="4" t="s">
        <v>7</v>
      </c>
      <c r="F36" s="11" t="s">
        <v>8</v>
      </c>
      <c r="H36" t="str">
        <f>TRIM(SUBSTITUTE(PROPER(C36)&amp;" "&amp;IF(OR(D36="County",D36="Township",D36="Village",D36="Charter Township"),D36,"")&amp;IF(D36="Township"," "&amp;"("&amp;VLOOKUP(A36,counties,3,0)&amp;")",""),"  "," "))</f>
        <v>Allegan Fire District</v>
      </c>
    </row>
    <row r="37" spans="1:8" ht="15.75" thickBot="1" x14ac:dyDescent="0.3">
      <c r="A37">
        <f t="shared" si="0"/>
        <v>3</v>
      </c>
      <c r="B37" s="8">
        <v>2016</v>
      </c>
      <c r="C37" s="1" t="s">
        <v>44</v>
      </c>
      <c r="D37" s="1" t="s">
        <v>9</v>
      </c>
      <c r="E37" s="2" t="s">
        <v>7</v>
      </c>
      <c r="F37" s="9" t="s">
        <v>8</v>
      </c>
      <c r="H37" t="str">
        <f>TRIM(SUBSTITUTE(PROPER(C37)&amp;" "&amp;IF(OR(D37="County",D37="Township",D37="Village",D37="Charter Township"),D37,"")&amp;IF(D37="Township"," "&amp;"("&amp;VLOOKUP(A37,counties,3,0)&amp;")",""),"  "," "))</f>
        <v>Casco Township (Allegan County)</v>
      </c>
    </row>
    <row r="38" spans="1:8" ht="15.75" thickBot="1" x14ac:dyDescent="0.3">
      <c r="A38">
        <f t="shared" si="0"/>
        <v>3</v>
      </c>
      <c r="B38" s="10">
        <v>2016</v>
      </c>
      <c r="C38" s="3" t="s">
        <v>45</v>
      </c>
      <c r="D38" s="3" t="s">
        <v>42</v>
      </c>
      <c r="E38" s="4" t="s">
        <v>7</v>
      </c>
      <c r="F38" s="11" t="s">
        <v>8</v>
      </c>
      <c r="H38" t="str">
        <f>TRIM(SUBSTITUTE(PROPER(C38)&amp;" "&amp;IF(OR(D38="County",D38="Township",D38="Village",D38="Charter Township"),D38,"")&amp;IF(D38="Township"," "&amp;"("&amp;VLOOKUP(A38,counties,3,0)&amp;")",""),"  "," "))</f>
        <v>Charles A Ransom District Library</v>
      </c>
    </row>
    <row r="39" spans="1:8" ht="15.75" thickBot="1" x14ac:dyDescent="0.3">
      <c r="A39">
        <f t="shared" si="0"/>
        <v>3</v>
      </c>
      <c r="B39" s="8">
        <v>2016</v>
      </c>
      <c r="C39" s="1" t="s">
        <v>46</v>
      </c>
      <c r="D39" s="1" t="s">
        <v>9</v>
      </c>
      <c r="E39" s="2" t="s">
        <v>7</v>
      </c>
      <c r="F39" s="9" t="s">
        <v>8</v>
      </c>
      <c r="H39" t="str">
        <f>TRIM(SUBSTITUTE(PROPER(C39)&amp;" "&amp;IF(OR(D39="County",D39="Township",D39="Village",D39="Charter Township"),D39,"")&amp;IF(D39="Township"," "&amp;"("&amp;VLOOKUP(A39,counties,3,0)&amp;")",""),"  "," "))</f>
        <v>Cheshire Township (Allegan County)</v>
      </c>
    </row>
    <row r="40" spans="1:8" ht="15.75" thickBot="1" x14ac:dyDescent="0.3">
      <c r="A40">
        <f t="shared" si="0"/>
        <v>3</v>
      </c>
      <c r="B40" s="10">
        <v>2016</v>
      </c>
      <c r="C40" s="3" t="s">
        <v>47</v>
      </c>
      <c r="D40" s="3" t="s">
        <v>9</v>
      </c>
      <c r="E40" s="4" t="s">
        <v>7</v>
      </c>
      <c r="F40" s="11" t="s">
        <v>8</v>
      </c>
      <c r="H40" t="str">
        <f>TRIM(SUBSTITUTE(PROPER(C40)&amp;" "&amp;IF(OR(D40="County",D40="Township",D40="Village",D40="Charter Township"),D40,"")&amp;IF(D40="Township"," "&amp;"("&amp;VLOOKUP(A40,counties,3,0)&amp;")",""),"  "," "))</f>
        <v>Clyde Township (Allegan County)</v>
      </c>
    </row>
    <row r="41" spans="1:8" ht="15.75" thickBot="1" x14ac:dyDescent="0.3">
      <c r="A41">
        <f t="shared" si="0"/>
        <v>3</v>
      </c>
      <c r="B41" s="8">
        <v>2016</v>
      </c>
      <c r="C41" s="1" t="s">
        <v>48</v>
      </c>
      <c r="D41" s="1" t="s">
        <v>9</v>
      </c>
      <c r="E41" s="2" t="s">
        <v>7</v>
      </c>
      <c r="F41" s="9" t="s">
        <v>8</v>
      </c>
      <c r="H41" t="str">
        <f>TRIM(SUBSTITUTE(PROPER(C41)&amp;" "&amp;IF(OR(D41="County",D41="Township",D41="Village",D41="Charter Township"),D41,"")&amp;IF(D41="Township"," "&amp;"("&amp;VLOOKUP(A41,counties,3,0)&amp;")",""),"  "," "))</f>
        <v>Dorr Township (Allegan County)</v>
      </c>
    </row>
    <row r="42" spans="1:8" ht="15.75" thickBot="1" x14ac:dyDescent="0.3">
      <c r="A42">
        <f t="shared" si="0"/>
        <v>3</v>
      </c>
      <c r="B42" s="10">
        <v>2016</v>
      </c>
      <c r="C42" s="3" t="s">
        <v>49</v>
      </c>
      <c r="D42" s="3" t="s">
        <v>42</v>
      </c>
      <c r="E42" s="4" t="s">
        <v>7</v>
      </c>
      <c r="F42" s="11" t="s">
        <v>8</v>
      </c>
      <c r="H42" t="str">
        <f>TRIM(SUBSTITUTE(PROPER(C42)&amp;" "&amp;IF(OR(D42="County",D42="Township",D42="Village",D42="Charter Township"),D42,"")&amp;IF(D42="Township"," "&amp;"("&amp;VLOOKUP(A42,counties,3,0)&amp;")",""),"  "," "))</f>
        <v>Dorr Township Library</v>
      </c>
    </row>
    <row r="43" spans="1:8" ht="15.75" thickBot="1" x14ac:dyDescent="0.3">
      <c r="A43">
        <f t="shared" si="0"/>
        <v>3</v>
      </c>
      <c r="B43" s="8">
        <v>2016</v>
      </c>
      <c r="C43" s="1" t="s">
        <v>50</v>
      </c>
      <c r="D43" s="1" t="s">
        <v>17</v>
      </c>
      <c r="E43" s="2" t="s">
        <v>7</v>
      </c>
      <c r="F43" s="9" t="s">
        <v>8</v>
      </c>
      <c r="H43" t="str">
        <f>TRIM(SUBSTITUTE(PROPER(C43)&amp;" "&amp;IF(OR(D43="County",D43="Township",D43="Village",D43="Charter Township"),D43,"")&amp;IF(D43="Township"," "&amp;"("&amp;VLOOKUP(A43,counties,3,0)&amp;")",""),"  "," "))</f>
        <v>Dorr Twp-Leighton Twp Waste Water Authority</v>
      </c>
    </row>
    <row r="44" spans="1:8" ht="15.75" thickBot="1" x14ac:dyDescent="0.3">
      <c r="A44">
        <f t="shared" si="0"/>
        <v>3</v>
      </c>
      <c r="B44" s="10">
        <v>2016</v>
      </c>
      <c r="C44" s="3" t="s">
        <v>51</v>
      </c>
      <c r="D44" s="3" t="s">
        <v>15</v>
      </c>
      <c r="E44" s="4" t="s">
        <v>7</v>
      </c>
      <c r="F44" s="11" t="s">
        <v>8</v>
      </c>
      <c r="H44" t="str">
        <f>TRIM(SUBSTITUTE(PROPER(C44)&amp;" "&amp;IF(OR(D44="County",D44="Township",D44="Village",D44="Charter Township"),D44,"")&amp;IF(D44="Township"," "&amp;"("&amp;VLOOKUP(A44,counties,3,0)&amp;")",""),"  "," "))</f>
        <v>Douglas Village</v>
      </c>
    </row>
    <row r="45" spans="1:8" ht="15.75" thickBot="1" x14ac:dyDescent="0.3">
      <c r="A45">
        <f t="shared" si="0"/>
        <v>3</v>
      </c>
      <c r="B45" s="8">
        <v>2016</v>
      </c>
      <c r="C45" s="1" t="s">
        <v>52</v>
      </c>
      <c r="D45" s="1" t="s">
        <v>15</v>
      </c>
      <c r="E45" s="2" t="s">
        <v>7</v>
      </c>
      <c r="F45" s="9" t="s">
        <v>8</v>
      </c>
      <c r="H45" t="str">
        <f>TRIM(SUBSTITUTE(PROPER(C45)&amp;" "&amp;IF(OR(D45="County",D45="Township",D45="Village",D45="Charter Township"),D45,"")&amp;IF(D45="Township"," "&amp;"("&amp;VLOOKUP(A45,counties,3,0)&amp;")",""),"  "," "))</f>
        <v>Fennville</v>
      </c>
    </row>
    <row r="46" spans="1:8" ht="15.75" thickBot="1" x14ac:dyDescent="0.3">
      <c r="A46">
        <f t="shared" si="0"/>
        <v>3</v>
      </c>
      <c r="B46" s="10">
        <v>2016</v>
      </c>
      <c r="C46" s="3" t="s">
        <v>53</v>
      </c>
      <c r="D46" s="3" t="s">
        <v>17</v>
      </c>
      <c r="E46" s="4" t="s">
        <v>7</v>
      </c>
      <c r="F46" s="11" t="s">
        <v>8</v>
      </c>
      <c r="H46" t="str">
        <f>TRIM(SUBSTITUTE(PROPER(C46)&amp;" "&amp;IF(OR(D46="County",D46="Township",D46="Village",D46="Charter Township"),D46,"")&amp;IF(D46="Township"," "&amp;"("&amp;VLOOKUP(A46,counties,3,0)&amp;")",""),"  "," "))</f>
        <v>Fennville Area Fire Board</v>
      </c>
    </row>
    <row r="47" spans="1:8" ht="15.75" thickBot="1" x14ac:dyDescent="0.3">
      <c r="A47">
        <f t="shared" si="0"/>
        <v>3</v>
      </c>
      <c r="B47" s="8">
        <v>2016</v>
      </c>
      <c r="C47" s="1" t="s">
        <v>54</v>
      </c>
      <c r="D47" s="1" t="s">
        <v>42</v>
      </c>
      <c r="E47" s="2" t="s">
        <v>7</v>
      </c>
      <c r="F47" s="9" t="s">
        <v>8</v>
      </c>
      <c r="H47" t="str">
        <f>TRIM(SUBSTITUTE(PROPER(C47)&amp;" "&amp;IF(OR(D47="County",D47="Township",D47="Village",D47="Charter Township"),D47,"")&amp;IF(D47="Township"," "&amp;"("&amp;VLOOKUP(A47,counties,3,0)&amp;")",""),"  "," "))</f>
        <v>Fennville District Library</v>
      </c>
    </row>
    <row r="48" spans="1:8" ht="15.75" thickBot="1" x14ac:dyDescent="0.3">
      <c r="A48">
        <f t="shared" si="0"/>
        <v>3</v>
      </c>
      <c r="B48" s="10">
        <v>2016</v>
      </c>
      <c r="C48" s="3" t="s">
        <v>55</v>
      </c>
      <c r="D48" s="3" t="s">
        <v>9</v>
      </c>
      <c r="E48" s="4" t="s">
        <v>7</v>
      </c>
      <c r="F48" s="11" t="s">
        <v>8</v>
      </c>
      <c r="H48" t="str">
        <f>TRIM(SUBSTITUTE(PROPER(C48)&amp;" "&amp;IF(OR(D48="County",D48="Township",D48="Village",D48="Charter Township"),D48,"")&amp;IF(D48="Township"," "&amp;"("&amp;VLOOKUP(A48,counties,3,0)&amp;")",""),"  "," "))</f>
        <v>Fillmore Township (Allegan County)</v>
      </c>
    </row>
    <row r="49" spans="1:8" ht="15.75" thickBot="1" x14ac:dyDescent="0.3">
      <c r="A49">
        <f t="shared" si="0"/>
        <v>3</v>
      </c>
      <c r="B49" s="8">
        <v>2016</v>
      </c>
      <c r="C49" s="1" t="s">
        <v>56</v>
      </c>
      <c r="D49" s="1" t="s">
        <v>9</v>
      </c>
      <c r="E49" s="2" t="s">
        <v>7</v>
      </c>
      <c r="F49" s="9" t="s">
        <v>8</v>
      </c>
      <c r="H49" t="str">
        <f>TRIM(SUBSTITUTE(PROPER(C49)&amp;" "&amp;IF(OR(D49="County",D49="Township",D49="Village",D49="Charter Township"),D49,"")&amp;IF(D49="Township"," "&amp;"("&amp;VLOOKUP(A49,counties,3,0)&amp;")",""),"  "," "))</f>
        <v>Ganges Township (Allegan County)</v>
      </c>
    </row>
    <row r="50" spans="1:8" ht="15.75" thickBot="1" x14ac:dyDescent="0.3">
      <c r="A50">
        <f t="shared" si="0"/>
        <v>3</v>
      </c>
      <c r="B50" s="10">
        <v>2016</v>
      </c>
      <c r="C50" s="3" t="s">
        <v>57</v>
      </c>
      <c r="D50" s="3" t="s">
        <v>17</v>
      </c>
      <c r="E50" s="4" t="s">
        <v>7</v>
      </c>
      <c r="F50" s="11" t="s">
        <v>8</v>
      </c>
      <c r="H50" t="str">
        <f>TRIM(SUBSTITUTE(PROPER(C50)&amp;" "&amp;IF(OR(D50="County",D50="Township",D50="Village",D50="Charter Township"),D50,"")&amp;IF(D50="Township"," "&amp;"("&amp;VLOOKUP(A50,counties,3,0)&amp;")",""),"  "," "))</f>
        <v>Graafschap Fire Department</v>
      </c>
    </row>
    <row r="51" spans="1:8" ht="15.75" thickBot="1" x14ac:dyDescent="0.3">
      <c r="A51">
        <f t="shared" si="0"/>
        <v>3</v>
      </c>
      <c r="B51" s="8">
        <v>2016</v>
      </c>
      <c r="C51" s="1" t="s">
        <v>58</v>
      </c>
      <c r="D51" s="1" t="s">
        <v>9</v>
      </c>
      <c r="E51" s="2" t="s">
        <v>7</v>
      </c>
      <c r="F51" s="9" t="s">
        <v>8</v>
      </c>
      <c r="H51" t="str">
        <f>TRIM(SUBSTITUTE(PROPER(C51)&amp;" "&amp;IF(OR(D51="County",D51="Township",D51="Village",D51="Charter Township"),D51,"")&amp;IF(D51="Township"," "&amp;"("&amp;VLOOKUP(A51,counties,3,0)&amp;")",""),"  "," "))</f>
        <v>Gun Plain Charter Township (Allegan County)</v>
      </c>
    </row>
    <row r="52" spans="1:8" ht="15.75" thickBot="1" x14ac:dyDescent="0.3">
      <c r="A52">
        <f t="shared" si="0"/>
        <v>3</v>
      </c>
      <c r="B52" s="10">
        <v>2016</v>
      </c>
      <c r="C52" s="3" t="s">
        <v>59</v>
      </c>
      <c r="D52" s="3" t="s">
        <v>17</v>
      </c>
      <c r="E52" s="4" t="s">
        <v>7</v>
      </c>
      <c r="F52" s="11" t="s">
        <v>8</v>
      </c>
      <c r="H52" t="str">
        <f>TRIM(SUBSTITUTE(PROPER(C52)&amp;" "&amp;IF(OR(D52="County",D52="Township",D52="Village",D52="Charter Township"),D52,"")&amp;IF(D52="Township"," "&amp;"("&amp;VLOOKUP(A52,counties,3,0)&amp;")",""),"  "," "))</f>
        <v>Hamilton Fire Department</v>
      </c>
    </row>
    <row r="53" spans="1:8" ht="15.75" thickBot="1" x14ac:dyDescent="0.3">
      <c r="A53">
        <f t="shared" si="0"/>
        <v>3</v>
      </c>
      <c r="B53" s="8">
        <v>2016</v>
      </c>
      <c r="C53" s="1" t="s">
        <v>60</v>
      </c>
      <c r="D53" s="1" t="s">
        <v>9</v>
      </c>
      <c r="E53" s="2" t="s">
        <v>7</v>
      </c>
      <c r="F53" s="9" t="s">
        <v>8</v>
      </c>
      <c r="H53" t="str">
        <f>TRIM(SUBSTITUTE(PROPER(C53)&amp;" "&amp;IF(OR(D53="County",D53="Township",D53="Village",D53="Charter Township"),D53,"")&amp;IF(D53="Township"," "&amp;"("&amp;VLOOKUP(A53,counties,3,0)&amp;")",""),"  "," "))</f>
        <v>Heath Township (Allegan County)</v>
      </c>
    </row>
    <row r="54" spans="1:8" ht="15.75" thickBot="1" x14ac:dyDescent="0.3">
      <c r="A54">
        <f t="shared" si="0"/>
        <v>3</v>
      </c>
      <c r="B54" s="10">
        <v>2016</v>
      </c>
      <c r="C54" s="3" t="s">
        <v>61</v>
      </c>
      <c r="D54" s="3" t="s">
        <v>42</v>
      </c>
      <c r="E54" s="4" t="s">
        <v>7</v>
      </c>
      <c r="F54" s="11" t="s">
        <v>8</v>
      </c>
      <c r="H54" t="str">
        <f>TRIM(SUBSTITUTE(PROPER(C54)&amp;" "&amp;IF(OR(D54="County",D54="Township",D54="Village",D54="Charter Township"),D54,"")&amp;IF(D54="Township"," "&amp;"("&amp;VLOOKUP(A54,counties,3,0)&amp;")",""),"  "," "))</f>
        <v>Henika District Library</v>
      </c>
    </row>
    <row r="55" spans="1:8" ht="15.75" thickBot="1" x14ac:dyDescent="0.3">
      <c r="A55">
        <f t="shared" si="0"/>
        <v>3</v>
      </c>
      <c r="B55" s="8">
        <v>2016</v>
      </c>
      <c r="C55" s="1" t="s">
        <v>62</v>
      </c>
      <c r="D55" s="1" t="s">
        <v>9</v>
      </c>
      <c r="E55" s="2" t="s">
        <v>7</v>
      </c>
      <c r="F55" s="9" t="s">
        <v>8</v>
      </c>
      <c r="H55" t="str">
        <f>TRIM(SUBSTITUTE(PROPER(C55)&amp;" "&amp;IF(OR(D55="County",D55="Township",D55="Village",D55="Charter Township"),D55,"")&amp;IF(D55="Township"," "&amp;"("&amp;VLOOKUP(A55,counties,3,0)&amp;")",""),"  "," "))</f>
        <v>Hopkins Township (Allegan County)</v>
      </c>
    </row>
    <row r="56" spans="1:8" ht="15.75" thickBot="1" x14ac:dyDescent="0.3">
      <c r="A56">
        <f t="shared" si="0"/>
        <v>3</v>
      </c>
      <c r="B56" s="10">
        <v>2016</v>
      </c>
      <c r="C56" s="3" t="s">
        <v>63</v>
      </c>
      <c r="D56" s="3" t="s">
        <v>42</v>
      </c>
      <c r="E56" s="4" t="s">
        <v>7</v>
      </c>
      <c r="F56" s="11" t="s">
        <v>8</v>
      </c>
      <c r="H56" t="str">
        <f>TRIM(SUBSTITUTE(PROPER(C56)&amp;" "&amp;IF(OR(D56="County",D56="Township",D56="Village",D56="Charter Township"),D56,"")&amp;IF(D56="Township"," "&amp;"("&amp;VLOOKUP(A56,counties,3,0)&amp;")",""),"  "," "))</f>
        <v>Hopkins Public Library</v>
      </c>
    </row>
    <row r="57" spans="1:8" ht="15.75" thickBot="1" x14ac:dyDescent="0.3">
      <c r="A57">
        <f t="shared" si="0"/>
        <v>3</v>
      </c>
      <c r="B57" s="8">
        <v>2016</v>
      </c>
      <c r="C57" s="1" t="s">
        <v>64</v>
      </c>
      <c r="D57" s="1" t="s">
        <v>17</v>
      </c>
      <c r="E57" s="2" t="s">
        <v>7</v>
      </c>
      <c r="F57" s="9" t="s">
        <v>8</v>
      </c>
      <c r="H57" t="str">
        <f>TRIM(SUBSTITUTE(PROPER(C57)&amp;" "&amp;IF(OR(D57="County",D57="Township",D57="Village",D57="Charter Township"),D57,"")&amp;IF(D57="Township"," "&amp;"("&amp;VLOOKUP(A57,counties,3,0)&amp;")",""),"  "," "))</f>
        <v>Interurban Transit Authority</v>
      </c>
    </row>
    <row r="58" spans="1:8" ht="15.75" thickBot="1" x14ac:dyDescent="0.3">
      <c r="A58">
        <f t="shared" si="0"/>
        <v>3</v>
      </c>
      <c r="B58" s="10">
        <v>2016</v>
      </c>
      <c r="C58" s="3" t="s">
        <v>65</v>
      </c>
      <c r="D58" s="3" t="s">
        <v>17</v>
      </c>
      <c r="E58" s="4" t="s">
        <v>7</v>
      </c>
      <c r="F58" s="11" t="s">
        <v>8</v>
      </c>
      <c r="H58" t="str">
        <f>TRIM(SUBSTITUTE(PROPER(C58)&amp;" "&amp;IF(OR(D58="County",D58="Township",D58="Village",D58="Charter Township"),D58,"")&amp;IF(D58="Township"," "&amp;"("&amp;VLOOKUP(A58,counties,3,0)&amp;")",""),"  "," "))</f>
        <v>Kalamazoo Lake Sewer And Water Authority</v>
      </c>
    </row>
    <row r="59" spans="1:8" ht="15.75" thickBot="1" x14ac:dyDescent="0.3">
      <c r="A59">
        <f t="shared" si="0"/>
        <v>3</v>
      </c>
      <c r="B59" s="8">
        <v>2016</v>
      </c>
      <c r="C59" s="1" t="s">
        <v>66</v>
      </c>
      <c r="D59" s="1" t="s">
        <v>9</v>
      </c>
      <c r="E59" s="2" t="s">
        <v>7</v>
      </c>
      <c r="F59" s="9" t="s">
        <v>8</v>
      </c>
      <c r="H59" t="str">
        <f>TRIM(SUBSTITUTE(PROPER(C59)&amp;" "&amp;IF(OR(D59="County",D59="Township",D59="Village",D59="Charter Township"),D59,"")&amp;IF(D59="Township"," "&amp;"("&amp;VLOOKUP(A59,counties,3,0)&amp;")",""),"  "," "))</f>
        <v>Laketown Township (Allegan County)</v>
      </c>
    </row>
    <row r="60" spans="1:8" ht="15.75" thickBot="1" x14ac:dyDescent="0.3">
      <c r="A60">
        <f t="shared" si="0"/>
        <v>3</v>
      </c>
      <c r="B60" s="10">
        <v>2016</v>
      </c>
      <c r="C60" s="3" t="s">
        <v>67</v>
      </c>
      <c r="D60" s="3" t="s">
        <v>9</v>
      </c>
      <c r="E60" s="4" t="s">
        <v>7</v>
      </c>
      <c r="F60" s="11" t="s">
        <v>8</v>
      </c>
      <c r="H60" t="str">
        <f>TRIM(SUBSTITUTE(PROPER(C60)&amp;" "&amp;IF(OR(D60="County",D60="Township",D60="Village",D60="Charter Township"),D60,"")&amp;IF(D60="Township"," "&amp;"("&amp;VLOOKUP(A60,counties,3,0)&amp;")",""),"  "," "))</f>
        <v>Lee Township (Allegan County)</v>
      </c>
    </row>
    <row r="61" spans="1:8" ht="15.75" thickBot="1" x14ac:dyDescent="0.3">
      <c r="A61">
        <f t="shared" si="0"/>
        <v>3</v>
      </c>
      <c r="B61" s="8">
        <v>2016</v>
      </c>
      <c r="C61" s="1" t="s">
        <v>68</v>
      </c>
      <c r="D61" s="1" t="s">
        <v>9</v>
      </c>
      <c r="E61" s="2" t="s">
        <v>7</v>
      </c>
      <c r="F61" s="9" t="s">
        <v>8</v>
      </c>
      <c r="H61" t="str">
        <f>TRIM(SUBSTITUTE(PROPER(C61)&amp;" "&amp;IF(OR(D61="County",D61="Township",D61="Village",D61="Charter Township"),D61,"")&amp;IF(D61="Township"," "&amp;"("&amp;VLOOKUP(A61,counties,3,0)&amp;")",""),"  "," "))</f>
        <v>Leighton Township (Allegan County)</v>
      </c>
    </row>
    <row r="62" spans="1:8" ht="15.75" thickBot="1" x14ac:dyDescent="0.3">
      <c r="A62">
        <f t="shared" si="0"/>
        <v>3</v>
      </c>
      <c r="B62" s="10">
        <v>2016</v>
      </c>
      <c r="C62" s="3" t="s">
        <v>69</v>
      </c>
      <c r="D62" s="3" t="s">
        <v>9</v>
      </c>
      <c r="E62" s="4" t="s">
        <v>7</v>
      </c>
      <c r="F62" s="11" t="s">
        <v>8</v>
      </c>
      <c r="H62" t="str">
        <f>TRIM(SUBSTITUTE(PROPER(C62)&amp;" "&amp;IF(OR(D62="County",D62="Township",D62="Village",D62="Charter Township"),D62,"")&amp;IF(D62="Township"," "&amp;"("&amp;VLOOKUP(A62,counties,3,0)&amp;")",""),"  "," "))</f>
        <v>Manlius Township (Allegan County)</v>
      </c>
    </row>
    <row r="63" spans="1:8" ht="15.75" thickBot="1" x14ac:dyDescent="0.3">
      <c r="A63">
        <f t="shared" si="0"/>
        <v>3</v>
      </c>
      <c r="B63" s="8">
        <v>2016</v>
      </c>
      <c r="C63" s="1" t="s">
        <v>70</v>
      </c>
      <c r="D63" s="1" t="s">
        <v>9</v>
      </c>
      <c r="E63" s="2" t="s">
        <v>7</v>
      </c>
      <c r="F63" s="9" t="s">
        <v>8</v>
      </c>
      <c r="H63" t="str">
        <f>TRIM(SUBSTITUTE(PROPER(C63)&amp;" "&amp;IF(OR(D63="County",D63="Township",D63="Village",D63="Charter Township"),D63,"")&amp;IF(D63="Township"," "&amp;"("&amp;VLOOKUP(A63,counties,3,0)&amp;")",""),"  "," "))</f>
        <v>Martin Township (Allegan County)</v>
      </c>
    </row>
    <row r="64" spans="1:8" ht="15.75" thickBot="1" x14ac:dyDescent="0.3">
      <c r="A64">
        <f t="shared" si="0"/>
        <v>3</v>
      </c>
      <c r="B64" s="10">
        <v>2016</v>
      </c>
      <c r="C64" s="3" t="s">
        <v>70</v>
      </c>
      <c r="D64" s="3" t="s">
        <v>21</v>
      </c>
      <c r="E64" s="4" t="s">
        <v>7</v>
      </c>
      <c r="F64" s="11" t="s">
        <v>19</v>
      </c>
      <c r="H64" t="str">
        <f>TRIM(SUBSTITUTE(PROPER(C64)&amp;" "&amp;IF(OR(D64="County",D64="Township",D64="Village",D64="Charter Township"),D64,"")&amp;IF(D64="Township"," "&amp;"("&amp;VLOOKUP(A64,counties,3,0)&amp;")",""),"  "," "))</f>
        <v>Martin Village</v>
      </c>
    </row>
    <row r="65" spans="1:8" ht="15.75" thickBot="1" x14ac:dyDescent="0.3">
      <c r="A65">
        <f t="shared" si="0"/>
        <v>3</v>
      </c>
      <c r="B65" s="8">
        <v>2016</v>
      </c>
      <c r="C65" s="1" t="s">
        <v>71</v>
      </c>
      <c r="D65" s="1" t="s">
        <v>72</v>
      </c>
      <c r="E65" s="2" t="s">
        <v>7</v>
      </c>
      <c r="F65" s="9" t="s">
        <v>8</v>
      </c>
      <c r="H65" t="str">
        <f>TRIM(SUBSTITUTE(PROPER(C65)&amp;" "&amp;IF(OR(D65="County",D65="Township",D65="Village",D65="Charter Township"),D65,"")&amp;IF(D65="Township"," "&amp;"("&amp;VLOOKUP(A65,counties,3,0)&amp;")",""),"  "," "))</f>
        <v>Match-E-Be-Nash-She-Wish Local Revenue Sharing Bd</v>
      </c>
    </row>
    <row r="66" spans="1:8" ht="15.75" thickBot="1" x14ac:dyDescent="0.3">
      <c r="A66">
        <f t="shared" si="0"/>
        <v>3</v>
      </c>
      <c r="B66" s="10">
        <v>2016</v>
      </c>
      <c r="C66" s="3" t="s">
        <v>73</v>
      </c>
      <c r="D66" s="3" t="s">
        <v>9</v>
      </c>
      <c r="E66" s="4" t="s">
        <v>7</v>
      </c>
      <c r="F66" s="11" t="s">
        <v>8</v>
      </c>
      <c r="H66" t="str">
        <f>TRIM(SUBSTITUTE(PROPER(C66)&amp;" "&amp;IF(OR(D66="County",D66="Township",D66="Village",D66="Charter Township"),D66,"")&amp;IF(D66="Township"," "&amp;"("&amp;VLOOKUP(A66,counties,3,0)&amp;")",""),"  "," "))</f>
        <v>Monterey Township (Allegan County)</v>
      </c>
    </row>
    <row r="67" spans="1:8" ht="15.75" thickBot="1" x14ac:dyDescent="0.3">
      <c r="A67">
        <f t="shared" ref="A67:A130" si="1">IF(B67="Year",A66+1,A66)</f>
        <v>3</v>
      </c>
      <c r="B67" s="8">
        <v>2016</v>
      </c>
      <c r="C67" s="1" t="s">
        <v>74</v>
      </c>
      <c r="D67" s="1" t="s">
        <v>15</v>
      </c>
      <c r="E67" s="2" t="s">
        <v>7</v>
      </c>
      <c r="F67" s="9" t="s">
        <v>8</v>
      </c>
      <c r="H67" t="str">
        <f>TRIM(SUBSTITUTE(PROPER(C67)&amp;" "&amp;IF(OR(D67="County",D67="Township",D67="Village",D67="Charter Township"),D67,"")&amp;IF(D67="Township"," "&amp;"("&amp;VLOOKUP(A67,counties,3,0)&amp;")",""),"  "," "))</f>
        <v>Otsego</v>
      </c>
    </row>
    <row r="68" spans="1:8" ht="15.75" thickBot="1" x14ac:dyDescent="0.3">
      <c r="A68">
        <f t="shared" si="1"/>
        <v>3</v>
      </c>
      <c r="B68" s="10">
        <v>2016</v>
      </c>
      <c r="C68" s="3" t="s">
        <v>74</v>
      </c>
      <c r="D68" s="3" t="s">
        <v>9</v>
      </c>
      <c r="E68" s="4" t="s">
        <v>7</v>
      </c>
      <c r="F68" s="11" t="s">
        <v>19</v>
      </c>
      <c r="H68" t="str">
        <f>TRIM(SUBSTITUTE(PROPER(C68)&amp;" "&amp;IF(OR(D68="County",D68="Township",D68="Village",D68="Charter Township"),D68,"")&amp;IF(D68="Township"," "&amp;"("&amp;VLOOKUP(A68,counties,3,0)&amp;")",""),"  "," "))</f>
        <v>Otsego Township (Allegan County)</v>
      </c>
    </row>
    <row r="69" spans="1:8" ht="15.75" thickBot="1" x14ac:dyDescent="0.3">
      <c r="A69">
        <f t="shared" si="1"/>
        <v>3</v>
      </c>
      <c r="B69" s="8">
        <v>2016</v>
      </c>
      <c r="C69" s="1" t="s">
        <v>75</v>
      </c>
      <c r="D69" s="1" t="s">
        <v>42</v>
      </c>
      <c r="E69" s="2" t="s">
        <v>7</v>
      </c>
      <c r="F69" s="9" t="s">
        <v>8</v>
      </c>
      <c r="H69" t="str">
        <f>TRIM(SUBSTITUTE(PROPER(C69)&amp;" "&amp;IF(OR(D69="County",D69="Township",D69="Village",D69="Charter Township"),D69,"")&amp;IF(D69="Township"," "&amp;"("&amp;VLOOKUP(A69,counties,3,0)&amp;")",""),"  "," "))</f>
        <v>Otsego District Public Library</v>
      </c>
    </row>
    <row r="70" spans="1:8" ht="15.75" thickBot="1" x14ac:dyDescent="0.3">
      <c r="A70">
        <f t="shared" si="1"/>
        <v>3</v>
      </c>
      <c r="B70" s="10">
        <v>2016</v>
      </c>
      <c r="C70" s="3" t="s">
        <v>76</v>
      </c>
      <c r="D70" s="3" t="s">
        <v>9</v>
      </c>
      <c r="E70" s="4" t="s">
        <v>7</v>
      </c>
      <c r="F70" s="11" t="s">
        <v>8</v>
      </c>
      <c r="H70" t="str">
        <f>TRIM(SUBSTITUTE(PROPER(C70)&amp;" "&amp;IF(OR(D70="County",D70="Township",D70="Village",D70="Charter Township"),D70,"")&amp;IF(D70="Township"," "&amp;"("&amp;VLOOKUP(A70,counties,3,0)&amp;")",""),"  "," "))</f>
        <v>Overisel Township (Allegan County)</v>
      </c>
    </row>
    <row r="71" spans="1:8" ht="15.75" thickBot="1" x14ac:dyDescent="0.3">
      <c r="A71">
        <f t="shared" si="1"/>
        <v>3</v>
      </c>
      <c r="B71" s="8">
        <v>2016</v>
      </c>
      <c r="C71" s="1" t="s">
        <v>77</v>
      </c>
      <c r="D71" s="1" t="s">
        <v>15</v>
      </c>
      <c r="E71" s="2" t="s">
        <v>7</v>
      </c>
      <c r="F71" s="9" t="s">
        <v>8</v>
      </c>
      <c r="H71" t="str">
        <f>TRIM(SUBSTITUTE(PROPER(C71)&amp;" "&amp;IF(OR(D71="County",D71="Township",D71="Village",D71="Charter Township"),D71,"")&amp;IF(D71="Township"," "&amp;"("&amp;VLOOKUP(A71,counties,3,0)&amp;")",""),"  "," "))</f>
        <v>Plainwell</v>
      </c>
    </row>
    <row r="72" spans="1:8" ht="15.75" thickBot="1" x14ac:dyDescent="0.3">
      <c r="A72">
        <f t="shared" si="1"/>
        <v>3</v>
      </c>
      <c r="B72" s="10">
        <v>2016</v>
      </c>
      <c r="C72" s="3" t="s">
        <v>78</v>
      </c>
      <c r="D72" s="3" t="s">
        <v>9</v>
      </c>
      <c r="E72" s="4" t="s">
        <v>7</v>
      </c>
      <c r="F72" s="11" t="s">
        <v>8</v>
      </c>
      <c r="H72" t="str">
        <f>TRIM(SUBSTITUTE(PROPER(C72)&amp;" "&amp;IF(OR(D72="County",D72="Township",D72="Village",D72="Charter Township"),D72,"")&amp;IF(D72="Township"," "&amp;"("&amp;VLOOKUP(A72,counties,3,0)&amp;")",""),"  "," "))</f>
        <v>Salem Township (Allegan County)</v>
      </c>
    </row>
    <row r="73" spans="1:8" ht="15.75" thickBot="1" x14ac:dyDescent="0.3">
      <c r="A73">
        <f t="shared" si="1"/>
        <v>3</v>
      </c>
      <c r="B73" s="8">
        <v>2016</v>
      </c>
      <c r="C73" s="1" t="s">
        <v>79</v>
      </c>
      <c r="D73" s="1" t="s">
        <v>15</v>
      </c>
      <c r="E73" s="2" t="s">
        <v>7</v>
      </c>
      <c r="F73" s="9" t="s">
        <v>8</v>
      </c>
      <c r="H73" t="str">
        <f>TRIM(SUBSTITUTE(PROPER(C73)&amp;" "&amp;IF(OR(D73="County",D73="Township",D73="Village",D73="Charter Township"),D73,"")&amp;IF(D73="Township"," "&amp;"("&amp;VLOOKUP(A73,counties,3,0)&amp;")",""),"  "," "))</f>
        <v>Saugatuck</v>
      </c>
    </row>
    <row r="74" spans="1:8" ht="15.75" thickBot="1" x14ac:dyDescent="0.3">
      <c r="A74">
        <f t="shared" si="1"/>
        <v>3</v>
      </c>
      <c r="B74" s="10">
        <v>2016</v>
      </c>
      <c r="C74" s="3" t="s">
        <v>79</v>
      </c>
      <c r="D74" s="3" t="s">
        <v>9</v>
      </c>
      <c r="E74" s="4" t="s">
        <v>7</v>
      </c>
      <c r="F74" s="11" t="s">
        <v>8</v>
      </c>
      <c r="H74" t="str">
        <f>TRIM(SUBSTITUTE(PROPER(C74)&amp;" "&amp;IF(OR(D74="County",D74="Township",D74="Village",D74="Charter Township"),D74,"")&amp;IF(D74="Township"," "&amp;"("&amp;VLOOKUP(A74,counties,3,0)&amp;")",""),"  "," "))</f>
        <v>Saugatuck Township (Allegan County)</v>
      </c>
    </row>
    <row r="75" spans="1:8" ht="15.75" thickBot="1" x14ac:dyDescent="0.3">
      <c r="A75">
        <f t="shared" si="1"/>
        <v>3</v>
      </c>
      <c r="B75" s="8">
        <v>2016</v>
      </c>
      <c r="C75" s="1" t="s">
        <v>80</v>
      </c>
      <c r="D75" s="1" t="s">
        <v>17</v>
      </c>
      <c r="E75" s="2" t="s">
        <v>7</v>
      </c>
      <c r="F75" s="9" t="s">
        <v>8</v>
      </c>
      <c r="H75" t="str">
        <f>TRIM(SUBSTITUTE(PROPER(C75)&amp;" "&amp;IF(OR(D75="County",D75="Township",D75="Village",D75="Charter Township"),D75,"")&amp;IF(D75="Township"," "&amp;"("&amp;VLOOKUP(A75,counties,3,0)&amp;")",""),"  "," "))</f>
        <v>Saugatuck Township Fire District</v>
      </c>
    </row>
    <row r="76" spans="1:8" ht="15.75" thickBot="1" x14ac:dyDescent="0.3">
      <c r="A76">
        <f t="shared" si="1"/>
        <v>3</v>
      </c>
      <c r="B76" s="10">
        <v>2016</v>
      </c>
      <c r="C76" s="3" t="s">
        <v>81</v>
      </c>
      <c r="D76" s="3" t="s">
        <v>42</v>
      </c>
      <c r="E76" s="4" t="s">
        <v>7</v>
      </c>
      <c r="F76" s="11" t="s">
        <v>8</v>
      </c>
      <c r="H76" t="str">
        <f>TRIM(SUBSTITUTE(PROPER(C76)&amp;" "&amp;IF(OR(D76="County",D76="Township",D76="Village",D76="Charter Township"),D76,"")&amp;IF(D76="Township"," "&amp;"("&amp;VLOOKUP(A76,counties,3,0)&amp;")",""),"  "," "))</f>
        <v>Saugatuck-Douglas District Library</v>
      </c>
    </row>
    <row r="77" spans="1:8" ht="21.75" thickBot="1" x14ac:dyDescent="0.3">
      <c r="A77">
        <f t="shared" si="1"/>
        <v>3</v>
      </c>
      <c r="B77" s="8">
        <v>2016</v>
      </c>
      <c r="C77" s="1" t="s">
        <v>82</v>
      </c>
      <c r="D77" s="1" t="s">
        <v>17</v>
      </c>
      <c r="E77" s="2" t="s">
        <v>7</v>
      </c>
      <c r="F77" s="9" t="s">
        <v>8</v>
      </c>
      <c r="H77" t="str">
        <f>TRIM(SUBSTITUTE(PROPER(C77)&amp;" "&amp;IF(OR(D77="County",D77="Township",D77="Village",D77="Charter Township"),D77,"")&amp;IF(D77="Township"," "&amp;"("&amp;VLOOKUP(A77,counties,3,0)&amp;")",""),"  "," "))</f>
        <v>South Haven And Casco Township Water And Sewage Treatment Authority</v>
      </c>
    </row>
    <row r="78" spans="1:8" ht="15.75" thickBot="1" x14ac:dyDescent="0.3">
      <c r="A78">
        <f t="shared" si="1"/>
        <v>3</v>
      </c>
      <c r="B78" s="10">
        <v>2016</v>
      </c>
      <c r="C78" s="3" t="s">
        <v>83</v>
      </c>
      <c r="D78" s="3" t="s">
        <v>9</v>
      </c>
      <c r="E78" s="4" t="s">
        <v>7</v>
      </c>
      <c r="F78" s="11" t="s">
        <v>8</v>
      </c>
      <c r="H78" t="str">
        <f>TRIM(SUBSTITUTE(PROPER(C78)&amp;" "&amp;IF(OR(D78="County",D78="Township",D78="Village",D78="Charter Township"),D78,"")&amp;IF(D78="Township"," "&amp;"("&amp;VLOOKUP(A78,counties,3,0)&amp;")",""),"  "," "))</f>
        <v>Valley Township (Allegan County)</v>
      </c>
    </row>
    <row r="79" spans="1:8" ht="15.75" thickBot="1" x14ac:dyDescent="0.3">
      <c r="A79">
        <f t="shared" si="1"/>
        <v>3</v>
      </c>
      <c r="B79" s="8">
        <v>2016</v>
      </c>
      <c r="C79" s="1" t="s">
        <v>84</v>
      </c>
      <c r="D79" s="1" t="s">
        <v>15</v>
      </c>
      <c r="E79" s="2" t="s">
        <v>7</v>
      </c>
      <c r="F79" s="9" t="s">
        <v>8</v>
      </c>
      <c r="H79" t="str">
        <f>TRIM(SUBSTITUTE(PROPER(C79)&amp;" "&amp;IF(OR(D79="County",D79="Township",D79="Village",D79="Charter Township"),D79,"")&amp;IF(D79="Township"," "&amp;"("&amp;VLOOKUP(A79,counties,3,0)&amp;")",""),"  "," "))</f>
        <v>Wayland</v>
      </c>
    </row>
    <row r="80" spans="1:8" ht="15.75" thickBot="1" x14ac:dyDescent="0.3">
      <c r="A80">
        <f t="shared" si="1"/>
        <v>3</v>
      </c>
      <c r="B80" s="10">
        <v>2016</v>
      </c>
      <c r="C80" s="3" t="s">
        <v>84</v>
      </c>
      <c r="D80" s="3" t="s">
        <v>9</v>
      </c>
      <c r="E80" s="4" t="s">
        <v>7</v>
      </c>
      <c r="F80" s="11" t="s">
        <v>19</v>
      </c>
      <c r="H80" t="str">
        <f>TRIM(SUBSTITUTE(PROPER(C80)&amp;" "&amp;IF(OR(D80="County",D80="Township",D80="Village",D80="Charter Township"),D80,"")&amp;IF(D80="Township"," "&amp;"("&amp;VLOOKUP(A80,counties,3,0)&amp;")",""),"  "," "))</f>
        <v>Wayland Township (Allegan County)</v>
      </c>
    </row>
    <row r="81" spans="1:8" ht="15.75" thickBot="1" x14ac:dyDescent="0.3">
      <c r="A81">
        <f t="shared" si="1"/>
        <v>3</v>
      </c>
      <c r="B81" s="16">
        <v>2016</v>
      </c>
      <c r="C81" s="17" t="s">
        <v>85</v>
      </c>
      <c r="D81" s="17" t="s">
        <v>17</v>
      </c>
      <c r="E81" s="18" t="s">
        <v>7</v>
      </c>
      <c r="F81" s="19" t="s">
        <v>8</v>
      </c>
      <c r="H81" t="str">
        <f>TRIM(SUBSTITUTE(PROPER(C81)&amp;" "&amp;IF(OR(D81="County",D81="Township",D81="Village",D81="Charter Township"),D81,"")&amp;IF(D81="Township"," "&amp;"("&amp;VLOOKUP(A81,counties,3,0)&amp;")",""),"  "," "))</f>
        <v>Wayland Area Emergency Medical Services</v>
      </c>
    </row>
    <row r="82" spans="1:8" ht="16.5" thickTop="1" thickBot="1" x14ac:dyDescent="0.3">
      <c r="A82">
        <f t="shared" si="1"/>
        <v>4</v>
      </c>
      <c r="B82" s="5" t="s">
        <v>0</v>
      </c>
      <c r="C82" s="6" t="s">
        <v>1</v>
      </c>
      <c r="D82" s="6" t="s">
        <v>2</v>
      </c>
      <c r="E82" s="6" t="s">
        <v>3</v>
      </c>
      <c r="F82" s="7" t="s">
        <v>4</v>
      </c>
      <c r="H82" t="str">
        <f>TRIM(SUBSTITUTE(PROPER(C82)&amp;" "&amp;IF(OR(D82="County",D82="Township",D82="Village",D82="Charter Township"),D82,"")&amp;IF(D82="Township"," "&amp;"("&amp;VLOOKUP(A82,counties,3,0)&amp;")",""),"  "," "))</f>
        <v>Municipality</v>
      </c>
    </row>
    <row r="83" spans="1:8" ht="15.75" thickBot="1" x14ac:dyDescent="0.3">
      <c r="A83">
        <f t="shared" si="1"/>
        <v>4</v>
      </c>
      <c r="B83" s="8">
        <v>2016</v>
      </c>
      <c r="C83" s="1" t="s">
        <v>86</v>
      </c>
      <c r="D83" s="1" t="s">
        <v>15</v>
      </c>
      <c r="E83" s="2" t="s">
        <v>7</v>
      </c>
      <c r="F83" s="9" t="s">
        <v>8</v>
      </c>
      <c r="H83" t="str">
        <f>TRIM(SUBSTITUTE(PROPER(C83)&amp;" "&amp;IF(OR(D83="County",D83="Township",D83="Village",D83="Charter Township"),D83,"")&amp;IF(D83="Township"," "&amp;"("&amp;VLOOKUP(A83,counties,3,0)&amp;")",""),"  "," "))</f>
        <v>Alpena</v>
      </c>
    </row>
    <row r="84" spans="1:8" ht="15.75" thickBot="1" x14ac:dyDescent="0.3">
      <c r="A84">
        <f t="shared" si="1"/>
        <v>4</v>
      </c>
      <c r="B84" s="10">
        <v>2016</v>
      </c>
      <c r="C84" s="3" t="s">
        <v>86</v>
      </c>
      <c r="D84" s="3" t="s">
        <v>6</v>
      </c>
      <c r="E84" s="4" t="s">
        <v>7</v>
      </c>
      <c r="F84" s="11" t="s">
        <v>8</v>
      </c>
      <c r="H84" t="str">
        <f>TRIM(SUBSTITUTE(PROPER(C84)&amp;" "&amp;IF(OR(D84="County",D84="Township",D84="Village",D84="Charter Township"),D84,"")&amp;IF(D84="Township"," "&amp;"("&amp;VLOOKUP(A84,counties,3,0)&amp;")",""),"  "," "))</f>
        <v>Alpena County</v>
      </c>
    </row>
    <row r="85" spans="1:8" ht="15.75" thickBot="1" x14ac:dyDescent="0.3">
      <c r="A85">
        <f t="shared" si="1"/>
        <v>4</v>
      </c>
      <c r="B85" s="8">
        <v>2016</v>
      </c>
      <c r="C85" s="1" t="s">
        <v>86</v>
      </c>
      <c r="D85" s="1" t="s">
        <v>9</v>
      </c>
      <c r="E85" s="2" t="s">
        <v>7</v>
      </c>
      <c r="F85" s="9" t="s">
        <v>8</v>
      </c>
      <c r="H85" t="str">
        <f>TRIM(SUBSTITUTE(PROPER(C85)&amp;" "&amp;IF(OR(D85="County",D85="Township",D85="Village",D85="Charter Township"),D85,"")&amp;IF(D85="Township"," "&amp;"("&amp;VLOOKUP(A85,counties,3,0)&amp;")",""),"  "," "))</f>
        <v>Alpena Township (Alpena County)</v>
      </c>
    </row>
    <row r="86" spans="1:8" ht="15.75" thickBot="1" x14ac:dyDescent="0.3">
      <c r="A86">
        <f t="shared" si="1"/>
        <v>4</v>
      </c>
      <c r="B86" s="10">
        <v>2016</v>
      </c>
      <c r="C86" s="3" t="s">
        <v>87</v>
      </c>
      <c r="D86" s="3" t="s">
        <v>88</v>
      </c>
      <c r="E86" s="4" t="s">
        <v>7</v>
      </c>
      <c r="F86" s="11" t="s">
        <v>8</v>
      </c>
      <c r="H86" t="str">
        <f>TRIM(SUBSTITUTE(PROPER(C86)&amp;" "&amp;IF(OR(D86="County",D86="Township",D86="Village",D86="Charter Township"),D86,"")&amp;IF(D86="Township"," "&amp;"("&amp;VLOOKUP(A86,counties,3,0)&amp;")",""),"  "," "))</f>
        <v>Alpena Community College</v>
      </c>
    </row>
    <row r="87" spans="1:8" ht="15.75" thickBot="1" x14ac:dyDescent="0.3">
      <c r="A87">
        <f t="shared" si="1"/>
        <v>4</v>
      </c>
      <c r="B87" s="8">
        <v>2016</v>
      </c>
      <c r="C87" s="1" t="s">
        <v>89</v>
      </c>
      <c r="D87" s="1" t="s">
        <v>11</v>
      </c>
      <c r="E87" s="2" t="s">
        <v>7</v>
      </c>
      <c r="F87" s="9" t="s">
        <v>8</v>
      </c>
      <c r="H87" t="str">
        <f>TRIM(SUBSTITUTE(PROPER(C87)&amp;" "&amp;IF(OR(D87="County",D87="Township",D87="Village",D87="Charter Township"),D87,"")&amp;IF(D87="Township"," "&amp;"("&amp;VLOOKUP(A87,counties,3,0)&amp;")",""),"  "," "))</f>
        <v>Alpena County Road Commission</v>
      </c>
    </row>
    <row r="88" spans="1:8" ht="15.75" thickBot="1" x14ac:dyDescent="0.3">
      <c r="A88">
        <f t="shared" si="1"/>
        <v>4</v>
      </c>
      <c r="B88" s="10">
        <v>2016</v>
      </c>
      <c r="C88" s="3" t="s">
        <v>90</v>
      </c>
      <c r="D88" s="3" t="s">
        <v>9</v>
      </c>
      <c r="E88" s="4" t="s">
        <v>7</v>
      </c>
      <c r="F88" s="11" t="s">
        <v>8</v>
      </c>
      <c r="H88" t="str">
        <f>TRIM(SUBSTITUTE(PROPER(C88)&amp;" "&amp;IF(OR(D88="County",D88="Township",D88="Village",D88="Charter Township"),D88,"")&amp;IF(D88="Township"," "&amp;"("&amp;VLOOKUP(A88,counties,3,0)&amp;")",""),"  "," "))</f>
        <v>Green Township (Alpena County)</v>
      </c>
    </row>
    <row r="89" spans="1:8" ht="15.75" thickBot="1" x14ac:dyDescent="0.3">
      <c r="A89">
        <f t="shared" si="1"/>
        <v>4</v>
      </c>
      <c r="B89" s="8">
        <v>2016</v>
      </c>
      <c r="C89" s="1" t="s">
        <v>91</v>
      </c>
      <c r="D89" s="1" t="s">
        <v>9</v>
      </c>
      <c r="E89" s="2" t="s">
        <v>7</v>
      </c>
      <c r="F89" s="9" t="s">
        <v>8</v>
      </c>
      <c r="H89" t="str">
        <f>TRIM(SUBSTITUTE(PROPER(C89)&amp;" "&amp;IF(OR(D89="County",D89="Township",D89="Village",D89="Charter Township"),D89,"")&amp;IF(D89="Township"," "&amp;"("&amp;VLOOKUP(A89,counties,3,0)&amp;")",""),"  "," "))</f>
        <v>Maple Ridge Township (Alpena County)</v>
      </c>
    </row>
    <row r="90" spans="1:8" ht="15.75" thickBot="1" x14ac:dyDescent="0.3">
      <c r="A90">
        <f t="shared" si="1"/>
        <v>4</v>
      </c>
      <c r="B90" s="10">
        <v>2016</v>
      </c>
      <c r="C90" s="3" t="s">
        <v>92</v>
      </c>
      <c r="D90" s="3" t="s">
        <v>42</v>
      </c>
      <c r="E90" s="4" t="s">
        <v>7</v>
      </c>
      <c r="F90" s="11" t="s">
        <v>8</v>
      </c>
      <c r="H90" t="str">
        <f>TRIM(SUBSTITUTE(PROPER(C90)&amp;" "&amp;IF(OR(D90="County",D90="Township",D90="Village",D90="Charter Township"),D90,"")&amp;IF(D90="Township"," "&amp;"("&amp;VLOOKUP(A90,counties,3,0)&amp;")",""),"  "," "))</f>
        <v>Northland Library Cooperative</v>
      </c>
    </row>
    <row r="91" spans="1:8" ht="15.75" thickBot="1" x14ac:dyDescent="0.3">
      <c r="A91">
        <f t="shared" si="1"/>
        <v>4</v>
      </c>
      <c r="B91" s="8">
        <v>2016</v>
      </c>
      <c r="C91" s="1" t="s">
        <v>93</v>
      </c>
      <c r="D91" s="1" t="s">
        <v>9</v>
      </c>
      <c r="E91" s="2" t="s">
        <v>7</v>
      </c>
      <c r="F91" s="9" t="s">
        <v>8</v>
      </c>
      <c r="H91" t="str">
        <f>TRIM(SUBSTITUTE(PROPER(C91)&amp;" "&amp;IF(OR(D91="County",D91="Township",D91="Village",D91="Charter Township"),D91,"")&amp;IF(D91="Township"," "&amp;"("&amp;VLOOKUP(A91,counties,3,0)&amp;")",""),"  "," "))</f>
        <v>Sanborn Township (Alpena County)</v>
      </c>
    </row>
    <row r="92" spans="1:8" ht="15.75" thickBot="1" x14ac:dyDescent="0.3">
      <c r="A92">
        <f t="shared" si="1"/>
        <v>4</v>
      </c>
      <c r="B92" s="10">
        <v>2016</v>
      </c>
      <c r="C92" s="3" t="s">
        <v>94</v>
      </c>
      <c r="D92" s="3" t="s">
        <v>17</v>
      </c>
      <c r="E92" s="4" t="s">
        <v>7</v>
      </c>
      <c r="F92" s="11" t="s">
        <v>8</v>
      </c>
      <c r="H92" t="str">
        <f>TRIM(SUBSTITUTE(PROPER(C92)&amp;" "&amp;IF(OR(D92="County",D92="Township",D92="Village",D92="Charter Township"),D92,"")&amp;IF(D92="Township"," "&amp;"("&amp;VLOOKUP(A92,counties,3,0)&amp;")",""),"  "," "))</f>
        <v>Thunder Bay Transportation Authority</v>
      </c>
    </row>
    <row r="93" spans="1:8" ht="15.75" thickBot="1" x14ac:dyDescent="0.3">
      <c r="A93">
        <f t="shared" si="1"/>
        <v>4</v>
      </c>
      <c r="B93" s="16">
        <v>2016</v>
      </c>
      <c r="C93" s="17" t="s">
        <v>95</v>
      </c>
      <c r="D93" s="17" t="s">
        <v>9</v>
      </c>
      <c r="E93" s="18" t="s">
        <v>7</v>
      </c>
      <c r="F93" s="19" t="s">
        <v>8</v>
      </c>
      <c r="H93" t="str">
        <f>TRIM(SUBSTITUTE(PROPER(C93)&amp;" "&amp;IF(OR(D93="County",D93="Township",D93="Village",D93="Charter Township"),D93,"")&amp;IF(D93="Township"," "&amp;"("&amp;VLOOKUP(A93,counties,3,0)&amp;")",""),"  "," "))</f>
        <v>Wellington Township (Alpena County)</v>
      </c>
    </row>
    <row r="94" spans="1:8" ht="16.5" thickTop="1" thickBot="1" x14ac:dyDescent="0.3">
      <c r="A94">
        <f t="shared" si="1"/>
        <v>5</v>
      </c>
      <c r="B94" s="5" t="s">
        <v>0</v>
      </c>
      <c r="C94" s="6" t="s">
        <v>1</v>
      </c>
      <c r="D94" s="6" t="s">
        <v>2</v>
      </c>
      <c r="E94" s="6" t="s">
        <v>3</v>
      </c>
      <c r="F94" s="7" t="s">
        <v>4</v>
      </c>
      <c r="H94" t="str">
        <f>TRIM(SUBSTITUTE(PROPER(C94)&amp;" "&amp;IF(OR(D94="County",D94="Township",D94="Village",D94="Charter Township"),D94,"")&amp;IF(D94="Township"," "&amp;"("&amp;VLOOKUP(A94,counties,3,0)&amp;")",""),"  "," "))</f>
        <v>Municipality</v>
      </c>
    </row>
    <row r="95" spans="1:8" ht="15.75" thickBot="1" x14ac:dyDescent="0.3">
      <c r="A95">
        <f t="shared" si="1"/>
        <v>5</v>
      </c>
      <c r="B95" s="8">
        <v>2016</v>
      </c>
      <c r="C95" s="1" t="s">
        <v>96</v>
      </c>
      <c r="D95" s="1" t="s">
        <v>42</v>
      </c>
      <c r="E95" s="2" t="s">
        <v>7</v>
      </c>
      <c r="F95" s="9" t="s">
        <v>8</v>
      </c>
      <c r="H95" t="str">
        <f>TRIM(SUBSTITUTE(PROPER(C95)&amp;" "&amp;IF(OR(D95="County",D95="Township",D95="Village",D95="Charter Township"),D95,"")&amp;IF(D95="Township"," "&amp;"("&amp;VLOOKUP(A95,counties,3,0)&amp;")",""),"  "," "))</f>
        <v>Alden District Library</v>
      </c>
    </row>
    <row r="96" spans="1:8" ht="15.75" thickBot="1" x14ac:dyDescent="0.3">
      <c r="A96">
        <f t="shared" si="1"/>
        <v>5</v>
      </c>
      <c r="B96" s="10">
        <v>2016</v>
      </c>
      <c r="C96" s="3" t="s">
        <v>97</v>
      </c>
      <c r="D96" s="3" t="s">
        <v>6</v>
      </c>
      <c r="E96" s="4" t="s">
        <v>7</v>
      </c>
      <c r="F96" s="11" t="s">
        <v>8</v>
      </c>
      <c r="H96" t="str">
        <f>TRIM(SUBSTITUTE(PROPER(C96)&amp;" "&amp;IF(OR(D96="County",D96="Township",D96="Village",D96="Charter Township"),D96,"")&amp;IF(D96="Township"," "&amp;"("&amp;VLOOKUP(A96,counties,3,0)&amp;")",""),"  "," "))</f>
        <v>Antrim County</v>
      </c>
    </row>
    <row r="97" spans="1:8" ht="15.75" thickBot="1" x14ac:dyDescent="0.3">
      <c r="A97">
        <f t="shared" si="1"/>
        <v>5</v>
      </c>
      <c r="B97" s="8">
        <v>2016</v>
      </c>
      <c r="C97" s="1" t="s">
        <v>98</v>
      </c>
      <c r="D97" s="1" t="s">
        <v>11</v>
      </c>
      <c r="E97" s="2" t="s">
        <v>7</v>
      </c>
      <c r="F97" s="9" t="s">
        <v>8</v>
      </c>
      <c r="H97" t="str">
        <f>TRIM(SUBSTITUTE(PROPER(C97)&amp;" "&amp;IF(OR(D97="County",D97="Township",D97="Village",D97="Charter Township"),D97,"")&amp;IF(D97="Township"," "&amp;"("&amp;VLOOKUP(A97,counties,3,0)&amp;")",""),"  "," "))</f>
        <v>Antrim County Road Commission</v>
      </c>
    </row>
    <row r="98" spans="1:8" ht="15.75" thickBot="1" x14ac:dyDescent="0.3">
      <c r="A98">
        <f t="shared" si="1"/>
        <v>5</v>
      </c>
      <c r="B98" s="10">
        <v>2016</v>
      </c>
      <c r="C98" s="3" t="s">
        <v>99</v>
      </c>
      <c r="D98" s="3" t="s">
        <v>17</v>
      </c>
      <c r="E98" s="4" t="s">
        <v>7</v>
      </c>
      <c r="F98" s="11" t="s">
        <v>8</v>
      </c>
      <c r="H98" t="str">
        <f>TRIM(SUBSTITUTE(PROPER(C98)&amp;" "&amp;IF(OR(D98="County",D98="Township",D98="Village",D98="Charter Township"),D98,"")&amp;IF(D98="Township"," "&amp;"("&amp;VLOOKUP(A98,counties,3,0)&amp;")",""),"  "," "))</f>
        <v>Antrim County Transportation</v>
      </c>
    </row>
    <row r="99" spans="1:8" ht="15.75" thickBot="1" x14ac:dyDescent="0.3">
      <c r="A99">
        <f t="shared" si="1"/>
        <v>5</v>
      </c>
      <c r="B99" s="8">
        <v>2016</v>
      </c>
      <c r="C99" s="1" t="s">
        <v>100</v>
      </c>
      <c r="D99" s="1" t="s">
        <v>9</v>
      </c>
      <c r="E99" s="2" t="s">
        <v>7</v>
      </c>
      <c r="F99" s="9" t="s">
        <v>19</v>
      </c>
      <c r="H99" t="str">
        <f>TRIM(SUBSTITUTE(PROPER(C99)&amp;" "&amp;IF(OR(D99="County",D99="Township",D99="Village",D99="Charter Township"),D99,"")&amp;IF(D99="Township"," "&amp;"("&amp;VLOOKUP(A99,counties,3,0)&amp;")",""),"  "," "))</f>
        <v>Banks Township (Antrim County)</v>
      </c>
    </row>
    <row r="100" spans="1:8" ht="15.75" thickBot="1" x14ac:dyDescent="0.3">
      <c r="A100">
        <f t="shared" si="1"/>
        <v>5</v>
      </c>
      <c r="B100" s="10">
        <v>2016</v>
      </c>
      <c r="C100" s="3" t="s">
        <v>101</v>
      </c>
      <c r="D100" s="3" t="s">
        <v>21</v>
      </c>
      <c r="E100" s="4" t="s">
        <v>7</v>
      </c>
      <c r="F100" s="11" t="s">
        <v>19</v>
      </c>
      <c r="H100" t="str">
        <f>TRIM(SUBSTITUTE(PROPER(C100)&amp;" "&amp;IF(OR(D100="County",D100="Township",D100="Village",D100="Charter Township"),D100,"")&amp;IF(D100="Township"," "&amp;"("&amp;VLOOKUP(A100,counties,3,0)&amp;")",""),"  "," "))</f>
        <v>Bellaire Village</v>
      </c>
    </row>
    <row r="101" spans="1:8" ht="15.75" thickBot="1" x14ac:dyDescent="0.3">
      <c r="A101">
        <f t="shared" si="1"/>
        <v>5</v>
      </c>
      <c r="B101" s="8">
        <v>2016</v>
      </c>
      <c r="C101" s="1" t="s">
        <v>102</v>
      </c>
      <c r="D101" s="1" t="s">
        <v>17</v>
      </c>
      <c r="E101" s="2" t="s">
        <v>7</v>
      </c>
      <c r="F101" s="9" t="s">
        <v>8</v>
      </c>
      <c r="H101" t="str">
        <f>TRIM(SUBSTITUTE(PROPER(C101)&amp;" "&amp;IF(OR(D101="County",D101="Township",D101="Village",D101="Charter Township"),D101,"")&amp;IF(D101="Township"," "&amp;"("&amp;VLOOKUP(A101,counties,3,0)&amp;")",""),"  "," "))</f>
        <v>Bellaire District Fire Authority</v>
      </c>
    </row>
    <row r="102" spans="1:8" ht="15.75" thickBot="1" x14ac:dyDescent="0.3">
      <c r="A102">
        <f t="shared" si="1"/>
        <v>5</v>
      </c>
      <c r="B102" s="10">
        <v>2016</v>
      </c>
      <c r="C102" s="3" t="s">
        <v>103</v>
      </c>
      <c r="D102" s="3" t="s">
        <v>42</v>
      </c>
      <c r="E102" s="4" t="s">
        <v>7</v>
      </c>
      <c r="F102" s="11" t="s">
        <v>8</v>
      </c>
      <c r="H102" t="str">
        <f>TRIM(SUBSTITUTE(PROPER(C102)&amp;" "&amp;IF(OR(D102="County",D102="Township",D102="Village",D102="Charter Township"),D102,"")&amp;IF(D102="Township"," "&amp;"("&amp;VLOOKUP(A102,counties,3,0)&amp;")",""),"  "," "))</f>
        <v>Bellaire Public Library</v>
      </c>
    </row>
    <row r="103" spans="1:8" ht="15.75" thickBot="1" x14ac:dyDescent="0.3">
      <c r="A103">
        <f t="shared" si="1"/>
        <v>5</v>
      </c>
      <c r="B103" s="8">
        <v>2016</v>
      </c>
      <c r="C103" s="1" t="s">
        <v>104</v>
      </c>
      <c r="D103" s="1" t="s">
        <v>9</v>
      </c>
      <c r="E103" s="2" t="s">
        <v>7</v>
      </c>
      <c r="F103" s="9" t="s">
        <v>19</v>
      </c>
      <c r="H103" t="str">
        <f>TRIM(SUBSTITUTE(PROPER(C103)&amp;" "&amp;IF(OR(D103="County",D103="Township",D103="Village",D103="Charter Township"),D103,"")&amp;IF(D103="Township"," "&amp;"("&amp;VLOOKUP(A103,counties,3,0)&amp;")",""),"  "," "))</f>
        <v>Central Lake Township (Antrim County)</v>
      </c>
    </row>
    <row r="104" spans="1:8" ht="15.75" thickBot="1" x14ac:dyDescent="0.3">
      <c r="A104">
        <f t="shared" si="1"/>
        <v>5</v>
      </c>
      <c r="B104" s="10">
        <v>2016</v>
      </c>
      <c r="C104" s="3" t="s">
        <v>104</v>
      </c>
      <c r="D104" s="3" t="s">
        <v>21</v>
      </c>
      <c r="E104" s="4" t="s">
        <v>7</v>
      </c>
      <c r="F104" s="11" t="s">
        <v>8</v>
      </c>
      <c r="H104" t="str">
        <f>TRIM(SUBSTITUTE(PROPER(C104)&amp;" "&amp;IF(OR(D104="County",D104="Township",D104="Village",D104="Charter Township"),D104,"")&amp;IF(D104="Township"," "&amp;"("&amp;VLOOKUP(A104,counties,3,0)&amp;")",""),"  "," "))</f>
        <v>Central Lake Village</v>
      </c>
    </row>
    <row r="105" spans="1:8" ht="15.75" thickBot="1" x14ac:dyDescent="0.3">
      <c r="A105">
        <f t="shared" si="1"/>
        <v>5</v>
      </c>
      <c r="B105" s="8">
        <v>2016</v>
      </c>
      <c r="C105" s="1" t="s">
        <v>105</v>
      </c>
      <c r="D105" s="1" t="s">
        <v>42</v>
      </c>
      <c r="E105" s="2" t="s">
        <v>7</v>
      </c>
      <c r="F105" s="9" t="s">
        <v>8</v>
      </c>
      <c r="H105" t="str">
        <f>TRIM(SUBSTITUTE(PROPER(C105)&amp;" "&amp;IF(OR(D105="County",D105="Township",D105="Village",D105="Charter Township"),D105,"")&amp;IF(D105="Township"," "&amp;"("&amp;VLOOKUP(A105,counties,3,0)&amp;")",""),"  "," "))</f>
        <v>Central Lake District Library</v>
      </c>
    </row>
    <row r="106" spans="1:8" ht="15.75" thickBot="1" x14ac:dyDescent="0.3">
      <c r="A106">
        <f t="shared" si="1"/>
        <v>5</v>
      </c>
      <c r="B106" s="10">
        <v>2016</v>
      </c>
      <c r="C106" s="3" t="s">
        <v>106</v>
      </c>
      <c r="D106" s="3" t="s">
        <v>9</v>
      </c>
      <c r="E106" s="4" t="s">
        <v>7</v>
      </c>
      <c r="F106" s="11" t="s">
        <v>8</v>
      </c>
      <c r="H106" t="str">
        <f>TRIM(SUBSTITUTE(PROPER(C106)&amp;" "&amp;IF(OR(D106="County",D106="Township",D106="Village",D106="Charter Township"),D106,"")&amp;IF(D106="Township"," "&amp;"("&amp;VLOOKUP(A106,counties,3,0)&amp;")",""),"  "," "))</f>
        <v>Custer Township (Antrim County)</v>
      </c>
    </row>
    <row r="107" spans="1:8" ht="15.75" thickBot="1" x14ac:dyDescent="0.3">
      <c r="A107">
        <f t="shared" si="1"/>
        <v>5</v>
      </c>
      <c r="B107" s="8">
        <v>2016</v>
      </c>
      <c r="C107" s="1" t="s">
        <v>107</v>
      </c>
      <c r="D107" s="1" t="s">
        <v>9</v>
      </c>
      <c r="E107" s="2" t="s">
        <v>7</v>
      </c>
      <c r="F107" s="9" t="s">
        <v>8</v>
      </c>
      <c r="H107" t="str">
        <f>TRIM(SUBSTITUTE(PROPER(C107)&amp;" "&amp;IF(OR(D107="County",D107="Township",D107="Village",D107="Charter Township"),D107,"")&amp;IF(D107="Township"," "&amp;"("&amp;VLOOKUP(A107,counties,3,0)&amp;")",""),"  "," "))</f>
        <v>Elk Rapids Township (Antrim County)</v>
      </c>
    </row>
    <row r="108" spans="1:8" ht="15.75" thickBot="1" x14ac:dyDescent="0.3">
      <c r="A108">
        <f t="shared" si="1"/>
        <v>5</v>
      </c>
      <c r="B108" s="10">
        <v>2016</v>
      </c>
      <c r="C108" s="3" t="s">
        <v>107</v>
      </c>
      <c r="D108" s="3" t="s">
        <v>21</v>
      </c>
      <c r="E108" s="4" t="s">
        <v>7</v>
      </c>
      <c r="F108" s="11" t="s">
        <v>8</v>
      </c>
      <c r="H108" t="str">
        <f>TRIM(SUBSTITUTE(PROPER(C108)&amp;" "&amp;IF(OR(D108="County",D108="Township",D108="Village",D108="Charter Township"),D108,"")&amp;IF(D108="Township"," "&amp;"("&amp;VLOOKUP(A108,counties,3,0)&amp;")",""),"  "," "))</f>
        <v>Elk Rapids Village</v>
      </c>
    </row>
    <row r="109" spans="1:8" ht="15.75" thickBot="1" x14ac:dyDescent="0.3">
      <c r="A109">
        <f t="shared" si="1"/>
        <v>5</v>
      </c>
      <c r="B109" s="8">
        <v>2016</v>
      </c>
      <c r="C109" s="1" t="s">
        <v>108</v>
      </c>
      <c r="D109" s="1" t="s">
        <v>42</v>
      </c>
      <c r="E109" s="2" t="s">
        <v>7</v>
      </c>
      <c r="F109" s="9" t="s">
        <v>8</v>
      </c>
      <c r="H109" t="str">
        <f>TRIM(SUBSTITUTE(PROPER(C109)&amp;" "&amp;IF(OR(D109="County",D109="Township",D109="Village",D109="Charter Township"),D109,"")&amp;IF(D109="Township"," "&amp;"("&amp;VLOOKUP(A109,counties,3,0)&amp;")",""),"  "," "))</f>
        <v>Elk Rapids District Library</v>
      </c>
    </row>
    <row r="110" spans="1:8" ht="15.75" thickBot="1" x14ac:dyDescent="0.3">
      <c r="A110">
        <f t="shared" si="1"/>
        <v>5</v>
      </c>
      <c r="B110" s="10">
        <v>2016</v>
      </c>
      <c r="C110" s="3" t="s">
        <v>109</v>
      </c>
      <c r="D110" s="3" t="s">
        <v>17</v>
      </c>
      <c r="E110" s="4" t="s">
        <v>7</v>
      </c>
      <c r="F110" s="11" t="s">
        <v>8</v>
      </c>
      <c r="H110" t="str">
        <f>TRIM(SUBSTITUTE(PROPER(C110)&amp;" "&amp;IF(OR(D110="County",D110="Township",D110="Village",D110="Charter Township"),D110,"")&amp;IF(D110="Township"," "&amp;"("&amp;VLOOKUP(A110,counties,3,0)&amp;")",""),"  "," "))</f>
        <v>Elk Rapids Village Housing Commission</v>
      </c>
    </row>
    <row r="111" spans="1:8" ht="15.75" thickBot="1" x14ac:dyDescent="0.3">
      <c r="A111">
        <f t="shared" si="1"/>
        <v>5</v>
      </c>
      <c r="B111" s="8">
        <v>2016</v>
      </c>
      <c r="C111" s="1" t="s">
        <v>110</v>
      </c>
      <c r="D111" s="1" t="s">
        <v>21</v>
      </c>
      <c r="E111" s="2" t="s">
        <v>7</v>
      </c>
      <c r="F111" s="9" t="s">
        <v>19</v>
      </c>
      <c r="H111" t="str">
        <f>TRIM(SUBSTITUTE(PROPER(C111)&amp;" "&amp;IF(OR(D111="County",D111="Township",D111="Village",D111="Charter Township"),D111,"")&amp;IF(D111="Township"," "&amp;"("&amp;VLOOKUP(A111,counties,3,0)&amp;")",""),"  "," "))</f>
        <v>Ellsworth Village</v>
      </c>
    </row>
    <row r="112" spans="1:8" ht="15.75" thickBot="1" x14ac:dyDescent="0.3">
      <c r="A112">
        <f t="shared" si="1"/>
        <v>5</v>
      </c>
      <c r="B112" s="10">
        <v>2016</v>
      </c>
      <c r="C112" s="3" t="s">
        <v>111</v>
      </c>
      <c r="D112" s="3" t="s">
        <v>9</v>
      </c>
      <c r="E112" s="4" t="s">
        <v>7</v>
      </c>
      <c r="F112" s="11" t="s">
        <v>8</v>
      </c>
      <c r="H112" t="str">
        <f>TRIM(SUBSTITUTE(PROPER(C112)&amp;" "&amp;IF(OR(D112="County",D112="Township",D112="Village",D112="Charter Township"),D112,"")&amp;IF(D112="Township"," "&amp;"("&amp;VLOOKUP(A112,counties,3,0)&amp;")",""),"  "," "))</f>
        <v>Forest Home Township (Antrim County)</v>
      </c>
    </row>
    <row r="113" spans="1:8" ht="15.75" thickBot="1" x14ac:dyDescent="0.3">
      <c r="A113">
        <f t="shared" si="1"/>
        <v>5</v>
      </c>
      <c r="B113" s="8">
        <v>2016</v>
      </c>
      <c r="C113" s="1" t="s">
        <v>112</v>
      </c>
      <c r="D113" s="1" t="s">
        <v>9</v>
      </c>
      <c r="E113" s="2" t="s">
        <v>7</v>
      </c>
      <c r="F113" s="9" t="s">
        <v>8</v>
      </c>
      <c r="H113" t="str">
        <f>TRIM(SUBSTITUTE(PROPER(C113)&amp;" "&amp;IF(OR(D113="County",D113="Township",D113="Village",D113="Charter Township"),D113,"")&amp;IF(D113="Township"," "&amp;"("&amp;VLOOKUP(A113,counties,3,0)&amp;")",""),"  "," "))</f>
        <v>Helena Township (Antrim County)</v>
      </c>
    </row>
    <row r="114" spans="1:8" ht="15.75" thickBot="1" x14ac:dyDescent="0.3">
      <c r="A114">
        <f t="shared" si="1"/>
        <v>5</v>
      </c>
      <c r="B114" s="10">
        <v>2016</v>
      </c>
      <c r="C114" s="3" t="s">
        <v>113</v>
      </c>
      <c r="D114" s="3" t="s">
        <v>9</v>
      </c>
      <c r="E114" s="4" t="s">
        <v>7</v>
      </c>
      <c r="F114" s="11" t="s">
        <v>8</v>
      </c>
      <c r="H114" t="str">
        <f>TRIM(SUBSTITUTE(PROPER(C114)&amp;" "&amp;IF(OR(D114="County",D114="Township",D114="Village",D114="Charter Township"),D114,"")&amp;IF(D114="Township"," "&amp;"("&amp;VLOOKUP(A114,counties,3,0)&amp;")",""),"  "," "))</f>
        <v>Jordan Township (Antrim County)</v>
      </c>
    </row>
    <row r="115" spans="1:8" ht="15.75" thickBot="1" x14ac:dyDescent="0.3">
      <c r="A115">
        <f t="shared" si="1"/>
        <v>5</v>
      </c>
      <c r="B115" s="8">
        <v>2016</v>
      </c>
      <c r="C115" s="1" t="s">
        <v>114</v>
      </c>
      <c r="D115" s="1" t="s">
        <v>9</v>
      </c>
      <c r="E115" s="2" t="s">
        <v>7</v>
      </c>
      <c r="F115" s="9" t="s">
        <v>8</v>
      </c>
      <c r="H115" t="str">
        <f>TRIM(SUBSTITUTE(PROPER(C115)&amp;" "&amp;IF(OR(D115="County",D115="Township",D115="Village",D115="Charter Township"),D115,"")&amp;IF(D115="Township"," "&amp;"("&amp;VLOOKUP(A115,counties,3,0)&amp;")",""),"  "," "))</f>
        <v>Kearney Township (Antrim County)</v>
      </c>
    </row>
    <row r="116" spans="1:8" ht="15.75" thickBot="1" x14ac:dyDescent="0.3">
      <c r="A116">
        <f t="shared" si="1"/>
        <v>5</v>
      </c>
      <c r="B116" s="10">
        <v>2016</v>
      </c>
      <c r="C116" s="3" t="s">
        <v>115</v>
      </c>
      <c r="D116" s="3" t="s">
        <v>9</v>
      </c>
      <c r="E116" s="4" t="s">
        <v>7</v>
      </c>
      <c r="F116" s="11" t="s">
        <v>19</v>
      </c>
      <c r="H116" t="str">
        <f>TRIM(SUBSTITUTE(PROPER(C116)&amp;" "&amp;IF(OR(D116="County",D116="Township",D116="Village",D116="Charter Township"),D116,"")&amp;IF(D116="Township"," "&amp;"("&amp;VLOOKUP(A116,counties,3,0)&amp;")",""),"  "," "))</f>
        <v>Mancelona Township (Antrim County)</v>
      </c>
    </row>
    <row r="117" spans="1:8" ht="15.75" thickBot="1" x14ac:dyDescent="0.3">
      <c r="A117">
        <f t="shared" si="1"/>
        <v>5</v>
      </c>
      <c r="B117" s="8">
        <v>2016</v>
      </c>
      <c r="C117" s="1" t="s">
        <v>115</v>
      </c>
      <c r="D117" s="1" t="s">
        <v>21</v>
      </c>
      <c r="E117" s="2" t="s">
        <v>7</v>
      </c>
      <c r="F117" s="9" t="s">
        <v>8</v>
      </c>
      <c r="H117" t="str">
        <f>TRIM(SUBSTITUTE(PROPER(C117)&amp;" "&amp;IF(OR(D117="County",D117="Township",D117="Village",D117="Charter Township"),D117,"")&amp;IF(D117="Township"," "&amp;"("&amp;VLOOKUP(A117,counties,3,0)&amp;")",""),"  "," "))</f>
        <v>Mancelona Village</v>
      </c>
    </row>
    <row r="118" spans="1:8" ht="15.75" thickBot="1" x14ac:dyDescent="0.3">
      <c r="A118">
        <f t="shared" si="1"/>
        <v>5</v>
      </c>
      <c r="B118" s="10">
        <v>2016</v>
      </c>
      <c r="C118" s="3" t="s">
        <v>116</v>
      </c>
      <c r="D118" s="3" t="s">
        <v>17</v>
      </c>
      <c r="E118" s="4" t="s">
        <v>7</v>
      </c>
      <c r="F118" s="11" t="s">
        <v>8</v>
      </c>
      <c r="H118" t="str">
        <f>TRIM(SUBSTITUTE(PROPER(C118)&amp;" "&amp;IF(OR(D118="County",D118="Township",D118="Village",D118="Charter Township"),D118,"")&amp;IF(D118="Township"," "&amp;"("&amp;VLOOKUP(A118,counties,3,0)&amp;")",""),"  "," "))</f>
        <v>Mancelona Area Water/Sewer Authority</v>
      </c>
    </row>
    <row r="119" spans="1:8" ht="15.75" thickBot="1" x14ac:dyDescent="0.3">
      <c r="A119">
        <f t="shared" si="1"/>
        <v>5</v>
      </c>
      <c r="B119" s="8">
        <v>2016</v>
      </c>
      <c r="C119" s="1" t="s">
        <v>117</v>
      </c>
      <c r="D119" s="1" t="s">
        <v>17</v>
      </c>
      <c r="E119" s="2" t="s">
        <v>7</v>
      </c>
      <c r="F119" s="9" t="s">
        <v>8</v>
      </c>
      <c r="H119" t="str">
        <f>TRIM(SUBSTITUTE(PROPER(C119)&amp;" "&amp;IF(OR(D119="County",D119="Township",D119="Village",D119="Charter Township"),D119,"")&amp;IF(D119="Township"," "&amp;"("&amp;VLOOKUP(A119,counties,3,0)&amp;")",""),"  "," "))</f>
        <v>Mancelona Village Downtown Development Authority</v>
      </c>
    </row>
    <row r="120" spans="1:8" ht="15.75" thickBot="1" x14ac:dyDescent="0.3">
      <c r="A120">
        <f t="shared" si="1"/>
        <v>5</v>
      </c>
      <c r="B120" s="10">
        <v>2016</v>
      </c>
      <c r="C120" s="3" t="s">
        <v>118</v>
      </c>
      <c r="D120" s="3" t="s">
        <v>17</v>
      </c>
      <c r="E120" s="4" t="s">
        <v>7</v>
      </c>
      <c r="F120" s="11" t="s">
        <v>8</v>
      </c>
      <c r="H120" t="str">
        <f>TRIM(SUBSTITUTE(PROPER(C120)&amp;" "&amp;IF(OR(D120="County",D120="Township",D120="Village",D120="Charter Township"),D120,"")&amp;IF(D120="Township"," "&amp;"("&amp;VLOOKUP(A120,counties,3,0)&amp;")",""),"  "," "))</f>
        <v>Meadow Brook Medical Care Facility</v>
      </c>
    </row>
    <row r="121" spans="1:8" ht="15.75" thickBot="1" x14ac:dyDescent="0.3">
      <c r="A121">
        <f t="shared" si="1"/>
        <v>5</v>
      </c>
      <c r="B121" s="8">
        <v>2016</v>
      </c>
      <c r="C121" s="1" t="s">
        <v>119</v>
      </c>
      <c r="D121" s="1" t="s">
        <v>9</v>
      </c>
      <c r="E121" s="2" t="s">
        <v>7</v>
      </c>
      <c r="F121" s="9" t="s">
        <v>8</v>
      </c>
      <c r="H121" t="str">
        <f>TRIM(SUBSTITUTE(PROPER(C121)&amp;" "&amp;IF(OR(D121="County",D121="Township",D121="Village",D121="Charter Township"),D121,"")&amp;IF(D121="Township"," "&amp;"("&amp;VLOOKUP(A121,counties,3,0)&amp;")",""),"  "," "))</f>
        <v>Milton Township (Antrim County)</v>
      </c>
    </row>
    <row r="122" spans="1:8" ht="15.75" thickBot="1" x14ac:dyDescent="0.3">
      <c r="A122">
        <f t="shared" si="1"/>
        <v>5</v>
      </c>
      <c r="B122" s="10">
        <v>2016</v>
      </c>
      <c r="C122" s="3" t="s">
        <v>120</v>
      </c>
      <c r="D122" s="3" t="s">
        <v>9</v>
      </c>
      <c r="E122" s="4" t="s">
        <v>7</v>
      </c>
      <c r="F122" s="11" t="s">
        <v>19</v>
      </c>
      <c r="H122" t="str">
        <f>TRIM(SUBSTITUTE(PROPER(C122)&amp;" "&amp;IF(OR(D122="County",D122="Township",D122="Village",D122="Charter Township"),D122,"")&amp;IF(D122="Township"," "&amp;"("&amp;VLOOKUP(A122,counties,3,0)&amp;")",""),"  "," "))</f>
        <v>Torch Lake Township (Antrim County)</v>
      </c>
    </row>
    <row r="123" spans="1:8" ht="15.75" thickBot="1" x14ac:dyDescent="0.3">
      <c r="A123">
        <f t="shared" si="1"/>
        <v>5</v>
      </c>
      <c r="B123" s="8">
        <v>2016</v>
      </c>
      <c r="C123" s="1" t="s">
        <v>121</v>
      </c>
      <c r="D123" s="1" t="s">
        <v>17</v>
      </c>
      <c r="E123" s="2" t="s">
        <v>7</v>
      </c>
      <c r="F123" s="9" t="s">
        <v>8</v>
      </c>
      <c r="H123" t="str">
        <f>TRIM(SUBSTITUTE(PROPER(C123)&amp;" "&amp;IF(OR(D123="County",D123="Township",D123="Village",D123="Charter Township"),D123,"")&amp;IF(D123="Township"," "&amp;"("&amp;VLOOKUP(A123,counties,3,0)&amp;")",""),"  "," "))</f>
        <v>Township Ambulance Authority</v>
      </c>
    </row>
    <row r="124" spans="1:8" ht="15.75" thickBot="1" x14ac:dyDescent="0.3">
      <c r="A124">
        <f t="shared" si="1"/>
        <v>5</v>
      </c>
      <c r="B124" s="12">
        <v>2016</v>
      </c>
      <c r="C124" s="13" t="s">
        <v>122</v>
      </c>
      <c r="D124" s="13" t="s">
        <v>9</v>
      </c>
      <c r="E124" s="14" t="s">
        <v>7</v>
      </c>
      <c r="F124" s="15" t="s">
        <v>8</v>
      </c>
      <c r="H124" t="str">
        <f>TRIM(SUBSTITUTE(PROPER(C124)&amp;" "&amp;IF(OR(D124="County",D124="Township",D124="Village",D124="Charter Township"),D124,"")&amp;IF(D124="Township"," "&amp;"("&amp;VLOOKUP(A124,counties,3,0)&amp;")",""),"  "," "))</f>
        <v>Warner Township (Antrim County)</v>
      </c>
    </row>
    <row r="125" spans="1:8" ht="16.5" thickTop="1" thickBot="1" x14ac:dyDescent="0.3">
      <c r="A125">
        <f t="shared" si="1"/>
        <v>6</v>
      </c>
      <c r="B125" s="5" t="s">
        <v>0</v>
      </c>
      <c r="C125" s="6" t="s">
        <v>1</v>
      </c>
      <c r="D125" s="6" t="s">
        <v>2</v>
      </c>
      <c r="E125" s="6" t="s">
        <v>3</v>
      </c>
      <c r="F125" s="7" t="s">
        <v>4</v>
      </c>
      <c r="H125" t="str">
        <f>TRIM(SUBSTITUTE(PROPER(C125)&amp;" "&amp;IF(OR(D125="County",D125="Township",D125="Village",D125="Charter Township"),D125,"")&amp;IF(D125="Township"," "&amp;"("&amp;VLOOKUP(A125,counties,3,0)&amp;")",""),"  "," "))</f>
        <v>Municipality</v>
      </c>
    </row>
    <row r="126" spans="1:8" ht="15.75" thickBot="1" x14ac:dyDescent="0.3">
      <c r="A126">
        <f t="shared" si="1"/>
        <v>6</v>
      </c>
      <c r="B126" s="8">
        <v>2016</v>
      </c>
      <c r="C126" s="1" t="s">
        <v>123</v>
      </c>
      <c r="D126" s="1" t="s">
        <v>9</v>
      </c>
      <c r="E126" s="2" t="s">
        <v>7</v>
      </c>
      <c r="F126" s="9" t="s">
        <v>8</v>
      </c>
      <c r="H126" t="str">
        <f>TRIM(SUBSTITUTE(PROPER(C126)&amp;" "&amp;IF(OR(D126="County",D126="Township",D126="Village",D126="Charter Township"),D126,"")&amp;IF(D126="Township"," "&amp;"("&amp;VLOOKUP(A126,counties,3,0)&amp;")",""),"  "," "))</f>
        <v>Adams Township (Arenac County)</v>
      </c>
    </row>
    <row r="127" spans="1:8" ht="15.75" thickBot="1" x14ac:dyDescent="0.3">
      <c r="A127">
        <f t="shared" si="1"/>
        <v>6</v>
      </c>
      <c r="B127" s="10">
        <v>2016</v>
      </c>
      <c r="C127" s="3" t="s">
        <v>124</v>
      </c>
      <c r="D127" s="3" t="s">
        <v>6</v>
      </c>
      <c r="E127" s="4" t="s">
        <v>7</v>
      </c>
      <c r="F127" s="11" t="s">
        <v>8</v>
      </c>
      <c r="H127" t="str">
        <f>TRIM(SUBSTITUTE(PROPER(C127)&amp;" "&amp;IF(OR(D127="County",D127="Township",D127="Village",D127="Charter Township"),D127,"")&amp;IF(D127="Township"," "&amp;"("&amp;VLOOKUP(A127,counties,3,0)&amp;")",""),"  "," "))</f>
        <v>Arenac County</v>
      </c>
    </row>
    <row r="128" spans="1:8" ht="15.75" thickBot="1" x14ac:dyDescent="0.3">
      <c r="A128">
        <f t="shared" si="1"/>
        <v>6</v>
      </c>
      <c r="B128" s="8">
        <v>2016</v>
      </c>
      <c r="C128" s="1" t="s">
        <v>124</v>
      </c>
      <c r="D128" s="1" t="s">
        <v>9</v>
      </c>
      <c r="E128" s="2" t="s">
        <v>7</v>
      </c>
      <c r="F128" s="9" t="s">
        <v>8</v>
      </c>
      <c r="H128" t="str">
        <f>TRIM(SUBSTITUTE(PROPER(C128)&amp;" "&amp;IF(OR(D128="County",D128="Township",D128="Village",D128="Charter Township"),D128,"")&amp;IF(D128="Township"," "&amp;"("&amp;VLOOKUP(A128,counties,3,0)&amp;")",""),"  "," "))</f>
        <v>Arenac Township (Arenac County)</v>
      </c>
    </row>
    <row r="129" spans="1:8" ht="15.75" thickBot="1" x14ac:dyDescent="0.3">
      <c r="A129">
        <f t="shared" si="1"/>
        <v>6</v>
      </c>
      <c r="B129" s="10">
        <v>2016</v>
      </c>
      <c r="C129" s="3" t="s">
        <v>125</v>
      </c>
      <c r="D129" s="3" t="s">
        <v>11</v>
      </c>
      <c r="E129" s="4" t="s">
        <v>7</v>
      </c>
      <c r="F129" s="11" t="s">
        <v>8</v>
      </c>
      <c r="H129" t="str">
        <f>TRIM(SUBSTITUTE(PROPER(C129)&amp;" "&amp;IF(OR(D129="County",D129="Township",D129="Village",D129="Charter Township"),D129,"")&amp;IF(D129="Township"," "&amp;"("&amp;VLOOKUP(A129,counties,3,0)&amp;")",""),"  "," "))</f>
        <v>Arenac County Road Commission</v>
      </c>
    </row>
    <row r="130" spans="1:8" ht="15.75" thickBot="1" x14ac:dyDescent="0.3">
      <c r="A130">
        <f t="shared" si="1"/>
        <v>6</v>
      </c>
      <c r="B130" s="8">
        <v>2016</v>
      </c>
      <c r="C130" s="1" t="s">
        <v>126</v>
      </c>
      <c r="D130" s="1" t="s">
        <v>17</v>
      </c>
      <c r="E130" s="2" t="s">
        <v>7</v>
      </c>
      <c r="F130" s="9" t="s">
        <v>8</v>
      </c>
      <c r="H130" t="str">
        <f>TRIM(SUBSTITUTE(PROPER(C130)&amp;" "&amp;IF(OR(D130="County",D130="Township",D130="Village",D130="Charter Township"),D130,"")&amp;IF(D130="Township"," "&amp;"("&amp;VLOOKUP(A130,counties,3,0)&amp;")",""),"  "," "))</f>
        <v>Arenac Heritage Route Authority</v>
      </c>
    </row>
    <row r="131" spans="1:8" ht="15.75" thickBot="1" x14ac:dyDescent="0.3">
      <c r="A131">
        <f t="shared" ref="A131:A194" si="2">IF(B131="Year",A130+1,A130)</f>
        <v>6</v>
      </c>
      <c r="B131" s="10">
        <v>2016</v>
      </c>
      <c r="C131" s="3" t="s">
        <v>127</v>
      </c>
      <c r="D131" s="3" t="s">
        <v>15</v>
      </c>
      <c r="E131" s="4" t="s">
        <v>7</v>
      </c>
      <c r="F131" s="11" t="s">
        <v>8</v>
      </c>
      <c r="H131" t="str">
        <f>TRIM(SUBSTITUTE(PROPER(C131)&amp;" "&amp;IF(OR(D131="County",D131="Township",D131="Village",D131="Charter Township"),D131,"")&amp;IF(D131="Township"," "&amp;"("&amp;VLOOKUP(A131,counties,3,0)&amp;")",""),"  "," "))</f>
        <v>Au Gres</v>
      </c>
    </row>
    <row r="132" spans="1:8" ht="15.75" thickBot="1" x14ac:dyDescent="0.3">
      <c r="A132">
        <f t="shared" si="2"/>
        <v>6</v>
      </c>
      <c r="B132" s="8">
        <v>2016</v>
      </c>
      <c r="C132" s="1" t="s">
        <v>127</v>
      </c>
      <c r="D132" s="1" t="s">
        <v>9</v>
      </c>
      <c r="E132" s="2" t="s">
        <v>7</v>
      </c>
      <c r="F132" s="9" t="s">
        <v>8</v>
      </c>
      <c r="H132" t="str">
        <f>TRIM(SUBSTITUTE(PROPER(C132)&amp;" "&amp;IF(OR(D132="County",D132="Township",D132="Village",D132="Charter Township"),D132,"")&amp;IF(D132="Township"," "&amp;"("&amp;VLOOKUP(A132,counties,3,0)&amp;")",""),"  "," "))</f>
        <v>Au Gres Township (Arenac County)</v>
      </c>
    </row>
    <row r="133" spans="1:8" ht="15.75" thickBot="1" x14ac:dyDescent="0.3">
      <c r="A133">
        <f t="shared" si="2"/>
        <v>6</v>
      </c>
      <c r="B133" s="10">
        <v>2016</v>
      </c>
      <c r="C133" s="3" t="s">
        <v>128</v>
      </c>
      <c r="D133" s="3" t="s">
        <v>17</v>
      </c>
      <c r="E133" s="4" t="s">
        <v>7</v>
      </c>
      <c r="F133" s="11" t="s">
        <v>8</v>
      </c>
      <c r="H133" t="str">
        <f>TRIM(SUBSTITUTE(PROPER(C133)&amp;" "&amp;IF(OR(D133="County",D133="Township",D133="Village",D133="Charter Township"),D133,"")&amp;IF(D133="Township"," "&amp;"("&amp;VLOOKUP(A133,counties,3,0)&amp;")",""),"  "," "))</f>
        <v>Augres Sims Whitney Fire And Rescue Authority</v>
      </c>
    </row>
    <row r="134" spans="1:8" ht="15.75" thickBot="1" x14ac:dyDescent="0.3">
      <c r="A134">
        <f t="shared" si="2"/>
        <v>6</v>
      </c>
      <c r="B134" s="8">
        <v>2016</v>
      </c>
      <c r="C134" s="1" t="s">
        <v>129</v>
      </c>
      <c r="D134" s="1" t="s">
        <v>9</v>
      </c>
      <c r="E134" s="2" t="s">
        <v>7</v>
      </c>
      <c r="F134" s="9" t="s">
        <v>8</v>
      </c>
      <c r="H134" t="str">
        <f>TRIM(SUBSTITUTE(PROPER(C134)&amp;" "&amp;IF(OR(D134="County",D134="Township",D134="Village",D134="Charter Township"),D134,"")&amp;IF(D134="Township"," "&amp;"("&amp;VLOOKUP(A134,counties,3,0)&amp;")",""),"  "," "))</f>
        <v>Deep River Township (Arenac County)</v>
      </c>
    </row>
    <row r="135" spans="1:8" ht="15.75" thickBot="1" x14ac:dyDescent="0.3">
      <c r="A135">
        <f t="shared" si="2"/>
        <v>6</v>
      </c>
      <c r="B135" s="10">
        <v>2016</v>
      </c>
      <c r="C135" s="3" t="s">
        <v>130</v>
      </c>
      <c r="D135" s="3" t="s">
        <v>9</v>
      </c>
      <c r="E135" s="4" t="s">
        <v>7</v>
      </c>
      <c r="F135" s="11" t="s">
        <v>8</v>
      </c>
      <c r="H135" t="str">
        <f>TRIM(SUBSTITUTE(PROPER(C135)&amp;" "&amp;IF(OR(D135="County",D135="Township",D135="Village",D135="Charter Township"),D135,"")&amp;IF(D135="Township"," "&amp;"("&amp;VLOOKUP(A135,counties,3,0)&amp;")",""),"  "," "))</f>
        <v>Mason Township (Arenac County)</v>
      </c>
    </row>
    <row r="136" spans="1:8" ht="15.75" thickBot="1" x14ac:dyDescent="0.3">
      <c r="A136">
        <f t="shared" si="2"/>
        <v>6</v>
      </c>
      <c r="B136" s="8">
        <v>2016</v>
      </c>
      <c r="C136" s="1" t="s">
        <v>131</v>
      </c>
      <c r="D136" s="1" t="s">
        <v>9</v>
      </c>
      <c r="E136" s="2" t="s">
        <v>7</v>
      </c>
      <c r="F136" s="9" t="s">
        <v>8</v>
      </c>
      <c r="H136" t="str">
        <f>TRIM(SUBSTITUTE(PROPER(C136)&amp;" "&amp;IF(OR(D136="County",D136="Township",D136="Village",D136="Charter Township"),D136,"")&amp;IF(D136="Township"," "&amp;"("&amp;VLOOKUP(A136,counties,3,0)&amp;")",""),"  "," "))</f>
        <v>Moffatt Township (Arenac County)</v>
      </c>
    </row>
    <row r="137" spans="1:8" ht="15.75" thickBot="1" x14ac:dyDescent="0.3">
      <c r="A137">
        <f t="shared" si="2"/>
        <v>6</v>
      </c>
      <c r="B137" s="10">
        <v>2016</v>
      </c>
      <c r="C137" s="3" t="s">
        <v>132</v>
      </c>
      <c r="D137" s="3" t="s">
        <v>15</v>
      </c>
      <c r="E137" s="4" t="s">
        <v>7</v>
      </c>
      <c r="F137" s="11" t="s">
        <v>8</v>
      </c>
      <c r="H137" t="str">
        <f>TRIM(SUBSTITUTE(PROPER(C137)&amp;" "&amp;IF(OR(D137="County",D137="Township",D137="Village",D137="Charter Township"),D137,"")&amp;IF(D137="Township"," "&amp;"("&amp;VLOOKUP(A137,counties,3,0)&amp;")",""),"  "," "))</f>
        <v>Omer</v>
      </c>
    </row>
    <row r="138" spans="1:8" ht="15.75" thickBot="1" x14ac:dyDescent="0.3">
      <c r="A138">
        <f t="shared" si="2"/>
        <v>6</v>
      </c>
      <c r="B138" s="8">
        <v>2016</v>
      </c>
      <c r="C138" s="1" t="s">
        <v>133</v>
      </c>
      <c r="D138" s="1" t="s">
        <v>9</v>
      </c>
      <c r="E138" s="2" t="s">
        <v>7</v>
      </c>
      <c r="F138" s="9" t="s">
        <v>8</v>
      </c>
      <c r="H138" t="str">
        <f>TRIM(SUBSTITUTE(PROPER(C138)&amp;" "&amp;IF(OR(D138="County",D138="Township",D138="Village",D138="Charter Township"),D138,"")&amp;IF(D138="Township"," "&amp;"("&amp;VLOOKUP(A138,counties,3,0)&amp;")",""),"  "," "))</f>
        <v>Sims Township (Arenac County)</v>
      </c>
    </row>
    <row r="139" spans="1:8" ht="15.75" thickBot="1" x14ac:dyDescent="0.3">
      <c r="A139">
        <f t="shared" si="2"/>
        <v>6</v>
      </c>
      <c r="B139" s="10">
        <v>2016</v>
      </c>
      <c r="C139" s="3" t="s">
        <v>134</v>
      </c>
      <c r="D139" s="3" t="s">
        <v>17</v>
      </c>
      <c r="E139" s="4" t="s">
        <v>7</v>
      </c>
      <c r="F139" s="11" t="s">
        <v>8</v>
      </c>
      <c r="H139" t="str">
        <f>TRIM(SUBSTITUTE(PROPER(C139)&amp;" "&amp;IF(OR(D139="County",D139="Township",D139="Village",D139="Charter Township"),D139,"")&amp;IF(D139="Township"," "&amp;"("&amp;VLOOKUP(A139,counties,3,0)&amp;")",""),"  "," "))</f>
        <v>Sims-Whitney Utilities Auth</v>
      </c>
    </row>
    <row r="140" spans="1:8" ht="15.75" thickBot="1" x14ac:dyDescent="0.3">
      <c r="A140">
        <f t="shared" si="2"/>
        <v>6</v>
      </c>
      <c r="B140" s="8">
        <v>2016</v>
      </c>
      <c r="C140" s="1" t="s">
        <v>135</v>
      </c>
      <c r="D140" s="1" t="s">
        <v>15</v>
      </c>
      <c r="E140" s="2" t="s">
        <v>7</v>
      </c>
      <c r="F140" s="9" t="s">
        <v>8</v>
      </c>
      <c r="H140" t="str">
        <f>TRIM(SUBSTITUTE(PROPER(C140)&amp;" "&amp;IF(OR(D140="County",D140="Township",D140="Village",D140="Charter Township"),D140,"")&amp;IF(D140="Township"," "&amp;"("&amp;VLOOKUP(A140,counties,3,0)&amp;")",""),"  "," "))</f>
        <v>Standish</v>
      </c>
    </row>
    <row r="141" spans="1:8" ht="15.75" thickBot="1" x14ac:dyDescent="0.3">
      <c r="A141">
        <f t="shared" si="2"/>
        <v>6</v>
      </c>
      <c r="B141" s="10">
        <v>2016</v>
      </c>
      <c r="C141" s="3" t="s">
        <v>135</v>
      </c>
      <c r="D141" s="3" t="s">
        <v>9</v>
      </c>
      <c r="E141" s="4" t="s">
        <v>7</v>
      </c>
      <c r="F141" s="11" t="s">
        <v>8</v>
      </c>
      <c r="H141" t="str">
        <f>TRIM(SUBSTITUTE(PROPER(C141)&amp;" "&amp;IF(OR(D141="County",D141="Township",D141="Village",D141="Charter Township"),D141,"")&amp;IF(D141="Township"," "&amp;"("&amp;VLOOKUP(A141,counties,3,0)&amp;")",""),"  "," "))</f>
        <v>Standish Township (Arenac County)</v>
      </c>
    </row>
    <row r="142" spans="1:8" ht="15.75" thickBot="1" x14ac:dyDescent="0.3">
      <c r="A142">
        <f t="shared" si="2"/>
        <v>6</v>
      </c>
      <c r="B142" s="8">
        <v>2016</v>
      </c>
      <c r="C142" s="1" t="s">
        <v>136</v>
      </c>
      <c r="D142" s="1" t="s">
        <v>17</v>
      </c>
      <c r="E142" s="2" t="s">
        <v>7</v>
      </c>
      <c r="F142" s="9" t="s">
        <v>8</v>
      </c>
      <c r="H142" t="str">
        <f>TRIM(SUBSTITUTE(PROPER(C142)&amp;" "&amp;IF(OR(D142="County",D142="Township",D142="Village",D142="Charter Township"),D142,"")&amp;IF(D142="Township"," "&amp;"("&amp;VLOOKUP(A142,counties,3,0)&amp;")",""),"  "," "))</f>
        <v>Standish Area Fire Authority</v>
      </c>
    </row>
    <row r="143" spans="1:8" ht="15.75" thickBot="1" x14ac:dyDescent="0.3">
      <c r="A143">
        <f t="shared" si="2"/>
        <v>6</v>
      </c>
      <c r="B143" s="10">
        <v>2016</v>
      </c>
      <c r="C143" s="3" t="s">
        <v>137</v>
      </c>
      <c r="D143" s="3" t="s">
        <v>21</v>
      </c>
      <c r="E143" s="4" t="s">
        <v>7</v>
      </c>
      <c r="F143" s="11" t="s">
        <v>8</v>
      </c>
      <c r="H143" t="str">
        <f>TRIM(SUBSTITUTE(PROPER(C143)&amp;" "&amp;IF(OR(D143="County",D143="Township",D143="Village",D143="Charter Township"),D143,"")&amp;IF(D143="Township"," "&amp;"("&amp;VLOOKUP(A143,counties,3,0)&amp;")",""),"  "," "))</f>
        <v>Sterling Village</v>
      </c>
    </row>
    <row r="144" spans="1:8" ht="15.75" thickBot="1" x14ac:dyDescent="0.3">
      <c r="A144">
        <f t="shared" si="2"/>
        <v>6</v>
      </c>
      <c r="B144" s="8">
        <v>2016</v>
      </c>
      <c r="C144" s="1" t="s">
        <v>138</v>
      </c>
      <c r="D144" s="1" t="s">
        <v>9</v>
      </c>
      <c r="E144" s="2" t="s">
        <v>7</v>
      </c>
      <c r="F144" s="9" t="s">
        <v>8</v>
      </c>
      <c r="H144" t="str">
        <f>TRIM(SUBSTITUTE(PROPER(C144)&amp;" "&amp;IF(OR(D144="County",D144="Township",D144="Village",D144="Charter Township"),D144,"")&amp;IF(D144="Township"," "&amp;"("&amp;VLOOKUP(A144,counties,3,0)&amp;")",""),"  "," "))</f>
        <v>Turner Township (Arenac County)</v>
      </c>
    </row>
    <row r="145" spans="1:8" ht="15.75" thickBot="1" x14ac:dyDescent="0.3">
      <c r="A145">
        <f t="shared" si="2"/>
        <v>6</v>
      </c>
      <c r="B145" s="10">
        <v>2016</v>
      </c>
      <c r="C145" s="3" t="s">
        <v>139</v>
      </c>
      <c r="D145" s="3" t="s">
        <v>21</v>
      </c>
      <c r="E145" s="4" t="s">
        <v>7</v>
      </c>
      <c r="F145" s="11" t="s">
        <v>8</v>
      </c>
      <c r="H145" t="str">
        <f>TRIM(SUBSTITUTE(PROPER(C145)&amp;" "&amp;IF(OR(D145="County",D145="Township",D145="Village",D145="Charter Township"),D145,"")&amp;IF(D145="Township"," "&amp;"("&amp;VLOOKUP(A145,counties,3,0)&amp;")",""),"  "," "))</f>
        <v>Twining Village</v>
      </c>
    </row>
    <row r="146" spans="1:8" ht="15.75" thickBot="1" x14ac:dyDescent="0.3">
      <c r="A146">
        <f t="shared" si="2"/>
        <v>6</v>
      </c>
      <c r="B146" s="8">
        <v>2016</v>
      </c>
      <c r="C146" s="1" t="s">
        <v>140</v>
      </c>
      <c r="D146" s="1" t="s">
        <v>17</v>
      </c>
      <c r="E146" s="2" t="s">
        <v>7</v>
      </c>
      <c r="F146" s="9" t="s">
        <v>8</v>
      </c>
      <c r="H146" t="str">
        <f>TRIM(SUBSTITUTE(PROPER(C146)&amp;" "&amp;IF(OR(D146="County",D146="Township",D146="Village",D146="Charter Township"),D146,"")&amp;IF(D146="Township"," "&amp;"("&amp;VLOOKUP(A146,counties,3,0)&amp;")",""),"  "," "))</f>
        <v>Twining-Mason-Turner Fire Department</v>
      </c>
    </row>
    <row r="147" spans="1:8" ht="15.75" thickBot="1" x14ac:dyDescent="0.3">
      <c r="A147">
        <f t="shared" si="2"/>
        <v>6</v>
      </c>
      <c r="B147" s="12">
        <v>2016</v>
      </c>
      <c r="C147" s="13" t="s">
        <v>141</v>
      </c>
      <c r="D147" s="13" t="s">
        <v>9</v>
      </c>
      <c r="E147" s="14" t="s">
        <v>7</v>
      </c>
      <c r="F147" s="15" t="s">
        <v>8</v>
      </c>
      <c r="H147" t="str">
        <f>TRIM(SUBSTITUTE(PROPER(C147)&amp;" "&amp;IF(OR(D147="County",D147="Township",D147="Village",D147="Charter Township"),D147,"")&amp;IF(D147="Township"," "&amp;"("&amp;VLOOKUP(A147,counties,3,0)&amp;")",""),"  "," "))</f>
        <v>Whitney Township (Arenac County)</v>
      </c>
    </row>
    <row r="148" spans="1:8" ht="16.5" thickTop="1" thickBot="1" x14ac:dyDescent="0.3">
      <c r="A148">
        <f t="shared" si="2"/>
        <v>7</v>
      </c>
      <c r="B148" s="5" t="s">
        <v>0</v>
      </c>
      <c r="C148" s="6" t="s">
        <v>1</v>
      </c>
      <c r="D148" s="6" t="s">
        <v>2</v>
      </c>
      <c r="E148" s="6" t="s">
        <v>3</v>
      </c>
      <c r="F148" s="7" t="s">
        <v>4</v>
      </c>
      <c r="H148" t="str">
        <f>TRIM(SUBSTITUTE(PROPER(C148)&amp;" "&amp;IF(OR(D148="County",D148="Township",D148="Village",D148="Charter Township"),D148,"")&amp;IF(D148="Township"," "&amp;"("&amp;VLOOKUP(A148,counties,3,0)&amp;")",""),"  "," "))</f>
        <v>Municipality</v>
      </c>
    </row>
    <row r="149" spans="1:8" ht="15.75" thickBot="1" x14ac:dyDescent="0.3">
      <c r="A149">
        <f t="shared" si="2"/>
        <v>7</v>
      </c>
      <c r="B149" s="8">
        <v>2016</v>
      </c>
      <c r="C149" s="1" t="s">
        <v>142</v>
      </c>
      <c r="D149" s="1" t="s">
        <v>9</v>
      </c>
      <c r="E149" s="2" t="s">
        <v>7</v>
      </c>
      <c r="F149" s="9" t="s">
        <v>19</v>
      </c>
      <c r="H149" t="str">
        <f>TRIM(SUBSTITUTE(PROPER(C149)&amp;" "&amp;IF(OR(D149="County",D149="Township",D149="Village",D149="Charter Township"),D149,"")&amp;IF(D149="Township"," "&amp;"("&amp;VLOOKUP(A149,counties,3,0)&amp;")",""),"  "," "))</f>
        <v>Arvon Township (Baraga County)</v>
      </c>
    </row>
    <row r="150" spans="1:8" ht="15.75" thickBot="1" x14ac:dyDescent="0.3">
      <c r="A150">
        <f t="shared" si="2"/>
        <v>7</v>
      </c>
      <c r="B150" s="10">
        <v>2016</v>
      </c>
      <c r="C150" s="3" t="s">
        <v>143</v>
      </c>
      <c r="D150" s="3" t="s">
        <v>6</v>
      </c>
      <c r="E150" s="4" t="s">
        <v>7</v>
      </c>
      <c r="F150" s="11" t="s">
        <v>8</v>
      </c>
      <c r="H150" t="str">
        <f>TRIM(SUBSTITUTE(PROPER(C150)&amp;" "&amp;IF(OR(D150="County",D150="Township",D150="Village",D150="Charter Township"),D150,"")&amp;IF(D150="Township"," "&amp;"("&amp;VLOOKUP(A150,counties,3,0)&amp;")",""),"  "," "))</f>
        <v>Baraga County</v>
      </c>
    </row>
    <row r="151" spans="1:8" ht="15.75" thickBot="1" x14ac:dyDescent="0.3">
      <c r="A151">
        <f t="shared" si="2"/>
        <v>7</v>
      </c>
      <c r="B151" s="8">
        <v>2016</v>
      </c>
      <c r="C151" s="1" t="s">
        <v>143</v>
      </c>
      <c r="D151" s="1" t="s">
        <v>21</v>
      </c>
      <c r="E151" s="2" t="s">
        <v>7</v>
      </c>
      <c r="F151" s="9" t="s">
        <v>19</v>
      </c>
      <c r="H151" t="str">
        <f>TRIM(SUBSTITUTE(PROPER(C151)&amp;" "&amp;IF(OR(D151="County",D151="Township",D151="Village",D151="Charter Township"),D151,"")&amp;IF(D151="Township"," "&amp;"("&amp;VLOOKUP(A151,counties,3,0)&amp;")",""),"  "," "))</f>
        <v>Baraga Village</v>
      </c>
    </row>
    <row r="152" spans="1:8" ht="15.75" thickBot="1" x14ac:dyDescent="0.3">
      <c r="A152">
        <f t="shared" si="2"/>
        <v>7</v>
      </c>
      <c r="B152" s="10">
        <v>2016</v>
      </c>
      <c r="C152" s="3" t="s">
        <v>144</v>
      </c>
      <c r="D152" s="3" t="s">
        <v>11</v>
      </c>
      <c r="E152" s="4" t="s">
        <v>7</v>
      </c>
      <c r="F152" s="11" t="s">
        <v>8</v>
      </c>
      <c r="H152" t="str">
        <f>TRIM(SUBSTITUTE(PROPER(C152)&amp;" "&amp;IF(OR(D152="County",D152="Township",D152="Village",D152="Charter Township"),D152,"")&amp;IF(D152="Township"," "&amp;"("&amp;VLOOKUP(A152,counties,3,0)&amp;")",""),"  "," "))</f>
        <v>Baraga Co Road Commission</v>
      </c>
    </row>
    <row r="153" spans="1:8" ht="21.75" thickBot="1" x14ac:dyDescent="0.3">
      <c r="A153">
        <f t="shared" si="2"/>
        <v>7</v>
      </c>
      <c r="B153" s="8">
        <v>2016</v>
      </c>
      <c r="C153" s="1" t="s">
        <v>145</v>
      </c>
      <c r="D153" s="1" t="s">
        <v>17</v>
      </c>
      <c r="E153" s="2" t="s">
        <v>7</v>
      </c>
      <c r="F153" s="9" t="s">
        <v>8</v>
      </c>
      <c r="H153" t="str">
        <f>TRIM(SUBSTITUTE(PROPER(C153)&amp;" "&amp;IF(OR(D153="County",D153="Township",D153="Village",D153="Charter Township"),D153,"")&amp;IF(D153="Township"," "&amp;"("&amp;VLOOKUP(A153,counties,3,0)&amp;")",""),"  "," "))</f>
        <v>Baraga Vil/Keweenaw Bay Reservation Wastewater Aut</v>
      </c>
    </row>
    <row r="154" spans="1:8" ht="15.75" thickBot="1" x14ac:dyDescent="0.3">
      <c r="A154">
        <f t="shared" si="2"/>
        <v>7</v>
      </c>
      <c r="B154" s="10">
        <v>2016</v>
      </c>
      <c r="C154" s="3" t="s">
        <v>146</v>
      </c>
      <c r="D154" s="3" t="s">
        <v>17</v>
      </c>
      <c r="E154" s="4" t="s">
        <v>7</v>
      </c>
      <c r="F154" s="11" t="s">
        <v>8</v>
      </c>
      <c r="H154" t="str">
        <f>TRIM(SUBSTITUTE(PROPER(C154)&amp;" "&amp;IF(OR(D154="County",D154="Township",D154="Village",D154="Charter Township"),D154,"")&amp;IF(D154="Township"," "&amp;"("&amp;VLOOKUP(A154,counties,3,0)&amp;")",""),"  "," "))</f>
        <v>Baraga Village Housing Commission</v>
      </c>
    </row>
    <row r="155" spans="1:8" ht="15.75" thickBot="1" x14ac:dyDescent="0.3">
      <c r="A155">
        <f t="shared" si="2"/>
        <v>7</v>
      </c>
      <c r="B155" s="8">
        <v>2016</v>
      </c>
      <c r="C155" s="1" t="s">
        <v>147</v>
      </c>
      <c r="D155" s="1" t="s">
        <v>17</v>
      </c>
      <c r="E155" s="2" t="s">
        <v>7</v>
      </c>
      <c r="F155" s="9" t="s">
        <v>8</v>
      </c>
      <c r="H155" t="str">
        <f>TRIM(SUBSTITUTE(PROPER(C155)&amp;" "&amp;IF(OR(D155="County",D155="Township",D155="Village",D155="Charter Township"),D155,"")&amp;IF(D155="Township"," "&amp;"("&amp;VLOOKUP(A155,counties,3,0)&amp;")",""),"  "," "))</f>
        <v>Copper Country Community Mental Health Servs Bd</v>
      </c>
    </row>
    <row r="156" spans="1:8" ht="15.75" thickBot="1" x14ac:dyDescent="0.3">
      <c r="A156">
        <f t="shared" si="2"/>
        <v>7</v>
      </c>
      <c r="B156" s="10">
        <v>2016</v>
      </c>
      <c r="C156" s="3" t="s">
        <v>148</v>
      </c>
      <c r="D156" s="3" t="s">
        <v>9</v>
      </c>
      <c r="E156" s="4" t="s">
        <v>7</v>
      </c>
      <c r="F156" s="11" t="s">
        <v>8</v>
      </c>
      <c r="H156" t="str">
        <f>TRIM(SUBSTITUTE(PROPER(C156)&amp;" "&amp;IF(OR(D156="County",D156="Township",D156="Village",D156="Charter Township"),D156,"")&amp;IF(D156="Township"," "&amp;"("&amp;VLOOKUP(A156,counties,3,0)&amp;")",""),"  "," "))</f>
        <v>Covington Township (Baraga County)</v>
      </c>
    </row>
    <row r="157" spans="1:8" ht="15.75" thickBot="1" x14ac:dyDescent="0.3">
      <c r="A157">
        <f t="shared" si="2"/>
        <v>7</v>
      </c>
      <c r="B157" s="8">
        <v>2016</v>
      </c>
      <c r="C157" s="1" t="s">
        <v>149</v>
      </c>
      <c r="D157" s="1" t="s">
        <v>17</v>
      </c>
      <c r="E157" s="2" t="s">
        <v>7</v>
      </c>
      <c r="F157" s="9" t="s">
        <v>8</v>
      </c>
      <c r="H157" t="str">
        <f>TRIM(SUBSTITUTE(PROPER(C157)&amp;" "&amp;IF(OR(D157="County",D157="Township",D157="Village",D157="Charter Township"),D157,"")&amp;IF(D157="Township"," "&amp;"("&amp;VLOOKUP(A157,counties,3,0)&amp;")",""),"  "," "))</f>
        <v>L Anse Village Housing Commission</v>
      </c>
    </row>
    <row r="158" spans="1:8" ht="15.75" thickBot="1" x14ac:dyDescent="0.3">
      <c r="A158">
        <f t="shared" si="2"/>
        <v>7</v>
      </c>
      <c r="B158" s="10">
        <v>2016</v>
      </c>
      <c r="C158" s="3" t="s">
        <v>150</v>
      </c>
      <c r="D158" s="3" t="s">
        <v>9</v>
      </c>
      <c r="E158" s="4" t="s">
        <v>7</v>
      </c>
      <c r="F158" s="11" t="s">
        <v>8</v>
      </c>
      <c r="H158" t="str">
        <f>TRIM(SUBSTITUTE(PROPER(C158)&amp;" "&amp;IF(OR(D158="County",D158="Township",D158="Village",D158="Charter Township"),D158,"")&amp;IF(D158="Township"," "&amp;"("&amp;VLOOKUP(A158,counties,3,0)&amp;")",""),"  "," "))</f>
        <v>L'Anse Township (Baraga County)</v>
      </c>
    </row>
    <row r="159" spans="1:8" ht="15.75" thickBot="1" x14ac:dyDescent="0.3">
      <c r="A159">
        <f t="shared" si="2"/>
        <v>7</v>
      </c>
      <c r="B159" s="8">
        <v>2016</v>
      </c>
      <c r="C159" s="1" t="s">
        <v>150</v>
      </c>
      <c r="D159" s="1" t="s">
        <v>21</v>
      </c>
      <c r="E159" s="2" t="s">
        <v>7</v>
      </c>
      <c r="F159" s="9" t="s">
        <v>8</v>
      </c>
      <c r="H159" t="str">
        <f>TRIM(SUBSTITUTE(PROPER(C159)&amp;" "&amp;IF(OR(D159="County",D159="Township",D159="Village",D159="Charter Township"),D159,"")&amp;IF(D159="Township"," "&amp;"("&amp;VLOOKUP(A159,counties,3,0)&amp;")",""),"  "," "))</f>
        <v>L'Anse Village</v>
      </c>
    </row>
    <row r="160" spans="1:8" ht="15.75" thickBot="1" x14ac:dyDescent="0.3">
      <c r="A160">
        <f t="shared" si="2"/>
        <v>7</v>
      </c>
      <c r="B160" s="12">
        <v>2016</v>
      </c>
      <c r="C160" s="13" t="s">
        <v>151</v>
      </c>
      <c r="D160" s="13" t="s">
        <v>9</v>
      </c>
      <c r="E160" s="14" t="s">
        <v>7</v>
      </c>
      <c r="F160" s="15" t="s">
        <v>8</v>
      </c>
      <c r="H160" t="str">
        <f>TRIM(SUBSTITUTE(PROPER(C160)&amp;" "&amp;IF(OR(D160="County",D160="Township",D160="Village",D160="Charter Township"),D160,"")&amp;IF(D160="Township"," "&amp;"("&amp;VLOOKUP(A160,counties,3,0)&amp;")",""),"  "," "))</f>
        <v>Spurr Township (Baraga County)</v>
      </c>
    </row>
    <row r="161" spans="1:8" ht="16.5" thickTop="1" thickBot="1" x14ac:dyDescent="0.3">
      <c r="A161">
        <f t="shared" si="2"/>
        <v>8</v>
      </c>
      <c r="B161" s="5" t="s">
        <v>0</v>
      </c>
      <c r="C161" s="6" t="s">
        <v>1</v>
      </c>
      <c r="D161" s="6" t="s">
        <v>2</v>
      </c>
      <c r="E161" s="6" t="s">
        <v>3</v>
      </c>
      <c r="F161" s="7" t="s">
        <v>4</v>
      </c>
      <c r="H161" t="str">
        <f>TRIM(SUBSTITUTE(PROPER(C161)&amp;" "&amp;IF(OR(D161="County",D161="Township",D161="Village",D161="Charter Township"),D161,"")&amp;IF(D161="Township"," "&amp;"("&amp;VLOOKUP(A161,counties,3,0)&amp;")",""),"  "," "))</f>
        <v>Municipality</v>
      </c>
    </row>
    <row r="162" spans="1:8" ht="15.75" thickBot="1" x14ac:dyDescent="0.3">
      <c r="A162">
        <f t="shared" si="2"/>
        <v>8</v>
      </c>
      <c r="B162" s="8">
        <v>2016</v>
      </c>
      <c r="C162" s="1" t="s">
        <v>152</v>
      </c>
      <c r="D162" s="1" t="s">
        <v>9</v>
      </c>
      <c r="E162" s="2" t="s">
        <v>7</v>
      </c>
      <c r="F162" s="9" t="s">
        <v>8</v>
      </c>
      <c r="H162" t="str">
        <f>TRIM(SUBSTITUTE(PROPER(C162)&amp;" "&amp;IF(OR(D162="County",D162="Township",D162="Village",D162="Charter Township"),D162,"")&amp;IF(D162="Township"," "&amp;"("&amp;VLOOKUP(A162,counties,3,0)&amp;")",""),"  "," "))</f>
        <v>Assyria Township (Barry County)</v>
      </c>
    </row>
    <row r="163" spans="1:8" ht="15.75" thickBot="1" x14ac:dyDescent="0.3">
      <c r="A163">
        <f t="shared" si="2"/>
        <v>8</v>
      </c>
      <c r="B163" s="10">
        <v>2016</v>
      </c>
      <c r="C163" s="3" t="s">
        <v>153</v>
      </c>
      <c r="D163" s="3" t="s">
        <v>9</v>
      </c>
      <c r="E163" s="4" t="s">
        <v>7</v>
      </c>
      <c r="F163" s="11" t="s">
        <v>8</v>
      </c>
      <c r="H163" t="str">
        <f>TRIM(SUBSTITUTE(PROPER(C163)&amp;" "&amp;IF(OR(D163="County",D163="Township",D163="Village",D163="Charter Township"),D163,"")&amp;IF(D163="Township"," "&amp;"("&amp;VLOOKUP(A163,counties,3,0)&amp;")",""),"  "," "))</f>
        <v>Baltimore Township (Barry County)</v>
      </c>
    </row>
    <row r="164" spans="1:8" ht="15.75" thickBot="1" x14ac:dyDescent="0.3">
      <c r="A164">
        <f t="shared" si="2"/>
        <v>8</v>
      </c>
      <c r="B164" s="8">
        <v>2016</v>
      </c>
      <c r="C164" s="1" t="s">
        <v>154</v>
      </c>
      <c r="D164" s="1" t="s">
        <v>6</v>
      </c>
      <c r="E164" s="2" t="s">
        <v>7</v>
      </c>
      <c r="F164" s="9" t="s">
        <v>8</v>
      </c>
      <c r="H164" t="str">
        <f>TRIM(SUBSTITUTE(PROPER(C164)&amp;" "&amp;IF(OR(D164="County",D164="Township",D164="Village",D164="Charter Township"),D164,"")&amp;IF(D164="Township"," "&amp;"("&amp;VLOOKUP(A164,counties,3,0)&amp;")",""),"  "," "))</f>
        <v>Barry County</v>
      </c>
    </row>
    <row r="165" spans="1:8" ht="15.75" thickBot="1" x14ac:dyDescent="0.3">
      <c r="A165">
        <f t="shared" si="2"/>
        <v>8</v>
      </c>
      <c r="B165" s="10">
        <v>2016</v>
      </c>
      <c r="C165" s="3" t="s">
        <v>154</v>
      </c>
      <c r="D165" s="3" t="s">
        <v>9</v>
      </c>
      <c r="E165" s="4" t="s">
        <v>7</v>
      </c>
      <c r="F165" s="11" t="s">
        <v>8</v>
      </c>
      <c r="H165" t="str">
        <f>TRIM(SUBSTITUTE(PROPER(C165)&amp;" "&amp;IF(OR(D165="County",D165="Township",D165="Village",D165="Charter Township"),D165,"")&amp;IF(D165="Township"," "&amp;"("&amp;VLOOKUP(A165,counties,3,0)&amp;")",""),"  "," "))</f>
        <v>Barry Township (Barry County)</v>
      </c>
    </row>
    <row r="166" spans="1:8" ht="15.75" thickBot="1" x14ac:dyDescent="0.3">
      <c r="A166">
        <f t="shared" si="2"/>
        <v>8</v>
      </c>
      <c r="B166" s="8">
        <v>2016</v>
      </c>
      <c r="C166" s="1" t="s">
        <v>155</v>
      </c>
      <c r="D166" s="1" t="s">
        <v>17</v>
      </c>
      <c r="E166" s="2" t="s">
        <v>7</v>
      </c>
      <c r="F166" s="9" t="s">
        <v>8</v>
      </c>
      <c r="H166" t="str">
        <f>TRIM(SUBSTITUTE(PROPER(C166)&amp;" "&amp;IF(OR(D166="County",D166="Township",D166="Village",D166="Charter Township"),D166,"")&amp;IF(D166="Township"," "&amp;"("&amp;VLOOKUP(A166,counties,3,0)&amp;")",""),"  "," "))</f>
        <v>Barry Co Community Mental Health Authority</v>
      </c>
    </row>
    <row r="167" spans="1:8" ht="15.75" thickBot="1" x14ac:dyDescent="0.3">
      <c r="A167">
        <f t="shared" si="2"/>
        <v>8</v>
      </c>
      <c r="B167" s="10">
        <v>2016</v>
      </c>
      <c r="C167" s="3" t="s">
        <v>156</v>
      </c>
      <c r="D167" s="3" t="s">
        <v>11</v>
      </c>
      <c r="E167" s="4" t="s">
        <v>7</v>
      </c>
      <c r="F167" s="11" t="s">
        <v>8</v>
      </c>
      <c r="H167" t="str">
        <f>TRIM(SUBSTITUTE(PROPER(C167)&amp;" "&amp;IF(OR(D167="County",D167="Township",D167="Village",D167="Charter Township"),D167,"")&amp;IF(D167="Township"," "&amp;"("&amp;VLOOKUP(A167,counties,3,0)&amp;")",""),"  "," "))</f>
        <v>Barry County Road Commission</v>
      </c>
    </row>
    <row r="168" spans="1:8" ht="15.75" thickBot="1" x14ac:dyDescent="0.3">
      <c r="A168">
        <f t="shared" si="2"/>
        <v>8</v>
      </c>
      <c r="B168" s="8">
        <v>2016</v>
      </c>
      <c r="C168" s="1" t="s">
        <v>157</v>
      </c>
      <c r="D168" s="1" t="s">
        <v>17</v>
      </c>
      <c r="E168" s="2" t="s">
        <v>7</v>
      </c>
      <c r="F168" s="9" t="s">
        <v>8</v>
      </c>
      <c r="H168" t="str">
        <f>TRIM(SUBSTITUTE(PROPER(C168)&amp;" "&amp;IF(OR(D168="County",D168="Township",D168="Village",D168="Charter Township"),D168,"")&amp;IF(D168="Township"," "&amp;"("&amp;VLOOKUP(A168,counties,3,0)&amp;")",""),"  "," "))</f>
        <v>Barry County Transit</v>
      </c>
    </row>
    <row r="169" spans="1:8" ht="15.75" thickBot="1" x14ac:dyDescent="0.3">
      <c r="A169">
        <f t="shared" si="2"/>
        <v>8</v>
      </c>
      <c r="B169" s="10">
        <v>2016</v>
      </c>
      <c r="C169" s="3" t="s">
        <v>158</v>
      </c>
      <c r="D169" s="3" t="s">
        <v>17</v>
      </c>
      <c r="E169" s="4" t="s">
        <v>7</v>
      </c>
      <c r="F169" s="11" t="s">
        <v>8</v>
      </c>
      <c r="H169" t="str">
        <f>TRIM(SUBSTITUTE(PROPER(C169)&amp;" "&amp;IF(OR(D169="County",D169="Township",D169="Village",D169="Charter Township"),D169,"")&amp;IF(D169="Township"," "&amp;"("&amp;VLOOKUP(A169,counties,3,0)&amp;")",""),"  "," "))</f>
        <v>Birch Rural Fire Department</v>
      </c>
    </row>
    <row r="170" spans="1:8" ht="15.75" thickBot="1" x14ac:dyDescent="0.3">
      <c r="A170">
        <f t="shared" si="2"/>
        <v>8</v>
      </c>
      <c r="B170" s="8">
        <v>2016</v>
      </c>
      <c r="C170" s="1" t="s">
        <v>159</v>
      </c>
      <c r="D170" s="1" t="s">
        <v>9</v>
      </c>
      <c r="E170" s="2" t="s">
        <v>7</v>
      </c>
      <c r="F170" s="9" t="s">
        <v>8</v>
      </c>
      <c r="H170" t="str">
        <f>TRIM(SUBSTITUTE(PROPER(C170)&amp;" "&amp;IF(OR(D170="County",D170="Township",D170="Village",D170="Charter Township"),D170,"")&amp;IF(D170="Township"," "&amp;"("&amp;VLOOKUP(A170,counties,3,0)&amp;")",""),"  "," "))</f>
        <v>Carlton Township (Barry County)</v>
      </c>
    </row>
    <row r="171" spans="1:8" ht="15.75" thickBot="1" x14ac:dyDescent="0.3">
      <c r="A171">
        <f t="shared" si="2"/>
        <v>8</v>
      </c>
      <c r="B171" s="10">
        <v>2016</v>
      </c>
      <c r="C171" s="3" t="s">
        <v>160</v>
      </c>
      <c r="D171" s="3" t="s">
        <v>9</v>
      </c>
      <c r="E171" s="4" t="s">
        <v>7</v>
      </c>
      <c r="F171" s="11" t="s">
        <v>8</v>
      </c>
      <c r="H171" t="str">
        <f>TRIM(SUBSTITUTE(PROPER(C171)&amp;" "&amp;IF(OR(D171="County",D171="Township",D171="Village",D171="Charter Township"),D171,"")&amp;IF(D171="Township"," "&amp;"("&amp;VLOOKUP(A171,counties,3,0)&amp;")",""),"  "," "))</f>
        <v>Castleton Township (Barry County)</v>
      </c>
    </row>
    <row r="172" spans="1:8" ht="15.75" thickBot="1" x14ac:dyDescent="0.3">
      <c r="A172">
        <f t="shared" si="2"/>
        <v>8</v>
      </c>
      <c r="B172" s="8">
        <v>2016</v>
      </c>
      <c r="C172" s="1" t="s">
        <v>161</v>
      </c>
      <c r="D172" s="1" t="s">
        <v>17</v>
      </c>
      <c r="E172" s="2" t="s">
        <v>7</v>
      </c>
      <c r="F172" s="9" t="s">
        <v>8</v>
      </c>
      <c r="H172" t="str">
        <f>TRIM(SUBSTITUTE(PROPER(C172)&amp;" "&amp;IF(OR(D172="County",D172="Township",D172="Village",D172="Charter Township"),D172,"")&amp;IF(D172="Township"," "&amp;"("&amp;VLOOKUP(A172,counties,3,0)&amp;")",""),"  "," "))</f>
        <v>Castleton Maple Grove And Nashville Ems Dept</v>
      </c>
    </row>
    <row r="173" spans="1:8" ht="15.75" thickBot="1" x14ac:dyDescent="0.3">
      <c r="A173">
        <f t="shared" si="2"/>
        <v>8</v>
      </c>
      <c r="B173" s="10">
        <v>2016</v>
      </c>
      <c r="C173" s="3" t="s">
        <v>162</v>
      </c>
      <c r="D173" s="3" t="s">
        <v>17</v>
      </c>
      <c r="E173" s="4" t="s">
        <v>7</v>
      </c>
      <c r="F173" s="11" t="s">
        <v>8</v>
      </c>
      <c r="H173" t="str">
        <f>TRIM(SUBSTITUTE(PROPER(C173)&amp;" "&amp;IF(OR(D173="County",D173="Township",D173="Village",D173="Charter Township"),D173,"")&amp;IF(D173="Township"," "&amp;"("&amp;VLOOKUP(A173,counties,3,0)&amp;")",""),"  "," "))</f>
        <v>Castleton Maple Grove And Nashville Fire Dept</v>
      </c>
    </row>
    <row r="174" spans="1:8" ht="15.75" thickBot="1" x14ac:dyDescent="0.3">
      <c r="A174">
        <f t="shared" si="2"/>
        <v>8</v>
      </c>
      <c r="B174" s="8">
        <v>2016</v>
      </c>
      <c r="C174" s="1" t="s">
        <v>163</v>
      </c>
      <c r="D174" s="1" t="s">
        <v>42</v>
      </c>
      <c r="E174" s="2" t="s">
        <v>7</v>
      </c>
      <c r="F174" s="9" t="s">
        <v>8</v>
      </c>
      <c r="H174" t="str">
        <f>TRIM(SUBSTITUTE(PROPER(C174)&amp;" "&amp;IF(OR(D174="County",D174="Township",D174="Village",D174="Charter Township"),D174,"")&amp;IF(D174="Township"," "&amp;"("&amp;VLOOKUP(A174,counties,3,0)&amp;")",""),"  "," "))</f>
        <v>Delton District Library</v>
      </c>
    </row>
    <row r="175" spans="1:8" ht="15.75" thickBot="1" x14ac:dyDescent="0.3">
      <c r="A175">
        <f t="shared" si="2"/>
        <v>8</v>
      </c>
      <c r="B175" s="10">
        <v>2016</v>
      </c>
      <c r="C175" s="3" t="s">
        <v>164</v>
      </c>
      <c r="D175" s="3" t="s">
        <v>17</v>
      </c>
      <c r="E175" s="4" t="s">
        <v>7</v>
      </c>
      <c r="F175" s="11" t="s">
        <v>8</v>
      </c>
      <c r="H175" t="str">
        <f>TRIM(SUBSTITUTE(PROPER(C175)&amp;" "&amp;IF(OR(D175="County",D175="Township",D175="Village",D175="Charter Township"),D175,"")&amp;IF(D175="Township"," "&amp;"("&amp;VLOOKUP(A175,counties,3,0)&amp;")",""),"  "," "))</f>
        <v>Delton Fire Department</v>
      </c>
    </row>
    <row r="176" spans="1:8" ht="15.75" thickBot="1" x14ac:dyDescent="0.3">
      <c r="A176">
        <f t="shared" si="2"/>
        <v>8</v>
      </c>
      <c r="B176" s="8">
        <v>2016</v>
      </c>
      <c r="C176" s="1" t="s">
        <v>165</v>
      </c>
      <c r="D176" s="1" t="s">
        <v>21</v>
      </c>
      <c r="E176" s="2" t="s">
        <v>7</v>
      </c>
      <c r="F176" s="9" t="s">
        <v>8</v>
      </c>
      <c r="H176" t="str">
        <f>TRIM(SUBSTITUTE(PROPER(C176)&amp;" "&amp;IF(OR(D176="County",D176="Township",D176="Village",D176="Charter Township"),D176,"")&amp;IF(D176="Township"," "&amp;"("&amp;VLOOKUP(A176,counties,3,0)&amp;")",""),"  "," "))</f>
        <v>Freeport Village</v>
      </c>
    </row>
    <row r="177" spans="1:8" ht="15.75" thickBot="1" x14ac:dyDescent="0.3">
      <c r="A177">
        <f t="shared" si="2"/>
        <v>8</v>
      </c>
      <c r="B177" s="10">
        <v>2016</v>
      </c>
      <c r="C177" s="3" t="s">
        <v>166</v>
      </c>
      <c r="D177" s="3" t="s">
        <v>42</v>
      </c>
      <c r="E177" s="4" t="s">
        <v>7</v>
      </c>
      <c r="F177" s="11" t="s">
        <v>8</v>
      </c>
      <c r="H177" t="str">
        <f>TRIM(SUBSTITUTE(PROPER(C177)&amp;" "&amp;IF(OR(D177="County",D177="Township",D177="Village",D177="Charter Township"),D177,"")&amp;IF(D177="Township"," "&amp;"("&amp;VLOOKUP(A177,counties,3,0)&amp;")",""),"  "," "))</f>
        <v>Freeport District Library</v>
      </c>
    </row>
    <row r="178" spans="1:8" ht="15.75" thickBot="1" x14ac:dyDescent="0.3">
      <c r="A178">
        <f t="shared" si="2"/>
        <v>8</v>
      </c>
      <c r="B178" s="8">
        <v>2016</v>
      </c>
      <c r="C178" s="1" t="s">
        <v>167</v>
      </c>
      <c r="D178" s="1" t="s">
        <v>17</v>
      </c>
      <c r="E178" s="2" t="s">
        <v>7</v>
      </c>
      <c r="F178" s="9" t="s">
        <v>8</v>
      </c>
      <c r="H178" t="str">
        <f>TRIM(SUBSTITUTE(PROPER(C178)&amp;" "&amp;IF(OR(D178="County",D178="Township",D178="Village",D178="Charter Township"),D178,"")&amp;IF(D178="Township"," "&amp;"("&amp;VLOOKUP(A178,counties,3,0)&amp;")",""),"  "," "))</f>
        <v>Gun Lake Area Sewer &amp; Water Authority</v>
      </c>
    </row>
    <row r="179" spans="1:8" ht="15.75" thickBot="1" x14ac:dyDescent="0.3">
      <c r="A179">
        <f t="shared" si="2"/>
        <v>8</v>
      </c>
      <c r="B179" s="10">
        <v>2016</v>
      </c>
      <c r="C179" s="3" t="s">
        <v>168</v>
      </c>
      <c r="D179" s="3" t="s">
        <v>15</v>
      </c>
      <c r="E179" s="4" t="s">
        <v>7</v>
      </c>
      <c r="F179" s="11" t="s">
        <v>8</v>
      </c>
      <c r="H179" t="str">
        <f>TRIM(SUBSTITUTE(PROPER(C179)&amp;" "&amp;IF(OR(D179="County",D179="Township",D179="Village",D179="Charter Township"),D179,"")&amp;IF(D179="Township"," "&amp;"("&amp;VLOOKUP(A179,counties,3,0)&amp;")",""),"  "," "))</f>
        <v>Hastings</v>
      </c>
    </row>
    <row r="180" spans="1:8" ht="15.75" thickBot="1" x14ac:dyDescent="0.3">
      <c r="A180">
        <f t="shared" si="2"/>
        <v>8</v>
      </c>
      <c r="B180" s="8">
        <v>2016</v>
      </c>
      <c r="C180" s="1" t="s">
        <v>169</v>
      </c>
      <c r="D180" s="1" t="s">
        <v>9</v>
      </c>
      <c r="E180" s="2" t="s">
        <v>7</v>
      </c>
      <c r="F180" s="9" t="s">
        <v>8</v>
      </c>
      <c r="H180" t="str">
        <f>TRIM(SUBSTITUTE(PROPER(C180)&amp;" "&amp;IF(OR(D180="County",D180="Township",D180="Village",D180="Charter Township"),D180,"")&amp;IF(D180="Township"," "&amp;"("&amp;VLOOKUP(A180,counties,3,0)&amp;")",""),"  "," "))</f>
        <v>Hastings Charter Township (Barry County)</v>
      </c>
    </row>
    <row r="181" spans="1:8" ht="15.75" thickBot="1" x14ac:dyDescent="0.3">
      <c r="A181">
        <f t="shared" si="2"/>
        <v>8</v>
      </c>
      <c r="B181" s="10">
        <v>2016</v>
      </c>
      <c r="C181" s="3" t="s">
        <v>170</v>
      </c>
      <c r="D181" s="3" t="s">
        <v>9</v>
      </c>
      <c r="E181" s="4" t="s">
        <v>7</v>
      </c>
      <c r="F181" s="11" t="s">
        <v>8</v>
      </c>
      <c r="H181" t="str">
        <f>TRIM(SUBSTITUTE(PROPER(C181)&amp;" "&amp;IF(OR(D181="County",D181="Township",D181="Village",D181="Charter Township"),D181,"")&amp;IF(D181="Township"," "&amp;"("&amp;VLOOKUP(A181,counties,3,0)&amp;")",""),"  "," "))</f>
        <v>Hope Township (Barry County)</v>
      </c>
    </row>
    <row r="182" spans="1:8" ht="15.75" thickBot="1" x14ac:dyDescent="0.3">
      <c r="A182">
        <f t="shared" si="2"/>
        <v>8</v>
      </c>
      <c r="B182" s="8">
        <v>2016</v>
      </c>
      <c r="C182" s="1" t="s">
        <v>171</v>
      </c>
      <c r="D182" s="1" t="s">
        <v>9</v>
      </c>
      <c r="E182" s="2" t="s">
        <v>7</v>
      </c>
      <c r="F182" s="9" t="s">
        <v>19</v>
      </c>
      <c r="H182" t="str">
        <f>TRIM(SUBSTITUTE(PROPER(C182)&amp;" "&amp;IF(OR(D182="County",D182="Township",D182="Village",D182="Charter Township"),D182,"")&amp;IF(D182="Township"," "&amp;"("&amp;VLOOKUP(A182,counties,3,0)&amp;")",""),"  "," "))</f>
        <v>Irving Township (Barry County)</v>
      </c>
    </row>
    <row r="183" spans="1:8" ht="15.75" thickBot="1" x14ac:dyDescent="0.3">
      <c r="A183">
        <f t="shared" si="2"/>
        <v>8</v>
      </c>
      <c r="B183" s="10">
        <v>2016</v>
      </c>
      <c r="C183" s="3" t="s">
        <v>172</v>
      </c>
      <c r="D183" s="3" t="s">
        <v>9</v>
      </c>
      <c r="E183" s="4" t="s">
        <v>7</v>
      </c>
      <c r="F183" s="11" t="s">
        <v>8</v>
      </c>
      <c r="H183" t="str">
        <f>TRIM(SUBSTITUTE(PROPER(C183)&amp;" "&amp;IF(OR(D183="County",D183="Township",D183="Village",D183="Charter Township"),D183,"")&amp;IF(D183="Township"," "&amp;"("&amp;VLOOKUP(A183,counties,3,0)&amp;")",""),"  "," "))</f>
        <v>Johnstown Township (Barry County)</v>
      </c>
    </row>
    <row r="184" spans="1:8" ht="15.75" thickBot="1" x14ac:dyDescent="0.3">
      <c r="A184">
        <f t="shared" si="2"/>
        <v>8</v>
      </c>
      <c r="B184" s="8">
        <v>2016</v>
      </c>
      <c r="C184" s="1" t="s">
        <v>173</v>
      </c>
      <c r="D184" s="1" t="s">
        <v>9</v>
      </c>
      <c r="E184" s="2" t="s">
        <v>7</v>
      </c>
      <c r="F184" s="9" t="s">
        <v>8</v>
      </c>
      <c r="H184" t="str">
        <f>TRIM(SUBSTITUTE(PROPER(C184)&amp;" "&amp;IF(OR(D184="County",D184="Township",D184="Village",D184="Charter Township"),D184,"")&amp;IF(D184="Township"," "&amp;"("&amp;VLOOKUP(A184,counties,3,0)&amp;")",""),"  "," "))</f>
        <v>Maple Grove Township (Barry County)</v>
      </c>
    </row>
    <row r="185" spans="1:8" ht="15.75" thickBot="1" x14ac:dyDescent="0.3">
      <c r="A185">
        <f t="shared" si="2"/>
        <v>8</v>
      </c>
      <c r="B185" s="10">
        <v>2016</v>
      </c>
      <c r="C185" s="3" t="s">
        <v>174</v>
      </c>
      <c r="D185" s="3" t="s">
        <v>21</v>
      </c>
      <c r="E185" s="4" t="s">
        <v>7</v>
      </c>
      <c r="F185" s="11" t="s">
        <v>8</v>
      </c>
      <c r="H185" t="str">
        <f>TRIM(SUBSTITUTE(PROPER(C185)&amp;" "&amp;IF(OR(D185="County",D185="Township",D185="Village",D185="Charter Township"),D185,"")&amp;IF(D185="Township"," "&amp;"("&amp;VLOOKUP(A185,counties,3,0)&amp;")",""),"  "," "))</f>
        <v>Middleville Village</v>
      </c>
    </row>
    <row r="186" spans="1:8" ht="15.75" thickBot="1" x14ac:dyDescent="0.3">
      <c r="A186">
        <f t="shared" si="2"/>
        <v>8</v>
      </c>
      <c r="B186" s="8">
        <v>2016</v>
      </c>
      <c r="C186" s="1" t="s">
        <v>175</v>
      </c>
      <c r="D186" s="1" t="s">
        <v>17</v>
      </c>
      <c r="E186" s="2" t="s">
        <v>7</v>
      </c>
      <c r="F186" s="9" t="s">
        <v>8</v>
      </c>
      <c r="H186" t="str">
        <f>TRIM(SUBSTITUTE(PROPER(C186)&amp;" "&amp;IF(OR(D186="County",D186="Township",D186="Village",D186="Charter Township"),D186,"")&amp;IF(D186="Township"," "&amp;"("&amp;VLOOKUP(A186,counties,3,0)&amp;")",""),"  "," "))</f>
        <v>Middleville Village Housing Commission</v>
      </c>
    </row>
    <row r="187" spans="1:8" ht="15.75" thickBot="1" x14ac:dyDescent="0.3">
      <c r="A187">
        <f t="shared" si="2"/>
        <v>8</v>
      </c>
      <c r="B187" s="10">
        <v>2016</v>
      </c>
      <c r="C187" s="3" t="s">
        <v>176</v>
      </c>
      <c r="D187" s="3" t="s">
        <v>21</v>
      </c>
      <c r="E187" s="4" t="s">
        <v>7</v>
      </c>
      <c r="F187" s="11" t="s">
        <v>8</v>
      </c>
      <c r="H187" t="str">
        <f>TRIM(SUBSTITUTE(PROPER(C187)&amp;" "&amp;IF(OR(D187="County",D187="Township",D187="Village",D187="Charter Township"),D187,"")&amp;IF(D187="Township"," "&amp;"("&amp;VLOOKUP(A187,counties,3,0)&amp;")",""),"  "," "))</f>
        <v>Nashville Village</v>
      </c>
    </row>
    <row r="188" spans="1:8" ht="15.75" thickBot="1" x14ac:dyDescent="0.3">
      <c r="A188">
        <f t="shared" si="2"/>
        <v>8</v>
      </c>
      <c r="B188" s="8">
        <v>2016</v>
      </c>
      <c r="C188" s="1" t="s">
        <v>177</v>
      </c>
      <c r="D188" s="1" t="s">
        <v>9</v>
      </c>
      <c r="E188" s="2" t="s">
        <v>7</v>
      </c>
      <c r="F188" s="9" t="s">
        <v>8</v>
      </c>
      <c r="H188" t="str">
        <f>TRIM(SUBSTITUTE(PROPER(C188)&amp;" "&amp;IF(OR(D188="County",D188="Township",D188="Village",D188="Charter Township"),D188,"")&amp;IF(D188="Township"," "&amp;"("&amp;VLOOKUP(A188,counties,3,0)&amp;")",""),"  "," "))</f>
        <v>Orangeville Township (Barry County)</v>
      </c>
    </row>
    <row r="189" spans="1:8" ht="15.75" thickBot="1" x14ac:dyDescent="0.3">
      <c r="A189">
        <f t="shared" si="2"/>
        <v>8</v>
      </c>
      <c r="B189" s="10">
        <v>2016</v>
      </c>
      <c r="C189" s="3" t="s">
        <v>178</v>
      </c>
      <c r="D189" s="3" t="s">
        <v>9</v>
      </c>
      <c r="E189" s="4" t="s">
        <v>7</v>
      </c>
      <c r="F189" s="11" t="s">
        <v>19</v>
      </c>
      <c r="H189" t="str">
        <f>TRIM(SUBSTITUTE(PROPER(C189)&amp;" "&amp;IF(OR(D189="County",D189="Township",D189="Village",D189="Charter Township"),D189,"")&amp;IF(D189="Township"," "&amp;"("&amp;VLOOKUP(A189,counties,3,0)&amp;")",""),"  "," "))</f>
        <v>Prairieville Township (Barry County)</v>
      </c>
    </row>
    <row r="190" spans="1:8" ht="15.75" thickBot="1" x14ac:dyDescent="0.3">
      <c r="A190">
        <f t="shared" si="2"/>
        <v>8</v>
      </c>
      <c r="B190" s="8">
        <v>2016</v>
      </c>
      <c r="C190" s="1" t="s">
        <v>179</v>
      </c>
      <c r="D190" s="1" t="s">
        <v>42</v>
      </c>
      <c r="E190" s="2" t="s">
        <v>7</v>
      </c>
      <c r="F190" s="9" t="s">
        <v>8</v>
      </c>
      <c r="H190" t="str">
        <f>TRIM(SUBSTITUTE(PROPER(C190)&amp;" "&amp;IF(OR(D190="County",D190="Township",D190="Village",D190="Charter Township"),D190,"")&amp;IF(D190="Township"," "&amp;"("&amp;VLOOKUP(A190,counties,3,0)&amp;")",""),"  "," "))</f>
        <v>Putnam District Library</v>
      </c>
    </row>
    <row r="191" spans="1:8" ht="15.75" thickBot="1" x14ac:dyDescent="0.3">
      <c r="A191">
        <f t="shared" si="2"/>
        <v>8</v>
      </c>
      <c r="B191" s="10">
        <v>2016</v>
      </c>
      <c r="C191" s="3" t="s">
        <v>180</v>
      </c>
      <c r="D191" s="3" t="s">
        <v>9</v>
      </c>
      <c r="E191" s="4" t="s">
        <v>7</v>
      </c>
      <c r="F191" s="11" t="s">
        <v>8</v>
      </c>
      <c r="H191" t="str">
        <f>TRIM(SUBSTITUTE(PROPER(C191)&amp;" "&amp;IF(OR(D191="County",D191="Township",D191="Village",D191="Charter Township"),D191,"")&amp;IF(D191="Township"," "&amp;"("&amp;VLOOKUP(A191,counties,3,0)&amp;")",""),"  "," "))</f>
        <v>Rutland Charter Township (Barry County)</v>
      </c>
    </row>
    <row r="192" spans="1:8" ht="15.75" thickBot="1" x14ac:dyDescent="0.3">
      <c r="A192">
        <f t="shared" si="2"/>
        <v>8</v>
      </c>
      <c r="B192" s="8">
        <v>2016</v>
      </c>
      <c r="C192" s="1" t="s">
        <v>181</v>
      </c>
      <c r="D192" s="1" t="s">
        <v>17</v>
      </c>
      <c r="E192" s="2" t="s">
        <v>7</v>
      </c>
      <c r="F192" s="9" t="s">
        <v>8</v>
      </c>
      <c r="H192" t="str">
        <f>TRIM(SUBSTITUTE(PROPER(C192)&amp;" "&amp;IF(OR(D192="County",D192="Township",D192="Village",D192="Charter Township"),D192,"")&amp;IF(D192="Township"," "&amp;"("&amp;VLOOKUP(A192,counties,3,0)&amp;")",""),"  "," "))</f>
        <v>Southwest Barry Co Sewer &amp; Water Authority</v>
      </c>
    </row>
    <row r="193" spans="1:8" ht="15.75" thickBot="1" x14ac:dyDescent="0.3">
      <c r="A193">
        <f t="shared" si="2"/>
        <v>8</v>
      </c>
      <c r="B193" s="10">
        <v>2016</v>
      </c>
      <c r="C193" s="3" t="s">
        <v>182</v>
      </c>
      <c r="D193" s="3" t="s">
        <v>9</v>
      </c>
      <c r="E193" s="4" t="s">
        <v>7</v>
      </c>
      <c r="F193" s="11" t="s">
        <v>19</v>
      </c>
      <c r="H193" t="str">
        <f>TRIM(SUBSTITUTE(PROPER(C193)&amp;" "&amp;IF(OR(D193="County",D193="Township",D193="Village",D193="Charter Township"),D193,"")&amp;IF(D193="Township"," "&amp;"("&amp;VLOOKUP(A193,counties,3,0)&amp;")",""),"  "," "))</f>
        <v>Thornapple Township (Barry County)</v>
      </c>
    </row>
    <row r="194" spans="1:8" ht="15.75" thickBot="1" x14ac:dyDescent="0.3">
      <c r="A194">
        <f t="shared" si="2"/>
        <v>8</v>
      </c>
      <c r="B194" s="8">
        <v>2016</v>
      </c>
      <c r="C194" s="1" t="s">
        <v>183</v>
      </c>
      <c r="D194" s="1" t="s">
        <v>17</v>
      </c>
      <c r="E194" s="2" t="s">
        <v>7</v>
      </c>
      <c r="F194" s="9" t="s">
        <v>8</v>
      </c>
      <c r="H194" t="str">
        <f>TRIM(SUBSTITUTE(PROPER(C194)&amp;" "&amp;IF(OR(D194="County",D194="Township",D194="Village",D194="Charter Township"),D194,"")&amp;IF(D194="Township"," "&amp;"("&amp;VLOOKUP(A194,counties,3,0)&amp;")",""),"  "," "))</f>
        <v>Thornapple Manor</v>
      </c>
    </row>
    <row r="195" spans="1:8" ht="21.75" thickBot="1" x14ac:dyDescent="0.3">
      <c r="A195">
        <f t="shared" ref="A195:A258" si="3">IF(B195="Year",A194+1,A194)</f>
        <v>8</v>
      </c>
      <c r="B195" s="10">
        <v>2016</v>
      </c>
      <c r="C195" s="3" t="s">
        <v>184</v>
      </c>
      <c r="D195" s="3" t="s">
        <v>17</v>
      </c>
      <c r="E195" s="4" t="s">
        <v>7</v>
      </c>
      <c r="F195" s="11" t="s">
        <v>19</v>
      </c>
      <c r="H195" t="str">
        <f>TRIM(SUBSTITUTE(PROPER(C195)&amp;" "&amp;IF(OR(D195="County",D195="Township",D195="Village",D195="Charter Township"),D195,"")&amp;IF(D195="Township"," "&amp;"("&amp;VLOOKUP(A195,counties,3,0)&amp;")",""),"  "," "))</f>
        <v>Transfer/Recycling Bd-Castleton/Maplegrove/Nashvil</v>
      </c>
    </row>
    <row r="196" spans="1:8" ht="15.75" thickBot="1" x14ac:dyDescent="0.3">
      <c r="A196">
        <f t="shared" si="3"/>
        <v>8</v>
      </c>
      <c r="B196" s="8">
        <v>2016</v>
      </c>
      <c r="C196" s="1" t="s">
        <v>185</v>
      </c>
      <c r="D196" s="1" t="s">
        <v>9</v>
      </c>
      <c r="E196" s="2" t="s">
        <v>7</v>
      </c>
      <c r="F196" s="9" t="s">
        <v>8</v>
      </c>
      <c r="H196" t="str">
        <f>TRIM(SUBSTITUTE(PROPER(C196)&amp;" "&amp;IF(OR(D196="County",D196="Township",D196="Village",D196="Charter Township"),D196,"")&amp;IF(D196="Township"," "&amp;"("&amp;VLOOKUP(A196,counties,3,0)&amp;")",""),"  "," "))</f>
        <v>Woodland Township (Barry County)</v>
      </c>
    </row>
    <row r="197" spans="1:8" ht="15.75" thickBot="1" x14ac:dyDescent="0.3">
      <c r="A197">
        <f t="shared" si="3"/>
        <v>8</v>
      </c>
      <c r="B197" s="12">
        <v>2016</v>
      </c>
      <c r="C197" s="13" t="s">
        <v>186</v>
      </c>
      <c r="D197" s="13" t="s">
        <v>9</v>
      </c>
      <c r="E197" s="14" t="s">
        <v>7</v>
      </c>
      <c r="F197" s="15" t="s">
        <v>8</v>
      </c>
      <c r="H197" t="str">
        <f>TRIM(SUBSTITUTE(PROPER(C197)&amp;" "&amp;IF(OR(D197="County",D197="Township",D197="Village",D197="Charter Township"),D197,"")&amp;IF(D197="Township"," "&amp;"("&amp;VLOOKUP(A197,counties,3,0)&amp;")",""),"  "," "))</f>
        <v>Yankee Springs Township (Barry County)</v>
      </c>
    </row>
    <row r="198" spans="1:8" ht="16.5" thickTop="1" thickBot="1" x14ac:dyDescent="0.3">
      <c r="A198">
        <f t="shared" si="3"/>
        <v>9</v>
      </c>
      <c r="B198" s="5" t="s">
        <v>0</v>
      </c>
      <c r="C198" s="6" t="s">
        <v>1</v>
      </c>
      <c r="D198" s="6" t="s">
        <v>2</v>
      </c>
      <c r="E198" s="6" t="s">
        <v>3</v>
      </c>
      <c r="F198" s="7" t="s">
        <v>4</v>
      </c>
      <c r="H198" t="str">
        <f>TRIM(SUBSTITUTE(PROPER(C198)&amp;" "&amp;IF(OR(D198="County",D198="Township",D198="Village",D198="Charter Township"),D198,"")&amp;IF(D198="Township"," "&amp;"("&amp;VLOOKUP(A198,counties,3,0)&amp;")",""),"  "," "))</f>
        <v>Municipality</v>
      </c>
    </row>
    <row r="199" spans="1:8" ht="15.75" thickBot="1" x14ac:dyDescent="0.3">
      <c r="A199">
        <f t="shared" si="3"/>
        <v>9</v>
      </c>
      <c r="B199" s="8">
        <v>2016</v>
      </c>
      <c r="C199" s="1" t="s">
        <v>187</v>
      </c>
      <c r="D199" s="1" t="s">
        <v>15</v>
      </c>
      <c r="E199" s="2" t="s">
        <v>7</v>
      </c>
      <c r="F199" s="9" t="s">
        <v>8</v>
      </c>
      <c r="H199" t="str">
        <f>TRIM(SUBSTITUTE(PROPER(C199)&amp;" "&amp;IF(OR(D199="County",D199="Township",D199="Village",D199="Charter Township"),D199,"")&amp;IF(D199="Township"," "&amp;"("&amp;VLOOKUP(A199,counties,3,0)&amp;")",""),"  "," "))</f>
        <v>Auburn</v>
      </c>
    </row>
    <row r="200" spans="1:8" ht="15.75" thickBot="1" x14ac:dyDescent="0.3">
      <c r="A200">
        <f t="shared" si="3"/>
        <v>9</v>
      </c>
      <c r="B200" s="10">
        <v>2016</v>
      </c>
      <c r="C200" s="3" t="s">
        <v>188</v>
      </c>
      <c r="D200" s="3" t="s">
        <v>17</v>
      </c>
      <c r="E200" s="4" t="s">
        <v>7</v>
      </c>
      <c r="F200" s="11" t="s">
        <v>8</v>
      </c>
      <c r="H200" t="str">
        <f>TRIM(SUBSTITUTE(PROPER(C200)&amp;" "&amp;IF(OR(D200="County",D200="Township",D200="Village",D200="Charter Township"),D200,"")&amp;IF(D200="Township"," "&amp;"("&amp;VLOOKUP(A200,counties,3,0)&amp;")",""),"  "," "))</f>
        <v>Auburn-Williams Fire Protection District</v>
      </c>
    </row>
    <row r="201" spans="1:8" ht="15.75" thickBot="1" x14ac:dyDescent="0.3">
      <c r="A201">
        <f t="shared" si="3"/>
        <v>9</v>
      </c>
      <c r="B201" s="8">
        <v>2016</v>
      </c>
      <c r="C201" s="1" t="s">
        <v>189</v>
      </c>
      <c r="D201" s="1" t="s">
        <v>9</v>
      </c>
      <c r="E201" s="2" t="s">
        <v>7</v>
      </c>
      <c r="F201" s="9" t="s">
        <v>8</v>
      </c>
      <c r="H201" t="str">
        <f>TRIM(SUBSTITUTE(PROPER(C201)&amp;" "&amp;IF(OR(D201="County",D201="Township",D201="Village",D201="Charter Township"),D201,"")&amp;IF(D201="Township"," "&amp;"("&amp;VLOOKUP(A201,counties,3,0)&amp;")",""),"  "," "))</f>
        <v>Bangor Charter Township (Bay County)</v>
      </c>
    </row>
    <row r="202" spans="1:8" ht="15.75" thickBot="1" x14ac:dyDescent="0.3">
      <c r="A202">
        <f t="shared" si="3"/>
        <v>9</v>
      </c>
      <c r="B202" s="10">
        <v>2016</v>
      </c>
      <c r="C202" s="3" t="s">
        <v>190</v>
      </c>
      <c r="D202" s="3" t="s">
        <v>17</v>
      </c>
      <c r="E202" s="4" t="s">
        <v>7</v>
      </c>
      <c r="F202" s="11" t="s">
        <v>8</v>
      </c>
      <c r="H202" t="str">
        <f>TRIM(SUBSTITUTE(PROPER(C202)&amp;" "&amp;IF(OR(D202="County",D202="Township",D202="Village",D202="Charter Township"),D202,"")&amp;IF(D202="Township"," "&amp;"("&amp;VLOOKUP(A202,counties,3,0)&amp;")",""),"  "," "))</f>
        <v>Bangor-Monitor Metropolitan District</v>
      </c>
    </row>
    <row r="203" spans="1:8" ht="15.75" thickBot="1" x14ac:dyDescent="0.3">
      <c r="A203">
        <f t="shared" si="3"/>
        <v>9</v>
      </c>
      <c r="B203" s="8">
        <v>2016</v>
      </c>
      <c r="C203" s="1" t="s">
        <v>191</v>
      </c>
      <c r="D203" s="1" t="s">
        <v>6</v>
      </c>
      <c r="E203" s="2" t="s">
        <v>7</v>
      </c>
      <c r="F203" s="9" t="s">
        <v>8</v>
      </c>
      <c r="H203" t="str">
        <f>TRIM(SUBSTITUTE(PROPER(C203)&amp;" "&amp;IF(OR(D203="County",D203="Township",D203="Village",D203="Charter Township"),D203,"")&amp;IF(D203="Township"," "&amp;"("&amp;VLOOKUP(A203,counties,3,0)&amp;")",""),"  "," "))</f>
        <v>Bay County</v>
      </c>
    </row>
    <row r="204" spans="1:8" ht="15.75" thickBot="1" x14ac:dyDescent="0.3">
      <c r="A204">
        <f t="shared" si="3"/>
        <v>9</v>
      </c>
      <c r="B204" s="10">
        <v>2016</v>
      </c>
      <c r="C204" s="3" t="s">
        <v>192</v>
      </c>
      <c r="D204" s="3" t="s">
        <v>17</v>
      </c>
      <c r="E204" s="4" t="s">
        <v>7</v>
      </c>
      <c r="F204" s="11" t="s">
        <v>8</v>
      </c>
      <c r="H204" t="str">
        <f>TRIM(SUBSTITUTE(PROPER(C204)&amp;" "&amp;IF(OR(D204="County",D204="Township",D204="Village",D204="Charter Township"),D204,"")&amp;IF(D204="Township"," "&amp;"("&amp;VLOOKUP(A204,counties,3,0)&amp;")",""),"  "," "))</f>
        <v>Bay Area Narcotics Enforcement Team-Bayanet</v>
      </c>
    </row>
    <row r="205" spans="1:8" ht="15.75" thickBot="1" x14ac:dyDescent="0.3">
      <c r="A205">
        <f t="shared" si="3"/>
        <v>9</v>
      </c>
      <c r="B205" s="8">
        <v>2016</v>
      </c>
      <c r="C205" s="1" t="s">
        <v>193</v>
      </c>
      <c r="D205" s="1" t="s">
        <v>17</v>
      </c>
      <c r="E205" s="2" t="s">
        <v>7</v>
      </c>
      <c r="F205" s="9" t="s">
        <v>8</v>
      </c>
      <c r="H205" t="str">
        <f>TRIM(SUBSTITUTE(PROPER(C205)&amp;" "&amp;IF(OR(D205="County",D205="Township",D205="Village",D205="Charter Township"),D205,"")&amp;IF(D205="Township"," "&amp;"("&amp;VLOOKUP(A205,counties,3,0)&amp;")",""),"  "," "))</f>
        <v>Bay Area Storm Water Authority</v>
      </c>
    </row>
    <row r="206" spans="1:8" ht="15.75" thickBot="1" x14ac:dyDescent="0.3">
      <c r="A206">
        <f t="shared" si="3"/>
        <v>9</v>
      </c>
      <c r="B206" s="10">
        <v>2016</v>
      </c>
      <c r="C206" s="3" t="s">
        <v>194</v>
      </c>
      <c r="D206" s="3" t="s">
        <v>15</v>
      </c>
      <c r="E206" s="4" t="s">
        <v>7</v>
      </c>
      <c r="F206" s="11" t="s">
        <v>8</v>
      </c>
      <c r="H206" t="str">
        <f>TRIM(SUBSTITUTE(PROPER(C206)&amp;" "&amp;IF(OR(D206="County",D206="Township",D206="Village",D206="Charter Township"),D206,"")&amp;IF(D206="Township"," "&amp;"("&amp;VLOOKUP(A206,counties,3,0)&amp;")",""),"  "," "))</f>
        <v>Bay City</v>
      </c>
    </row>
    <row r="207" spans="1:8" ht="15.75" thickBot="1" x14ac:dyDescent="0.3">
      <c r="A207">
        <f t="shared" si="3"/>
        <v>9</v>
      </c>
      <c r="B207" s="8">
        <v>2016</v>
      </c>
      <c r="C207" s="1" t="s">
        <v>195</v>
      </c>
      <c r="D207" s="1" t="s">
        <v>17</v>
      </c>
      <c r="E207" s="2" t="s">
        <v>7</v>
      </c>
      <c r="F207" s="9" t="s">
        <v>8</v>
      </c>
      <c r="H207" t="str">
        <f>TRIM(SUBSTITUTE(PROPER(C207)&amp;" "&amp;IF(OR(D207="County",D207="Township",D207="Village",D207="Charter Township"),D207,"")&amp;IF(D207="Township"," "&amp;"("&amp;VLOOKUP(A207,counties,3,0)&amp;")",""),"  "," "))</f>
        <v>Bay City Housing Commission</v>
      </c>
    </row>
    <row r="208" spans="1:8" ht="15.75" thickBot="1" x14ac:dyDescent="0.3">
      <c r="A208">
        <f t="shared" si="3"/>
        <v>9</v>
      </c>
      <c r="B208" s="10">
        <v>2016</v>
      </c>
      <c r="C208" s="3" t="s">
        <v>196</v>
      </c>
      <c r="D208" s="3" t="s">
        <v>17</v>
      </c>
      <c r="E208" s="4" t="s">
        <v>7</v>
      </c>
      <c r="F208" s="11" t="s">
        <v>8</v>
      </c>
      <c r="H208" t="str">
        <f>TRIM(SUBSTITUTE(PROPER(C208)&amp;" "&amp;IF(OR(D208="County",D208="Township",D208="Village",D208="Charter Township"),D208,"")&amp;IF(D208="Township"," "&amp;"("&amp;VLOOKUP(A208,counties,3,0)&amp;")",""),"  "," "))</f>
        <v>Bay County Department Of Water &amp; Sewer</v>
      </c>
    </row>
    <row r="209" spans="1:8" ht="15.75" thickBot="1" x14ac:dyDescent="0.3">
      <c r="A209">
        <f t="shared" si="3"/>
        <v>9</v>
      </c>
      <c r="B209" s="8">
        <v>2016</v>
      </c>
      <c r="C209" s="1" t="s">
        <v>197</v>
      </c>
      <c r="D209" s="1" t="s">
        <v>17</v>
      </c>
      <c r="E209" s="2" t="s">
        <v>7</v>
      </c>
      <c r="F209" s="9" t="s">
        <v>8</v>
      </c>
      <c r="H209" t="str">
        <f>TRIM(SUBSTITUTE(PROPER(C209)&amp;" "&amp;IF(OR(D209="County",D209="Township",D209="Village",D209="Charter Township"),D209,"")&amp;IF(D209="Township"," "&amp;"("&amp;VLOOKUP(A209,counties,3,0)&amp;")",""),"  "," "))</f>
        <v>Bay County Employees' Retirement System</v>
      </c>
    </row>
    <row r="210" spans="1:8" ht="15.75" thickBot="1" x14ac:dyDescent="0.3">
      <c r="A210">
        <f t="shared" si="3"/>
        <v>9</v>
      </c>
      <c r="B210" s="10">
        <v>2016</v>
      </c>
      <c r="C210" s="3" t="s">
        <v>198</v>
      </c>
      <c r="D210" s="3" t="s">
        <v>17</v>
      </c>
      <c r="E210" s="4" t="s">
        <v>7</v>
      </c>
      <c r="F210" s="11" t="s">
        <v>8</v>
      </c>
      <c r="H210" t="str">
        <f>TRIM(SUBSTITUTE(PROPER(C210)&amp;" "&amp;IF(OR(D210="County",D210="Township",D210="Village",D210="Charter Township"),D210,"")&amp;IF(D210="Township"," "&amp;"("&amp;VLOOKUP(A210,counties,3,0)&amp;")",""),"  "," "))</f>
        <v>Bay County Housing Commission</v>
      </c>
    </row>
    <row r="211" spans="1:8" ht="15.75" thickBot="1" x14ac:dyDescent="0.3">
      <c r="A211">
        <f t="shared" si="3"/>
        <v>9</v>
      </c>
      <c r="B211" s="8">
        <v>2016</v>
      </c>
      <c r="C211" s="1" t="s">
        <v>199</v>
      </c>
      <c r="D211" s="1" t="s">
        <v>17</v>
      </c>
      <c r="E211" s="2" t="s">
        <v>7</v>
      </c>
      <c r="F211" s="9" t="s">
        <v>8</v>
      </c>
      <c r="H211" t="str">
        <f>TRIM(SUBSTITUTE(PROPER(C211)&amp;" "&amp;IF(OR(D211="County",D211="Township",D211="Village",D211="Charter Township"),D211,"")&amp;IF(D211="Township"," "&amp;"("&amp;VLOOKUP(A211,counties,3,0)&amp;")",""),"  "," "))</f>
        <v>Bay County Medical Care Facility</v>
      </c>
    </row>
    <row r="212" spans="1:8" ht="15.75" thickBot="1" x14ac:dyDescent="0.3">
      <c r="A212">
        <f t="shared" si="3"/>
        <v>9</v>
      </c>
      <c r="B212" s="10">
        <v>2016</v>
      </c>
      <c r="C212" s="3" t="s">
        <v>200</v>
      </c>
      <c r="D212" s="3" t="s">
        <v>11</v>
      </c>
      <c r="E212" s="4" t="s">
        <v>7</v>
      </c>
      <c r="F212" s="11" t="s">
        <v>8</v>
      </c>
      <c r="H212" t="str">
        <f>TRIM(SUBSTITUTE(PROPER(C212)&amp;" "&amp;IF(OR(D212="County",D212="Township",D212="Village",D212="Charter Township"),D212,"")&amp;IF(D212="Township"," "&amp;"("&amp;VLOOKUP(A212,counties,3,0)&amp;")",""),"  "," "))</f>
        <v>Bay County Road Commission</v>
      </c>
    </row>
    <row r="213" spans="1:8" ht="15.75" thickBot="1" x14ac:dyDescent="0.3">
      <c r="A213">
        <f t="shared" si="3"/>
        <v>9</v>
      </c>
      <c r="B213" s="8">
        <v>2016</v>
      </c>
      <c r="C213" s="1" t="s">
        <v>201</v>
      </c>
      <c r="D213" s="1" t="s">
        <v>17</v>
      </c>
      <c r="E213" s="2" t="s">
        <v>7</v>
      </c>
      <c r="F213" s="9" t="s">
        <v>8</v>
      </c>
      <c r="H213" t="str">
        <f>TRIM(SUBSTITUTE(PROPER(C213)&amp;" "&amp;IF(OR(D213="County",D213="Township",D213="Village",D213="Charter Township"),D213,"")&amp;IF(D213="Township"," "&amp;"("&amp;VLOOKUP(A213,counties,3,0)&amp;")",""),"  "," "))</f>
        <v>Bay Metropolitan Transportation Authority</v>
      </c>
    </row>
    <row r="214" spans="1:8" ht="15.75" thickBot="1" x14ac:dyDescent="0.3">
      <c r="A214">
        <f t="shared" si="3"/>
        <v>9</v>
      </c>
      <c r="B214" s="10">
        <v>2016</v>
      </c>
      <c r="C214" s="3" t="s">
        <v>202</v>
      </c>
      <c r="D214" s="3" t="s">
        <v>17</v>
      </c>
      <c r="E214" s="4" t="s">
        <v>7</v>
      </c>
      <c r="F214" s="11" t="s">
        <v>8</v>
      </c>
      <c r="H214" t="str">
        <f>TRIM(SUBSTITUTE(PROPER(C214)&amp;" "&amp;IF(OR(D214="County",D214="Township",D214="Village",D214="Charter Township"),D214,"")&amp;IF(D214="Township"," "&amp;"("&amp;VLOOKUP(A214,counties,3,0)&amp;")",""),"  "," "))</f>
        <v>Bay-Arenac Behavioral Health</v>
      </c>
    </row>
    <row r="215" spans="1:8" ht="15.75" thickBot="1" x14ac:dyDescent="0.3">
      <c r="A215">
        <f t="shared" si="3"/>
        <v>9</v>
      </c>
      <c r="B215" s="8">
        <v>2016</v>
      </c>
      <c r="C215" s="1" t="s">
        <v>203</v>
      </c>
      <c r="D215" s="1" t="s">
        <v>9</v>
      </c>
      <c r="E215" s="2" t="s">
        <v>7</v>
      </c>
      <c r="F215" s="9" t="s">
        <v>8</v>
      </c>
      <c r="H215" t="str">
        <f>TRIM(SUBSTITUTE(PROPER(C215)&amp;" "&amp;IF(OR(D215="County",D215="Township",D215="Village",D215="Charter Township"),D215,"")&amp;IF(D215="Township"," "&amp;"("&amp;VLOOKUP(A215,counties,3,0)&amp;")",""),"  "," "))</f>
        <v>Beaver Township (Bay County)</v>
      </c>
    </row>
    <row r="216" spans="1:8" ht="15.75" thickBot="1" x14ac:dyDescent="0.3">
      <c r="A216">
        <f t="shared" si="3"/>
        <v>9</v>
      </c>
      <c r="B216" s="10">
        <v>2016</v>
      </c>
      <c r="C216" s="3" t="s">
        <v>204</v>
      </c>
      <c r="D216" s="3" t="s">
        <v>17</v>
      </c>
      <c r="E216" s="4" t="s">
        <v>7</v>
      </c>
      <c r="F216" s="11" t="s">
        <v>8</v>
      </c>
      <c r="H216" t="str">
        <f>TRIM(SUBSTITUTE(PROPER(C216)&amp;" "&amp;IF(OR(D216="County",D216="Township",D216="Village",D216="Charter Township"),D216,"")&amp;IF(D216="Township"," "&amp;"("&amp;VLOOKUP(A216,counties,3,0)&amp;")",""),"  "," "))</f>
        <v>Downtown Bay City Management Board</v>
      </c>
    </row>
    <row r="217" spans="1:8" ht="15.75" thickBot="1" x14ac:dyDescent="0.3">
      <c r="A217">
        <f t="shared" si="3"/>
        <v>9</v>
      </c>
      <c r="B217" s="8">
        <v>2016</v>
      </c>
      <c r="C217" s="1" t="s">
        <v>205</v>
      </c>
      <c r="D217" s="1" t="s">
        <v>15</v>
      </c>
      <c r="E217" s="2" t="s">
        <v>7</v>
      </c>
      <c r="F217" s="9" t="s">
        <v>8</v>
      </c>
      <c r="H217" t="str">
        <f>TRIM(SUBSTITUTE(PROPER(C217)&amp;" "&amp;IF(OR(D217="County",D217="Township",D217="Village",D217="Charter Township"),D217,"")&amp;IF(D217="Township"," "&amp;"("&amp;VLOOKUP(A217,counties,3,0)&amp;")",""),"  "," "))</f>
        <v>Essexville</v>
      </c>
    </row>
    <row r="218" spans="1:8" ht="15.75" thickBot="1" x14ac:dyDescent="0.3">
      <c r="A218">
        <f t="shared" si="3"/>
        <v>9</v>
      </c>
      <c r="B218" s="10">
        <v>2016</v>
      </c>
      <c r="C218" s="3" t="s">
        <v>206</v>
      </c>
      <c r="D218" s="3" t="s">
        <v>9</v>
      </c>
      <c r="E218" s="4" t="s">
        <v>7</v>
      </c>
      <c r="F218" s="11" t="s">
        <v>8</v>
      </c>
      <c r="H218" t="str">
        <f>TRIM(SUBSTITUTE(PROPER(C218)&amp;" "&amp;IF(OR(D218="County",D218="Township",D218="Village",D218="Charter Township"),D218,"")&amp;IF(D218="Township"," "&amp;"("&amp;VLOOKUP(A218,counties,3,0)&amp;")",""),"  "," "))</f>
        <v>Frankenlust Township (Bay County)</v>
      </c>
    </row>
    <row r="219" spans="1:8" ht="15.75" thickBot="1" x14ac:dyDescent="0.3">
      <c r="A219">
        <f t="shared" si="3"/>
        <v>9</v>
      </c>
      <c r="B219" s="8">
        <v>2016</v>
      </c>
      <c r="C219" s="1" t="s">
        <v>207</v>
      </c>
      <c r="D219" s="1" t="s">
        <v>9</v>
      </c>
      <c r="E219" s="2" t="s">
        <v>7</v>
      </c>
      <c r="F219" s="9" t="s">
        <v>8</v>
      </c>
      <c r="H219" t="str">
        <f>TRIM(SUBSTITUTE(PROPER(C219)&amp;" "&amp;IF(OR(D219="County",D219="Township",D219="Village",D219="Charter Township"),D219,"")&amp;IF(D219="Township"," "&amp;"("&amp;VLOOKUP(A219,counties,3,0)&amp;")",""),"  "," "))</f>
        <v>Fraser Township (Bay County)</v>
      </c>
    </row>
    <row r="220" spans="1:8" ht="15.75" thickBot="1" x14ac:dyDescent="0.3">
      <c r="A220">
        <f t="shared" si="3"/>
        <v>9</v>
      </c>
      <c r="B220" s="10">
        <v>2016</v>
      </c>
      <c r="C220" s="3" t="s">
        <v>208</v>
      </c>
      <c r="D220" s="3" t="s">
        <v>9</v>
      </c>
      <c r="E220" s="4" t="s">
        <v>7</v>
      </c>
      <c r="F220" s="11" t="s">
        <v>8</v>
      </c>
      <c r="H220" t="str">
        <f>TRIM(SUBSTITUTE(PROPER(C220)&amp;" "&amp;IF(OR(D220="County",D220="Township",D220="Village",D220="Charter Township"),D220,"")&amp;IF(D220="Township"," "&amp;"("&amp;VLOOKUP(A220,counties,3,0)&amp;")",""),"  "," "))</f>
        <v>Hampton Charter Township (Bay County)</v>
      </c>
    </row>
    <row r="221" spans="1:8" ht="15.75" thickBot="1" x14ac:dyDescent="0.3">
      <c r="A221">
        <f t="shared" si="3"/>
        <v>9</v>
      </c>
      <c r="B221" s="8">
        <v>2016</v>
      </c>
      <c r="C221" s="1" t="s">
        <v>209</v>
      </c>
      <c r="D221" s="1" t="s">
        <v>9</v>
      </c>
      <c r="E221" s="2" t="s">
        <v>7</v>
      </c>
      <c r="F221" s="9" t="s">
        <v>8</v>
      </c>
      <c r="H221" t="str">
        <f>TRIM(SUBSTITUTE(PROPER(C221)&amp;" "&amp;IF(OR(D221="County",D221="Township",D221="Village",D221="Charter Township"),D221,"")&amp;IF(D221="Township"," "&amp;"("&amp;VLOOKUP(A221,counties,3,0)&amp;")",""),"  "," "))</f>
        <v>Kawkawlin Township (Bay County)</v>
      </c>
    </row>
    <row r="222" spans="1:8" ht="15.75" thickBot="1" x14ac:dyDescent="0.3">
      <c r="A222">
        <f t="shared" si="3"/>
        <v>9</v>
      </c>
      <c r="B222" s="10">
        <v>2016</v>
      </c>
      <c r="C222" s="3" t="s">
        <v>210</v>
      </c>
      <c r="D222" s="3" t="s">
        <v>17</v>
      </c>
      <c r="E222" s="4" t="s">
        <v>7</v>
      </c>
      <c r="F222" s="11" t="s">
        <v>8</v>
      </c>
      <c r="H222" t="str">
        <f>TRIM(SUBSTITUTE(PROPER(C222)&amp;" "&amp;IF(OR(D222="County",D222="Township",D222="Village",D222="Charter Township"),D222,"")&amp;IF(D222="Township"," "&amp;"("&amp;VLOOKUP(A222,counties,3,0)&amp;")",""),"  "," "))</f>
        <v>Kawkawlin Metropolitan District</v>
      </c>
    </row>
    <row r="223" spans="1:8" ht="15.75" thickBot="1" x14ac:dyDescent="0.3">
      <c r="A223">
        <f t="shared" si="3"/>
        <v>9</v>
      </c>
      <c r="B223" s="8">
        <v>2016</v>
      </c>
      <c r="C223" s="1" t="s">
        <v>211</v>
      </c>
      <c r="D223" s="1" t="s">
        <v>17</v>
      </c>
      <c r="E223" s="2" t="s">
        <v>7</v>
      </c>
      <c r="F223" s="9" t="s">
        <v>8</v>
      </c>
      <c r="H223" t="str">
        <f>TRIM(SUBSTITUTE(PROPER(C223)&amp;" "&amp;IF(OR(D223="County",D223="Township",D223="Village",D223="Charter Township"),D223,"")&amp;IF(D223="Township"," "&amp;"("&amp;VLOOKUP(A223,counties,3,0)&amp;")",""),"  "," "))</f>
        <v>Linwood Metropolitan District</v>
      </c>
    </row>
    <row r="224" spans="1:8" ht="15.75" thickBot="1" x14ac:dyDescent="0.3">
      <c r="A224">
        <f t="shared" si="3"/>
        <v>9</v>
      </c>
      <c r="B224" s="10">
        <v>2016</v>
      </c>
      <c r="C224" s="3" t="s">
        <v>212</v>
      </c>
      <c r="D224" s="3" t="s">
        <v>9</v>
      </c>
      <c r="E224" s="4" t="s">
        <v>7</v>
      </c>
      <c r="F224" s="11" t="s">
        <v>8</v>
      </c>
      <c r="H224" t="str">
        <f>TRIM(SUBSTITUTE(PROPER(C224)&amp;" "&amp;IF(OR(D224="County",D224="Township",D224="Village",D224="Charter Township"),D224,"")&amp;IF(D224="Township"," "&amp;"("&amp;VLOOKUP(A224,counties,3,0)&amp;")",""),"  "," "))</f>
        <v>Merritt Township (Bay County)</v>
      </c>
    </row>
    <row r="225" spans="1:8" ht="15.75" thickBot="1" x14ac:dyDescent="0.3">
      <c r="A225">
        <f t="shared" si="3"/>
        <v>9</v>
      </c>
      <c r="B225" s="8">
        <v>2016</v>
      </c>
      <c r="C225" s="1" t="s">
        <v>213</v>
      </c>
      <c r="D225" s="1" t="s">
        <v>9</v>
      </c>
      <c r="E225" s="2" t="s">
        <v>7</v>
      </c>
      <c r="F225" s="9" t="s">
        <v>8</v>
      </c>
      <c r="H225" t="str">
        <f>TRIM(SUBSTITUTE(PROPER(C225)&amp;" "&amp;IF(OR(D225="County",D225="Township",D225="Village",D225="Charter Township"),D225,"")&amp;IF(D225="Township"," "&amp;"("&amp;VLOOKUP(A225,counties,3,0)&amp;")",""),"  "," "))</f>
        <v>Monitor Charter Township (Bay County)</v>
      </c>
    </row>
    <row r="226" spans="1:8" ht="15.75" thickBot="1" x14ac:dyDescent="0.3">
      <c r="A226">
        <f t="shared" si="3"/>
        <v>9</v>
      </c>
      <c r="B226" s="10">
        <v>2016</v>
      </c>
      <c r="C226" s="3" t="s">
        <v>214</v>
      </c>
      <c r="D226" s="3" t="s">
        <v>17</v>
      </c>
      <c r="E226" s="4" t="s">
        <v>7</v>
      </c>
      <c r="F226" s="11" t="s">
        <v>8</v>
      </c>
      <c r="H226" t="str">
        <f>TRIM(SUBSTITUTE(PROPER(C226)&amp;" "&amp;IF(OR(D226="County",D226="Township",D226="Village",D226="Charter Township"),D226,"")&amp;IF(D226="Township"," "&amp;"("&amp;VLOOKUP(A226,counties,3,0)&amp;")",""),"  "," "))</f>
        <v>Monitor Charter Township Dda</v>
      </c>
    </row>
    <row r="227" spans="1:8" ht="15.75" thickBot="1" x14ac:dyDescent="0.3">
      <c r="A227">
        <f t="shared" si="3"/>
        <v>9</v>
      </c>
      <c r="B227" s="8">
        <v>2016</v>
      </c>
      <c r="C227" s="1" t="s">
        <v>215</v>
      </c>
      <c r="D227" s="1" t="s">
        <v>9</v>
      </c>
      <c r="E227" s="2" t="s">
        <v>7</v>
      </c>
      <c r="F227" s="9" t="s">
        <v>8</v>
      </c>
      <c r="H227" t="str">
        <f>TRIM(SUBSTITUTE(PROPER(C227)&amp;" "&amp;IF(OR(D227="County",D227="Township",D227="Village",D227="Charter Township"),D227,"")&amp;IF(D227="Township"," "&amp;"("&amp;VLOOKUP(A227,counties,3,0)&amp;")",""),"  "," "))</f>
        <v>Mt Forest Township (Bay County)</v>
      </c>
    </row>
    <row r="228" spans="1:8" ht="15.75" thickBot="1" x14ac:dyDescent="0.3">
      <c r="A228">
        <f t="shared" si="3"/>
        <v>9</v>
      </c>
      <c r="B228" s="10">
        <v>2016</v>
      </c>
      <c r="C228" s="3" t="s">
        <v>216</v>
      </c>
      <c r="D228" s="3" t="s">
        <v>15</v>
      </c>
      <c r="E228" s="4" t="s">
        <v>7</v>
      </c>
      <c r="F228" s="11" t="s">
        <v>8</v>
      </c>
      <c r="H228" t="str">
        <f>TRIM(SUBSTITUTE(PROPER(C228)&amp;" "&amp;IF(OR(D228="County",D228="Township",D228="Village",D228="Charter Township"),D228,"")&amp;IF(D228="Township"," "&amp;"("&amp;VLOOKUP(A228,counties,3,0)&amp;")",""),"  "," "))</f>
        <v>Pinconning</v>
      </c>
    </row>
    <row r="229" spans="1:8" ht="15.75" thickBot="1" x14ac:dyDescent="0.3">
      <c r="A229">
        <f t="shared" si="3"/>
        <v>9</v>
      </c>
      <c r="B229" s="8">
        <v>2016</v>
      </c>
      <c r="C229" s="1" t="s">
        <v>216</v>
      </c>
      <c r="D229" s="1" t="s">
        <v>9</v>
      </c>
      <c r="E229" s="2" t="s">
        <v>7</v>
      </c>
      <c r="F229" s="9" t="s">
        <v>8</v>
      </c>
      <c r="H229" t="str">
        <f>TRIM(SUBSTITUTE(PROPER(C229)&amp;" "&amp;IF(OR(D229="County",D229="Township",D229="Village",D229="Charter Township"),D229,"")&amp;IF(D229="Township"," "&amp;"("&amp;VLOOKUP(A229,counties,3,0)&amp;")",""),"  "," "))</f>
        <v>Pinconning Township (Bay County)</v>
      </c>
    </row>
    <row r="230" spans="1:8" ht="15.75" thickBot="1" x14ac:dyDescent="0.3">
      <c r="A230">
        <f t="shared" si="3"/>
        <v>9</v>
      </c>
      <c r="B230" s="10">
        <v>2016</v>
      </c>
      <c r="C230" s="3" t="s">
        <v>217</v>
      </c>
      <c r="D230" s="3" t="s">
        <v>17</v>
      </c>
      <c r="E230" s="4" t="s">
        <v>7</v>
      </c>
      <c r="F230" s="11" t="s">
        <v>8</v>
      </c>
      <c r="H230" t="str">
        <f>TRIM(SUBSTITUTE(PROPER(C230)&amp;" "&amp;IF(OR(D230="County",D230="Township",D230="Village",D230="Charter Township"),D230,"")&amp;IF(D230="Township"," "&amp;"("&amp;VLOOKUP(A230,counties,3,0)&amp;")",""),"  "," "))</f>
        <v>Pinconning/Fraser Fire Department</v>
      </c>
    </row>
    <row r="231" spans="1:8" ht="15.75" thickBot="1" x14ac:dyDescent="0.3">
      <c r="A231">
        <f t="shared" si="3"/>
        <v>9</v>
      </c>
      <c r="B231" s="8">
        <v>2016</v>
      </c>
      <c r="C231" s="1" t="s">
        <v>218</v>
      </c>
      <c r="D231" s="1" t="s">
        <v>9</v>
      </c>
      <c r="E231" s="2" t="s">
        <v>7</v>
      </c>
      <c r="F231" s="9" t="s">
        <v>8</v>
      </c>
      <c r="H231" t="str">
        <f>TRIM(SUBSTITUTE(PROPER(C231)&amp;" "&amp;IF(OR(D231="County",D231="Township",D231="Village",D231="Charter Township"),D231,"")&amp;IF(D231="Township"," "&amp;"("&amp;VLOOKUP(A231,counties,3,0)&amp;")",""),"  "," "))</f>
        <v>Portsmouth Charter Township (Bay County)</v>
      </c>
    </row>
    <row r="232" spans="1:8" ht="15.75" thickBot="1" x14ac:dyDescent="0.3">
      <c r="A232">
        <f t="shared" si="3"/>
        <v>9</v>
      </c>
      <c r="B232" s="10">
        <v>2016</v>
      </c>
      <c r="C232" s="3" t="s">
        <v>219</v>
      </c>
      <c r="D232" s="3" t="s">
        <v>17</v>
      </c>
      <c r="E232" s="4" t="s">
        <v>7</v>
      </c>
      <c r="F232" s="11" t="s">
        <v>8</v>
      </c>
      <c r="H232" t="str">
        <f>TRIM(SUBSTITUTE(PROPER(C232)&amp;" "&amp;IF(OR(D232="County",D232="Township",D232="Village",D232="Charter Township"),D232,"")&amp;IF(D232="Township"," "&amp;"("&amp;VLOOKUP(A232,counties,3,0)&amp;")",""),"  "," "))</f>
        <v>Township Code Enforcement Department</v>
      </c>
    </row>
    <row r="233" spans="1:8" ht="15.75" thickBot="1" x14ac:dyDescent="0.3">
      <c r="A233">
        <f t="shared" si="3"/>
        <v>9</v>
      </c>
      <c r="B233" s="16">
        <v>2016</v>
      </c>
      <c r="C233" s="17" t="s">
        <v>220</v>
      </c>
      <c r="D233" s="17" t="s">
        <v>9</v>
      </c>
      <c r="E233" s="18" t="s">
        <v>7</v>
      </c>
      <c r="F233" s="19" t="s">
        <v>8</v>
      </c>
      <c r="H233" t="str">
        <f>TRIM(SUBSTITUTE(PROPER(C233)&amp;" "&amp;IF(OR(D233="County",D233="Township",D233="Village",D233="Charter Township"),D233,"")&amp;IF(D233="Township"," "&amp;"("&amp;VLOOKUP(A233,counties,3,0)&amp;")",""),"  "," "))</f>
        <v>Williams Charter Township (Bay County)</v>
      </c>
    </row>
    <row r="234" spans="1:8" ht="16.5" thickTop="1" thickBot="1" x14ac:dyDescent="0.3">
      <c r="A234">
        <f t="shared" si="3"/>
        <v>10</v>
      </c>
      <c r="B234" s="5" t="s">
        <v>0</v>
      </c>
      <c r="C234" s="6" t="s">
        <v>1</v>
      </c>
      <c r="D234" s="6" t="s">
        <v>2</v>
      </c>
      <c r="E234" s="6" t="s">
        <v>3</v>
      </c>
      <c r="F234" s="7" t="s">
        <v>4</v>
      </c>
      <c r="H234" t="str">
        <f>TRIM(SUBSTITUTE(PROPER(C234)&amp;" "&amp;IF(OR(D234="County",D234="Township",D234="Village",D234="Charter Township"),D234,"")&amp;IF(D234="Township"," "&amp;"("&amp;VLOOKUP(A234,counties,3,0)&amp;")",""),"  "," "))</f>
        <v>Municipality</v>
      </c>
    </row>
    <row r="235" spans="1:8" ht="15.75" thickBot="1" x14ac:dyDescent="0.3">
      <c r="A235">
        <f t="shared" si="3"/>
        <v>10</v>
      </c>
      <c r="B235" s="8">
        <v>2016</v>
      </c>
      <c r="C235" s="1" t="s">
        <v>221</v>
      </c>
      <c r="D235" s="1" t="s">
        <v>9</v>
      </c>
      <c r="E235" s="2" t="s">
        <v>7</v>
      </c>
      <c r="F235" s="9" t="s">
        <v>8</v>
      </c>
      <c r="H235" t="str">
        <f>TRIM(SUBSTITUTE(PROPER(C235)&amp;" "&amp;IF(OR(D235="County",D235="Township",D235="Village",D235="Charter Township"),D235,"")&amp;IF(D235="Township"," "&amp;"("&amp;VLOOKUP(A235,counties,3,0)&amp;")",""),"  "," "))</f>
        <v>Almira Township (Benzie County)</v>
      </c>
    </row>
    <row r="236" spans="1:8" ht="15.75" thickBot="1" x14ac:dyDescent="0.3">
      <c r="A236">
        <f t="shared" si="3"/>
        <v>10</v>
      </c>
      <c r="B236" s="10">
        <v>2016</v>
      </c>
      <c r="C236" s="3" t="s">
        <v>222</v>
      </c>
      <c r="D236" s="3" t="s">
        <v>6</v>
      </c>
      <c r="E236" s="4" t="s">
        <v>7</v>
      </c>
      <c r="F236" s="11" t="s">
        <v>8</v>
      </c>
      <c r="H236" t="str">
        <f>TRIM(SUBSTITUTE(PROPER(C236)&amp;" "&amp;IF(OR(D236="County",D236="Township",D236="Village",D236="Charter Township"),D236,"")&amp;IF(D236="Township"," "&amp;"("&amp;VLOOKUP(A236,counties,3,0)&amp;")",""),"  "," "))</f>
        <v>Benzie County</v>
      </c>
    </row>
    <row r="237" spans="1:8" ht="15.75" thickBot="1" x14ac:dyDescent="0.3">
      <c r="A237">
        <f t="shared" si="3"/>
        <v>10</v>
      </c>
      <c r="B237" s="8">
        <v>2016</v>
      </c>
      <c r="C237" s="1" t="s">
        <v>223</v>
      </c>
      <c r="D237" s="1" t="s">
        <v>11</v>
      </c>
      <c r="E237" s="2" t="s">
        <v>7</v>
      </c>
      <c r="F237" s="9" t="s">
        <v>8</v>
      </c>
      <c r="H237" t="str">
        <f>TRIM(SUBSTITUTE(PROPER(C237)&amp;" "&amp;IF(OR(D237="County",D237="Township",D237="Village",D237="Charter Township"),D237,"")&amp;IF(D237="Township"," "&amp;"("&amp;VLOOKUP(A237,counties,3,0)&amp;")",""),"  "," "))</f>
        <v>Benzie County Road Commission</v>
      </c>
    </row>
    <row r="238" spans="1:8" ht="15.75" thickBot="1" x14ac:dyDescent="0.3">
      <c r="A238">
        <f t="shared" si="3"/>
        <v>10</v>
      </c>
      <c r="B238" s="10">
        <v>2016</v>
      </c>
      <c r="C238" s="3" t="s">
        <v>224</v>
      </c>
      <c r="D238" s="3" t="s">
        <v>17</v>
      </c>
      <c r="E238" s="4" t="s">
        <v>7</v>
      </c>
      <c r="F238" s="11" t="s">
        <v>8</v>
      </c>
      <c r="H238" t="str">
        <f>TRIM(SUBSTITUTE(PROPER(C238)&amp;" "&amp;IF(OR(D238="County",D238="Township",D238="Village",D238="Charter Township"),D238,"")&amp;IF(D238="Township"," "&amp;"("&amp;VLOOKUP(A238,counties,3,0)&amp;")",""),"  "," "))</f>
        <v>Benzie Leelanau District Health Department</v>
      </c>
    </row>
    <row r="239" spans="1:8" ht="15.75" thickBot="1" x14ac:dyDescent="0.3">
      <c r="A239">
        <f t="shared" si="3"/>
        <v>10</v>
      </c>
      <c r="B239" s="8">
        <v>2016</v>
      </c>
      <c r="C239" s="1" t="s">
        <v>225</v>
      </c>
      <c r="D239" s="1" t="s">
        <v>42</v>
      </c>
      <c r="E239" s="2" t="s">
        <v>7</v>
      </c>
      <c r="F239" s="9" t="s">
        <v>8</v>
      </c>
      <c r="H239" t="str">
        <f>TRIM(SUBSTITUTE(PROPER(C239)&amp;" "&amp;IF(OR(D239="County",D239="Township",D239="Village",D239="Charter Township"),D239,"")&amp;IF(D239="Township"," "&amp;"("&amp;VLOOKUP(A239,counties,3,0)&amp;")",""),"  "," "))</f>
        <v>Benzie Shores District Library</v>
      </c>
    </row>
    <row r="240" spans="1:8" ht="15.75" thickBot="1" x14ac:dyDescent="0.3">
      <c r="A240">
        <f t="shared" si="3"/>
        <v>10</v>
      </c>
      <c r="B240" s="10">
        <v>2016</v>
      </c>
      <c r="C240" s="3" t="s">
        <v>226</v>
      </c>
      <c r="D240" s="3" t="s">
        <v>17</v>
      </c>
      <c r="E240" s="4" t="s">
        <v>7</v>
      </c>
      <c r="F240" s="11" t="s">
        <v>8</v>
      </c>
      <c r="H240" t="str">
        <f>TRIM(SUBSTITUTE(PROPER(C240)&amp;" "&amp;IF(OR(D240="County",D240="Township",D240="Village",D240="Charter Township"),D240,"")&amp;IF(D240="Township"," "&amp;"("&amp;VLOOKUP(A240,counties,3,0)&amp;")",""),"  "," "))</f>
        <v>Benzie Transportation Authority</v>
      </c>
    </row>
    <row r="241" spans="1:8" ht="15.75" thickBot="1" x14ac:dyDescent="0.3">
      <c r="A241">
        <f t="shared" si="3"/>
        <v>10</v>
      </c>
      <c r="B241" s="8">
        <v>2016</v>
      </c>
      <c r="C241" s="1" t="s">
        <v>227</v>
      </c>
      <c r="D241" s="1" t="s">
        <v>9</v>
      </c>
      <c r="E241" s="2" t="s">
        <v>7</v>
      </c>
      <c r="F241" s="9" t="s">
        <v>19</v>
      </c>
      <c r="H241" t="str">
        <f>TRIM(SUBSTITUTE(PROPER(C241)&amp;" "&amp;IF(OR(D241="County",D241="Township",D241="Village",D241="Charter Township"),D241,"")&amp;IF(D241="Township"," "&amp;"("&amp;VLOOKUP(A241,counties,3,0)&amp;")",""),"  "," "))</f>
        <v>Benzonia Township (Benzie County)</v>
      </c>
    </row>
    <row r="242" spans="1:8" ht="15.75" thickBot="1" x14ac:dyDescent="0.3">
      <c r="A242">
        <f t="shared" si="3"/>
        <v>10</v>
      </c>
      <c r="B242" s="10">
        <v>2016</v>
      </c>
      <c r="C242" s="3" t="s">
        <v>227</v>
      </c>
      <c r="D242" s="3" t="s">
        <v>21</v>
      </c>
      <c r="E242" s="4" t="s">
        <v>7</v>
      </c>
      <c r="F242" s="11" t="s">
        <v>8</v>
      </c>
      <c r="H242" t="str">
        <f>TRIM(SUBSTITUTE(PROPER(C242)&amp;" "&amp;IF(OR(D242="County",D242="Township",D242="Village",D242="Charter Township"),D242,"")&amp;IF(D242="Township"," "&amp;"("&amp;VLOOKUP(A242,counties,3,0)&amp;")",""),"  "," "))</f>
        <v>Benzonia Village</v>
      </c>
    </row>
    <row r="243" spans="1:8" ht="15.75" thickBot="1" x14ac:dyDescent="0.3">
      <c r="A243">
        <f t="shared" si="3"/>
        <v>10</v>
      </c>
      <c r="B243" s="8">
        <v>2016</v>
      </c>
      <c r="C243" s="1" t="s">
        <v>228</v>
      </c>
      <c r="D243" s="1" t="s">
        <v>42</v>
      </c>
      <c r="E243" s="2" t="s">
        <v>7</v>
      </c>
      <c r="F243" s="9" t="s">
        <v>8</v>
      </c>
      <c r="H243" t="str">
        <f>TRIM(SUBSTITUTE(PROPER(C243)&amp;" "&amp;IF(OR(D243="County",D243="Township",D243="Village",D243="Charter Township"),D243,"")&amp;IF(D243="Township"," "&amp;"("&amp;VLOOKUP(A243,counties,3,0)&amp;")",""),"  "," "))</f>
        <v>Benzonia Public Library</v>
      </c>
    </row>
    <row r="244" spans="1:8" ht="15.75" thickBot="1" x14ac:dyDescent="0.3">
      <c r="A244">
        <f t="shared" si="3"/>
        <v>10</v>
      </c>
      <c r="B244" s="10">
        <v>2016</v>
      </c>
      <c r="C244" s="3" t="s">
        <v>229</v>
      </c>
      <c r="D244" s="3" t="s">
        <v>17</v>
      </c>
      <c r="E244" s="4" t="s">
        <v>7</v>
      </c>
      <c r="F244" s="11" t="s">
        <v>8</v>
      </c>
      <c r="H244" t="str">
        <f>TRIM(SUBSTITUTE(PROPER(C244)&amp;" "&amp;IF(OR(D244="County",D244="Township",D244="Village",D244="Charter Township"),D244,"")&amp;IF(D244="Township"," "&amp;"("&amp;VLOOKUP(A244,counties,3,0)&amp;")",""),"  "," "))</f>
        <v>Betsie Lake Utilities Authority</v>
      </c>
    </row>
    <row r="245" spans="1:8" ht="15.75" thickBot="1" x14ac:dyDescent="0.3">
      <c r="A245">
        <f t="shared" si="3"/>
        <v>10</v>
      </c>
      <c r="B245" s="8">
        <v>2016</v>
      </c>
      <c r="C245" s="1" t="s">
        <v>230</v>
      </c>
      <c r="D245" s="1" t="s">
        <v>21</v>
      </c>
      <c r="E245" s="2" t="s">
        <v>7</v>
      </c>
      <c r="F245" s="9" t="s">
        <v>8</v>
      </c>
      <c r="H245" t="str">
        <f>TRIM(SUBSTITUTE(PROPER(C245)&amp;" "&amp;IF(OR(D245="County",D245="Township",D245="Village",D245="Charter Township"),D245,"")&amp;IF(D245="Township"," "&amp;"("&amp;VLOOKUP(A245,counties,3,0)&amp;")",""),"  "," "))</f>
        <v>Beulah Village</v>
      </c>
    </row>
    <row r="246" spans="1:8" ht="15.75" thickBot="1" x14ac:dyDescent="0.3">
      <c r="A246">
        <f t="shared" si="3"/>
        <v>10</v>
      </c>
      <c r="B246" s="10">
        <v>2016</v>
      </c>
      <c r="C246" s="3" t="s">
        <v>231</v>
      </c>
      <c r="D246" s="3" t="s">
        <v>9</v>
      </c>
      <c r="E246" s="4" t="s">
        <v>7</v>
      </c>
      <c r="F246" s="11" t="s">
        <v>8</v>
      </c>
      <c r="H246" t="str">
        <f>TRIM(SUBSTITUTE(PROPER(C246)&amp;" "&amp;IF(OR(D246="County",D246="Township",D246="Village",D246="Charter Township"),D246,"")&amp;IF(D246="Township"," "&amp;"("&amp;VLOOKUP(A246,counties,3,0)&amp;")",""),"  "," "))</f>
        <v>Blaine Township (Benzie County)</v>
      </c>
    </row>
    <row r="247" spans="1:8" ht="15.75" thickBot="1" x14ac:dyDescent="0.3">
      <c r="A247">
        <f t="shared" si="3"/>
        <v>10</v>
      </c>
      <c r="B247" s="8">
        <v>2016</v>
      </c>
      <c r="C247" s="1" t="s">
        <v>232</v>
      </c>
      <c r="D247" s="1" t="s">
        <v>9</v>
      </c>
      <c r="E247" s="2" t="s">
        <v>7</v>
      </c>
      <c r="F247" s="9" t="s">
        <v>8</v>
      </c>
      <c r="H247" t="str">
        <f>TRIM(SUBSTITUTE(PROPER(C247)&amp;" "&amp;IF(OR(D247="County",D247="Township",D247="Village",D247="Charter Township"),D247,"")&amp;IF(D247="Township"," "&amp;"("&amp;VLOOKUP(A247,counties,3,0)&amp;")",""),"  "," "))</f>
        <v>Crystal Lake Township (Benzie County)</v>
      </c>
    </row>
    <row r="248" spans="1:8" ht="15.75" thickBot="1" x14ac:dyDescent="0.3">
      <c r="A248">
        <f t="shared" si="3"/>
        <v>10</v>
      </c>
      <c r="B248" s="10">
        <v>2016</v>
      </c>
      <c r="C248" s="3" t="s">
        <v>233</v>
      </c>
      <c r="D248" s="3" t="s">
        <v>21</v>
      </c>
      <c r="E248" s="4" t="s">
        <v>7</v>
      </c>
      <c r="F248" s="11" t="s">
        <v>19</v>
      </c>
      <c r="H248" t="str">
        <f>TRIM(SUBSTITUTE(PROPER(C248)&amp;" "&amp;IF(OR(D248="County",D248="Township",D248="Village",D248="Charter Township"),D248,"")&amp;IF(D248="Township"," "&amp;"("&amp;VLOOKUP(A248,counties,3,0)&amp;")",""),"  "," "))</f>
        <v>Elberta Village</v>
      </c>
    </row>
    <row r="249" spans="1:8" ht="15.75" thickBot="1" x14ac:dyDescent="0.3">
      <c r="A249">
        <f t="shared" si="3"/>
        <v>10</v>
      </c>
      <c r="B249" s="8">
        <v>2016</v>
      </c>
      <c r="C249" s="1" t="s">
        <v>234</v>
      </c>
      <c r="D249" s="1" t="s">
        <v>15</v>
      </c>
      <c r="E249" s="2" t="s">
        <v>7</v>
      </c>
      <c r="F249" s="9" t="s">
        <v>8</v>
      </c>
      <c r="H249" t="str">
        <f>TRIM(SUBSTITUTE(PROPER(C249)&amp;" "&amp;IF(OR(D249="County",D249="Township",D249="Village",D249="Charter Township"),D249,"")&amp;IF(D249="Township"," "&amp;"("&amp;VLOOKUP(A249,counties,3,0)&amp;")",""),"  "," "))</f>
        <v>Frankfort</v>
      </c>
    </row>
    <row r="250" spans="1:8" ht="15.75" thickBot="1" x14ac:dyDescent="0.3">
      <c r="A250">
        <f t="shared" si="3"/>
        <v>10</v>
      </c>
      <c r="B250" s="10">
        <v>2016</v>
      </c>
      <c r="C250" s="3" t="s">
        <v>235</v>
      </c>
      <c r="D250" s="3" t="s">
        <v>17</v>
      </c>
      <c r="E250" s="4" t="s">
        <v>7</v>
      </c>
      <c r="F250" s="11" t="s">
        <v>8</v>
      </c>
      <c r="H250" t="str">
        <f>TRIM(SUBSTITUTE(PROPER(C250)&amp;" "&amp;IF(OR(D250="County",D250="Township",D250="Village",D250="Charter Township"),D250,"")&amp;IF(D250="Township"," "&amp;"("&amp;VLOOKUP(A250,counties,3,0)&amp;")",""),"  "," "))</f>
        <v>Frankfort City-County Airport Authority</v>
      </c>
    </row>
    <row r="251" spans="1:8" ht="15.75" thickBot="1" x14ac:dyDescent="0.3">
      <c r="A251">
        <f t="shared" si="3"/>
        <v>10</v>
      </c>
      <c r="B251" s="8">
        <v>2016</v>
      </c>
      <c r="C251" s="1" t="s">
        <v>236</v>
      </c>
      <c r="D251" s="1" t="s">
        <v>9</v>
      </c>
      <c r="E251" s="2" t="s">
        <v>7</v>
      </c>
      <c r="F251" s="9" t="s">
        <v>8</v>
      </c>
      <c r="H251" t="str">
        <f>TRIM(SUBSTITUTE(PROPER(C251)&amp;" "&amp;IF(OR(D251="County",D251="Township",D251="Village",D251="Charter Township"),D251,"")&amp;IF(D251="Township"," "&amp;"("&amp;VLOOKUP(A251,counties,3,0)&amp;")",""),"  "," "))</f>
        <v>Homestead Township (Benzie County)</v>
      </c>
    </row>
    <row r="252" spans="1:8" ht="15.75" thickBot="1" x14ac:dyDescent="0.3">
      <c r="A252">
        <f t="shared" si="3"/>
        <v>10</v>
      </c>
      <c r="B252" s="10">
        <v>2016</v>
      </c>
      <c r="C252" s="3" t="s">
        <v>237</v>
      </c>
      <c r="D252" s="3" t="s">
        <v>21</v>
      </c>
      <c r="E252" s="4" t="s">
        <v>7</v>
      </c>
      <c r="F252" s="11" t="s">
        <v>8</v>
      </c>
      <c r="H252" t="str">
        <f>TRIM(SUBSTITUTE(PROPER(C252)&amp;" "&amp;IF(OR(D252="County",D252="Township",D252="Village",D252="Charter Township"),D252,"")&amp;IF(D252="Township"," "&amp;"("&amp;VLOOKUP(A252,counties,3,0)&amp;")",""),"  "," "))</f>
        <v>Honor Village</v>
      </c>
    </row>
    <row r="253" spans="1:8" ht="15.75" thickBot="1" x14ac:dyDescent="0.3">
      <c r="A253">
        <f t="shared" si="3"/>
        <v>10</v>
      </c>
      <c r="B253" s="8">
        <v>2016</v>
      </c>
      <c r="C253" s="1" t="s">
        <v>238</v>
      </c>
      <c r="D253" s="1" t="s">
        <v>9</v>
      </c>
      <c r="E253" s="2" t="s">
        <v>7</v>
      </c>
      <c r="F253" s="9" t="s">
        <v>8</v>
      </c>
      <c r="H253" t="str">
        <f>TRIM(SUBSTITUTE(PROPER(C253)&amp;" "&amp;IF(OR(D253="County",D253="Township",D253="Village",D253="Charter Township"),D253,"")&amp;IF(D253="Township"," "&amp;"("&amp;VLOOKUP(A253,counties,3,0)&amp;")",""),"  "," "))</f>
        <v>Inland Township (Benzie County)</v>
      </c>
    </row>
    <row r="254" spans="1:8" ht="15.75" thickBot="1" x14ac:dyDescent="0.3">
      <c r="A254">
        <f t="shared" si="3"/>
        <v>10</v>
      </c>
      <c r="B254" s="10">
        <v>2016</v>
      </c>
      <c r="C254" s="3" t="s">
        <v>239</v>
      </c>
      <c r="D254" s="3" t="s">
        <v>9</v>
      </c>
      <c r="E254" s="4" t="s">
        <v>7</v>
      </c>
      <c r="F254" s="11" t="s">
        <v>19</v>
      </c>
      <c r="H254" t="str">
        <f>TRIM(SUBSTITUTE(PROPER(C254)&amp;" "&amp;IF(OR(D254="County",D254="Township",D254="Village",D254="Charter Township"),D254,"")&amp;IF(D254="Township"," "&amp;"("&amp;VLOOKUP(A254,counties,3,0)&amp;")",""),"  "," "))</f>
        <v>Joyfield Township (Benzie County)</v>
      </c>
    </row>
    <row r="255" spans="1:8" ht="15.75" thickBot="1" x14ac:dyDescent="0.3">
      <c r="A255">
        <f t="shared" si="3"/>
        <v>10</v>
      </c>
      <c r="B255" s="8">
        <v>2016</v>
      </c>
      <c r="C255" s="1" t="s">
        <v>240</v>
      </c>
      <c r="D255" s="1" t="s">
        <v>9</v>
      </c>
      <c r="E255" s="2" t="s">
        <v>7</v>
      </c>
      <c r="F255" s="9" t="s">
        <v>19</v>
      </c>
      <c r="H255" t="str">
        <f>TRIM(SUBSTITUTE(PROPER(C255)&amp;" "&amp;IF(OR(D255="County",D255="Township",D255="Village",D255="Charter Township"),D255,"")&amp;IF(D255="Township"," "&amp;"("&amp;VLOOKUP(A255,counties,3,0)&amp;")",""),"  "," "))</f>
        <v>Lake Township (Benzie County)</v>
      </c>
    </row>
    <row r="256" spans="1:8" ht="15.75" thickBot="1" x14ac:dyDescent="0.3">
      <c r="A256">
        <f t="shared" si="3"/>
        <v>10</v>
      </c>
      <c r="B256" s="10">
        <v>2016</v>
      </c>
      <c r="C256" s="3" t="s">
        <v>241</v>
      </c>
      <c r="D256" s="3" t="s">
        <v>21</v>
      </c>
      <c r="E256" s="4" t="s">
        <v>7</v>
      </c>
      <c r="F256" s="11" t="s">
        <v>8</v>
      </c>
      <c r="H256" t="str">
        <f>TRIM(SUBSTITUTE(PROPER(C256)&amp;" "&amp;IF(OR(D256="County",D256="Township",D256="Village",D256="Charter Township"),D256,"")&amp;IF(D256="Township"," "&amp;"("&amp;VLOOKUP(A256,counties,3,0)&amp;")",""),"  "," "))</f>
        <v>Lake Ann Village</v>
      </c>
    </row>
    <row r="257" spans="1:8" ht="15.75" thickBot="1" x14ac:dyDescent="0.3">
      <c r="A257">
        <f t="shared" si="3"/>
        <v>10</v>
      </c>
      <c r="B257" s="8">
        <v>2016</v>
      </c>
      <c r="C257" s="1" t="s">
        <v>242</v>
      </c>
      <c r="D257" s="1" t="s">
        <v>17</v>
      </c>
      <c r="E257" s="2" t="s">
        <v>7</v>
      </c>
      <c r="F257" s="9" t="s">
        <v>8</v>
      </c>
      <c r="H257" t="str">
        <f>TRIM(SUBSTITUTE(PROPER(C257)&amp;" "&amp;IF(OR(D257="County",D257="Township",D257="Village",D257="Charter Township"),D257,"")&amp;IF(D257="Township"," "&amp;"("&amp;VLOOKUP(A257,counties,3,0)&amp;")",""),"  "," "))</f>
        <v>Maples, Benzie Co Medical Care Facility</v>
      </c>
    </row>
    <row r="258" spans="1:8" ht="15.75" thickBot="1" x14ac:dyDescent="0.3">
      <c r="A258">
        <f t="shared" si="3"/>
        <v>10</v>
      </c>
      <c r="B258" s="10">
        <v>2016</v>
      </c>
      <c r="C258" s="3" t="s">
        <v>243</v>
      </c>
      <c r="D258" s="3" t="s">
        <v>9</v>
      </c>
      <c r="E258" s="4" t="s">
        <v>7</v>
      </c>
      <c r="F258" s="11" t="s">
        <v>8</v>
      </c>
      <c r="H258" t="str">
        <f>TRIM(SUBSTITUTE(PROPER(C258)&amp;" "&amp;IF(OR(D258="County",D258="Township",D258="Village",D258="Charter Township"),D258,"")&amp;IF(D258="Township"," "&amp;"("&amp;VLOOKUP(A258,counties,3,0)&amp;")",""),"  "," "))</f>
        <v>Platte Township (Benzie County)</v>
      </c>
    </row>
    <row r="259" spans="1:8" ht="15.75" thickBot="1" x14ac:dyDescent="0.3">
      <c r="A259">
        <f t="shared" ref="A259:A322" si="4">IF(B259="Year",A258+1,A258)</f>
        <v>10</v>
      </c>
      <c r="B259" s="16">
        <v>2016</v>
      </c>
      <c r="C259" s="17" t="s">
        <v>244</v>
      </c>
      <c r="D259" s="17" t="s">
        <v>9</v>
      </c>
      <c r="E259" s="18" t="s">
        <v>7</v>
      </c>
      <c r="F259" s="19" t="s">
        <v>8</v>
      </c>
      <c r="H259" t="str">
        <f>TRIM(SUBSTITUTE(PROPER(C259)&amp;" "&amp;IF(OR(D259="County",D259="Township",D259="Village",D259="Charter Township"),D259,"")&amp;IF(D259="Township"," "&amp;"("&amp;VLOOKUP(A259,counties,3,0)&amp;")",""),"  "," "))</f>
        <v>Weldon Township (Benzie County)</v>
      </c>
    </row>
    <row r="260" spans="1:8" ht="16.5" thickTop="1" thickBot="1" x14ac:dyDescent="0.3">
      <c r="A260">
        <f t="shared" si="4"/>
        <v>11</v>
      </c>
      <c r="B260" s="5" t="s">
        <v>0</v>
      </c>
      <c r="C260" s="6" t="s">
        <v>1</v>
      </c>
      <c r="D260" s="6" t="s">
        <v>2</v>
      </c>
      <c r="E260" s="6" t="s">
        <v>3</v>
      </c>
      <c r="F260" s="7" t="s">
        <v>4</v>
      </c>
      <c r="H260" t="str">
        <f>TRIM(SUBSTITUTE(PROPER(C260)&amp;" "&amp;IF(OR(D260="County",D260="Township",D260="Village",D260="Charter Township"),D260,"")&amp;IF(D260="Township"," "&amp;"("&amp;VLOOKUP(A260,counties,3,0)&amp;")",""),"  "," "))</f>
        <v>Municipality</v>
      </c>
    </row>
    <row r="261" spans="1:8" ht="15.75" thickBot="1" x14ac:dyDescent="0.3">
      <c r="A261">
        <f t="shared" si="4"/>
        <v>11</v>
      </c>
      <c r="B261" s="8">
        <v>2016</v>
      </c>
      <c r="C261" s="1" t="s">
        <v>245</v>
      </c>
      <c r="D261" s="1" t="s">
        <v>9</v>
      </c>
      <c r="E261" s="2" t="s">
        <v>7</v>
      </c>
      <c r="F261" s="9" t="s">
        <v>19</v>
      </c>
      <c r="H261" t="str">
        <f>TRIM(SUBSTITUTE(PROPER(C261)&amp;" "&amp;IF(OR(D261="County",D261="Township",D261="Village",D261="Charter Township"),D261,"")&amp;IF(D261="Township"," "&amp;"("&amp;VLOOKUP(A261,counties,3,0)&amp;")",""),"  "," "))</f>
        <v>Bainbridge Township (Berrien County)</v>
      </c>
    </row>
    <row r="262" spans="1:8" ht="15.75" thickBot="1" x14ac:dyDescent="0.3">
      <c r="A262">
        <f t="shared" si="4"/>
        <v>11</v>
      </c>
      <c r="B262" s="10">
        <v>2016</v>
      </c>
      <c r="C262" s="3" t="s">
        <v>246</v>
      </c>
      <c r="D262" s="3" t="s">
        <v>9</v>
      </c>
      <c r="E262" s="4" t="s">
        <v>7</v>
      </c>
      <c r="F262" s="11" t="s">
        <v>8</v>
      </c>
      <c r="H262" t="str">
        <f>TRIM(SUBSTITUTE(PROPER(C262)&amp;" "&amp;IF(OR(D262="County",D262="Township",D262="Village",D262="Charter Township"),D262,"")&amp;IF(D262="Township"," "&amp;"("&amp;VLOOKUP(A262,counties,3,0)&amp;")",""),"  "," "))</f>
        <v>Baroda Township (Berrien County)</v>
      </c>
    </row>
    <row r="263" spans="1:8" ht="15.75" thickBot="1" x14ac:dyDescent="0.3">
      <c r="A263">
        <f t="shared" si="4"/>
        <v>11</v>
      </c>
      <c r="B263" s="8">
        <v>2016</v>
      </c>
      <c r="C263" s="1" t="s">
        <v>246</v>
      </c>
      <c r="D263" s="1" t="s">
        <v>21</v>
      </c>
      <c r="E263" s="2" t="s">
        <v>7</v>
      </c>
      <c r="F263" s="9" t="s">
        <v>8</v>
      </c>
      <c r="H263" t="str">
        <f>TRIM(SUBSTITUTE(PROPER(C263)&amp;" "&amp;IF(OR(D263="County",D263="Township",D263="Village",D263="Charter Township"),D263,"")&amp;IF(D263="Township"," "&amp;"("&amp;VLOOKUP(A263,counties,3,0)&amp;")",""),"  "," "))</f>
        <v>Baroda Village</v>
      </c>
    </row>
    <row r="264" spans="1:8" ht="15.75" thickBot="1" x14ac:dyDescent="0.3">
      <c r="A264">
        <f t="shared" si="4"/>
        <v>11</v>
      </c>
      <c r="B264" s="10">
        <v>2016</v>
      </c>
      <c r="C264" s="3" t="s">
        <v>247</v>
      </c>
      <c r="D264" s="3" t="s">
        <v>17</v>
      </c>
      <c r="E264" s="4" t="s">
        <v>7</v>
      </c>
      <c r="F264" s="11" t="s">
        <v>8</v>
      </c>
      <c r="H264" t="str">
        <f>TRIM(SUBSTITUTE(PROPER(C264)&amp;" "&amp;IF(OR(D264="County",D264="Township",D264="Village",D264="Charter Township"),D264,"")&amp;IF(D264="Township"," "&amp;"("&amp;VLOOKUP(A264,counties,3,0)&amp;")",""),"  "," "))</f>
        <v>Baroda Lake Police Department</v>
      </c>
    </row>
    <row r="265" spans="1:8" ht="15.75" thickBot="1" x14ac:dyDescent="0.3">
      <c r="A265">
        <f t="shared" si="4"/>
        <v>11</v>
      </c>
      <c r="B265" s="8">
        <v>2016</v>
      </c>
      <c r="C265" s="1" t="s">
        <v>248</v>
      </c>
      <c r="D265" s="1" t="s">
        <v>9</v>
      </c>
      <c r="E265" s="2" t="s">
        <v>7</v>
      </c>
      <c r="F265" s="9" t="s">
        <v>8</v>
      </c>
      <c r="H265" t="str">
        <f>TRIM(SUBSTITUTE(PROPER(C265)&amp;" "&amp;IF(OR(D265="County",D265="Township",D265="Village",D265="Charter Township"),D265,"")&amp;IF(D265="Township"," "&amp;"("&amp;VLOOKUP(A265,counties,3,0)&amp;")",""),"  "," "))</f>
        <v>Benton Charter Township (Berrien County)</v>
      </c>
    </row>
    <row r="266" spans="1:8" ht="15.75" thickBot="1" x14ac:dyDescent="0.3">
      <c r="A266">
        <f t="shared" si="4"/>
        <v>11</v>
      </c>
      <c r="B266" s="10">
        <v>2016</v>
      </c>
      <c r="C266" s="3" t="s">
        <v>249</v>
      </c>
      <c r="D266" s="3" t="s">
        <v>15</v>
      </c>
      <c r="E266" s="4" t="s">
        <v>7</v>
      </c>
      <c r="F266" s="11" t="s">
        <v>8</v>
      </c>
      <c r="H266" t="str">
        <f>TRIM(SUBSTITUTE(PROPER(C266)&amp;" "&amp;IF(OR(D266="County",D266="Township",D266="Village",D266="Charter Township"),D266,"")&amp;IF(D266="Township"," "&amp;"("&amp;VLOOKUP(A266,counties,3,0)&amp;")",""),"  "," "))</f>
        <v>Benton Harbor</v>
      </c>
    </row>
    <row r="267" spans="1:8" ht="21.75" thickBot="1" x14ac:dyDescent="0.3">
      <c r="A267">
        <f t="shared" si="4"/>
        <v>11</v>
      </c>
      <c r="B267" s="8">
        <v>2016</v>
      </c>
      <c r="C267" s="1" t="s">
        <v>250</v>
      </c>
      <c r="D267" s="1" t="s">
        <v>17</v>
      </c>
      <c r="E267" s="2" t="s">
        <v>7</v>
      </c>
      <c r="F267" s="9" t="s">
        <v>8</v>
      </c>
      <c r="H267" t="str">
        <f>TRIM(SUBSTITUTE(PROPER(C267)&amp;" "&amp;IF(OR(D267="County",D267="Township",D267="Village",D267="Charter Township"),D267,"")&amp;IF(D267="Township"," "&amp;"("&amp;VLOOKUP(A267,counties,3,0)&amp;")",""),"  "," "))</f>
        <v>Benton Harbor - St Joseph Joint Wastewater Treatment Plant</v>
      </c>
    </row>
    <row r="268" spans="1:8" ht="15.75" thickBot="1" x14ac:dyDescent="0.3">
      <c r="A268">
        <f t="shared" si="4"/>
        <v>11</v>
      </c>
      <c r="B268" s="10">
        <v>2016</v>
      </c>
      <c r="C268" s="3" t="s">
        <v>251</v>
      </c>
      <c r="D268" s="3" t="s">
        <v>17</v>
      </c>
      <c r="E268" s="4" t="s">
        <v>7</v>
      </c>
      <c r="F268" s="11" t="s">
        <v>8</v>
      </c>
      <c r="H268" t="str">
        <f>TRIM(SUBSTITUTE(PROPER(C268)&amp;" "&amp;IF(OR(D268="County",D268="Township",D268="Village",D268="Charter Township"),D268,"")&amp;IF(D268="Township"," "&amp;"("&amp;VLOOKUP(A268,counties,3,0)&amp;")",""),"  "," "))</f>
        <v>Benton Harbor City Housing Commission</v>
      </c>
    </row>
    <row r="269" spans="1:8" ht="15.75" thickBot="1" x14ac:dyDescent="0.3">
      <c r="A269">
        <f t="shared" si="4"/>
        <v>11</v>
      </c>
      <c r="B269" s="8">
        <v>2016</v>
      </c>
      <c r="C269" s="1" t="s">
        <v>252</v>
      </c>
      <c r="D269" s="1" t="s">
        <v>42</v>
      </c>
      <c r="E269" s="2" t="s">
        <v>7</v>
      </c>
      <c r="F269" s="9" t="s">
        <v>8</v>
      </c>
      <c r="H269" t="str">
        <f>TRIM(SUBSTITUTE(PROPER(C269)&amp;" "&amp;IF(OR(D269="County",D269="Township",D269="Village",D269="Charter Township"),D269,"")&amp;IF(D269="Township"," "&amp;"("&amp;VLOOKUP(A269,counties,3,0)&amp;")",""),"  "," "))</f>
        <v>Benton Harbor Public Library</v>
      </c>
    </row>
    <row r="270" spans="1:8" ht="15.75" thickBot="1" x14ac:dyDescent="0.3">
      <c r="A270">
        <f t="shared" si="4"/>
        <v>11</v>
      </c>
      <c r="B270" s="10">
        <v>2016</v>
      </c>
      <c r="C270" s="3" t="s">
        <v>253</v>
      </c>
      <c r="D270" s="3" t="s">
        <v>17</v>
      </c>
      <c r="E270" s="4" t="s">
        <v>7</v>
      </c>
      <c r="F270" s="11" t="s">
        <v>8</v>
      </c>
      <c r="H270" t="str">
        <f>TRIM(SUBSTITUTE(PROPER(C270)&amp;" "&amp;IF(OR(D270="County",D270="Township",D270="Village",D270="Charter Township"),D270,"")&amp;IF(D270="Township"," "&amp;"("&amp;VLOOKUP(A270,counties,3,0)&amp;")",""),"  "," "))</f>
        <v>Benton Twp Housing Commission</v>
      </c>
    </row>
    <row r="271" spans="1:8" ht="15.75" thickBot="1" x14ac:dyDescent="0.3">
      <c r="A271">
        <f t="shared" si="4"/>
        <v>11</v>
      </c>
      <c r="B271" s="8">
        <v>2016</v>
      </c>
      <c r="C271" s="1" t="s">
        <v>254</v>
      </c>
      <c r="D271" s="1" t="s">
        <v>6</v>
      </c>
      <c r="E271" s="2" t="s">
        <v>7</v>
      </c>
      <c r="F271" s="9" t="s">
        <v>8</v>
      </c>
      <c r="H271" t="str">
        <f>TRIM(SUBSTITUTE(PROPER(C271)&amp;" "&amp;IF(OR(D271="County",D271="Township",D271="Village",D271="Charter Township"),D271,"")&amp;IF(D271="Township"," "&amp;"("&amp;VLOOKUP(A271,counties,3,0)&amp;")",""),"  "," "))</f>
        <v>Berrien County</v>
      </c>
    </row>
    <row r="272" spans="1:8" ht="15.75" thickBot="1" x14ac:dyDescent="0.3">
      <c r="A272">
        <f t="shared" si="4"/>
        <v>11</v>
      </c>
      <c r="B272" s="10">
        <v>2016</v>
      </c>
      <c r="C272" s="3" t="s">
        <v>254</v>
      </c>
      <c r="D272" s="3" t="s">
        <v>9</v>
      </c>
      <c r="E272" s="4" t="s">
        <v>7</v>
      </c>
      <c r="F272" s="11" t="s">
        <v>8</v>
      </c>
      <c r="H272" t="str">
        <f>TRIM(SUBSTITUTE(PROPER(C272)&amp;" "&amp;IF(OR(D272="County",D272="Township",D272="Village",D272="Charter Township"),D272,"")&amp;IF(D272="Township"," "&amp;"("&amp;VLOOKUP(A272,counties,3,0)&amp;")",""),"  "," "))</f>
        <v>Berrien Township (Berrien County)</v>
      </c>
    </row>
    <row r="273" spans="1:8" ht="21.75" thickBot="1" x14ac:dyDescent="0.3">
      <c r="A273">
        <f t="shared" si="4"/>
        <v>11</v>
      </c>
      <c r="B273" s="8">
        <v>2016</v>
      </c>
      <c r="C273" s="1" t="s">
        <v>255</v>
      </c>
      <c r="D273" s="1" t="s">
        <v>17</v>
      </c>
      <c r="E273" s="2" t="s">
        <v>7</v>
      </c>
      <c r="F273" s="9" t="s">
        <v>8</v>
      </c>
      <c r="H273" t="str">
        <f>TRIM(SUBSTITUTE(PROPER(C273)&amp;" "&amp;IF(OR(D273="County",D273="Township",D273="Village",D273="Charter Township"),D273,"")&amp;IF(D273="Township"," "&amp;"("&amp;VLOOKUP(A273,counties,3,0)&amp;")",""),"  "," "))</f>
        <v>Berrien County Brownfield Redevelopment Authority</v>
      </c>
    </row>
    <row r="274" spans="1:8" ht="15.75" thickBot="1" x14ac:dyDescent="0.3">
      <c r="A274">
        <f t="shared" si="4"/>
        <v>11</v>
      </c>
      <c r="B274" s="10">
        <v>2016</v>
      </c>
      <c r="C274" s="3" t="s">
        <v>256</v>
      </c>
      <c r="D274" s="3" t="s">
        <v>17</v>
      </c>
      <c r="E274" s="4" t="s">
        <v>7</v>
      </c>
      <c r="F274" s="11" t="s">
        <v>8</v>
      </c>
      <c r="H274" t="str">
        <f>TRIM(SUBSTITUTE(PROPER(C274)&amp;" "&amp;IF(OR(D274="County",D274="Township",D274="Village",D274="Charter Township"),D274,"")&amp;IF(D274="Township"," "&amp;"("&amp;VLOOKUP(A274,counties,3,0)&amp;")",""),"  "," "))</f>
        <v>Berrien County Employees' Retirement System</v>
      </c>
    </row>
    <row r="275" spans="1:8" ht="15.75" thickBot="1" x14ac:dyDescent="0.3">
      <c r="A275">
        <f t="shared" si="4"/>
        <v>11</v>
      </c>
      <c r="B275" s="8">
        <v>2016</v>
      </c>
      <c r="C275" s="1" t="s">
        <v>257</v>
      </c>
      <c r="D275" s="1" t="s">
        <v>17</v>
      </c>
      <c r="E275" s="2" t="s">
        <v>7</v>
      </c>
      <c r="F275" s="9" t="s">
        <v>8</v>
      </c>
      <c r="H275" t="str">
        <f>TRIM(SUBSTITUTE(PROPER(C275)&amp;" "&amp;IF(OR(D275="County",D275="Township",D275="Village",D275="Charter Township"),D275,"")&amp;IF(D275="Township"," "&amp;"("&amp;VLOOKUP(A275,counties,3,0)&amp;")",""),"  "," "))</f>
        <v>Berrien County Land Bank Fast Track Authority</v>
      </c>
    </row>
    <row r="276" spans="1:8" ht="15.75" thickBot="1" x14ac:dyDescent="0.3">
      <c r="A276">
        <f t="shared" si="4"/>
        <v>11</v>
      </c>
      <c r="B276" s="10">
        <v>2016</v>
      </c>
      <c r="C276" s="3" t="s">
        <v>258</v>
      </c>
      <c r="D276" s="3" t="s">
        <v>17</v>
      </c>
      <c r="E276" s="4" t="s">
        <v>7</v>
      </c>
      <c r="F276" s="11" t="s">
        <v>8</v>
      </c>
      <c r="H276" t="str">
        <f>TRIM(SUBSTITUTE(PROPER(C276)&amp;" "&amp;IF(OR(D276="County",D276="Township",D276="Village",D276="Charter Township"),D276,"")&amp;IF(D276="Township"," "&amp;"("&amp;VLOOKUP(A276,counties,3,0)&amp;")",""),"  "," "))</f>
        <v>Berrien County Public Transportation</v>
      </c>
    </row>
    <row r="277" spans="1:8" ht="15.75" thickBot="1" x14ac:dyDescent="0.3">
      <c r="A277">
        <f t="shared" si="4"/>
        <v>11</v>
      </c>
      <c r="B277" s="8">
        <v>2016</v>
      </c>
      <c r="C277" s="1" t="s">
        <v>259</v>
      </c>
      <c r="D277" s="1" t="s">
        <v>11</v>
      </c>
      <c r="E277" s="2" t="s">
        <v>7</v>
      </c>
      <c r="F277" s="9" t="s">
        <v>8</v>
      </c>
      <c r="H277" t="str">
        <f>TRIM(SUBSTITUTE(PROPER(C277)&amp;" "&amp;IF(OR(D277="County",D277="Township",D277="Village",D277="Charter Township"),D277,"")&amp;IF(D277="Township"," "&amp;"("&amp;VLOOKUP(A277,counties,3,0)&amp;")",""),"  "," "))</f>
        <v>Berrien County Road Commission</v>
      </c>
    </row>
    <row r="278" spans="1:8" ht="15.75" thickBot="1" x14ac:dyDescent="0.3">
      <c r="A278">
        <f t="shared" si="4"/>
        <v>11</v>
      </c>
      <c r="B278" s="10">
        <v>2016</v>
      </c>
      <c r="C278" s="3" t="s">
        <v>260</v>
      </c>
      <c r="D278" s="3" t="s">
        <v>17</v>
      </c>
      <c r="E278" s="4" t="s">
        <v>7</v>
      </c>
      <c r="F278" s="11" t="s">
        <v>8</v>
      </c>
      <c r="H278" t="str">
        <f>TRIM(SUBSTITUTE(PROPER(C278)&amp;" "&amp;IF(OR(D278="County",D278="Township",D278="Village",D278="Charter Township"),D278,"")&amp;IF(D278="Township"," "&amp;"("&amp;VLOOKUP(A278,counties,3,0)&amp;")",""),"  "," "))</f>
        <v>Berrien Mental Health Authority</v>
      </c>
    </row>
    <row r="279" spans="1:8" ht="15.75" thickBot="1" x14ac:dyDescent="0.3">
      <c r="A279">
        <f t="shared" si="4"/>
        <v>11</v>
      </c>
      <c r="B279" s="8">
        <v>2016</v>
      </c>
      <c r="C279" s="1" t="s">
        <v>261</v>
      </c>
      <c r="D279" s="1" t="s">
        <v>21</v>
      </c>
      <c r="E279" s="2" t="s">
        <v>7</v>
      </c>
      <c r="F279" s="9" t="s">
        <v>8</v>
      </c>
      <c r="H279" t="str">
        <f>TRIM(SUBSTITUTE(PROPER(C279)&amp;" "&amp;IF(OR(D279="County",D279="Township",D279="Village",D279="Charter Township"),D279,"")&amp;IF(D279="Township"," "&amp;"("&amp;VLOOKUP(A279,counties,3,0)&amp;")",""),"  "," "))</f>
        <v>Berrien Springs Village</v>
      </c>
    </row>
    <row r="280" spans="1:8" ht="15.75" thickBot="1" x14ac:dyDescent="0.3">
      <c r="A280">
        <f t="shared" si="4"/>
        <v>11</v>
      </c>
      <c r="B280" s="10">
        <v>2016</v>
      </c>
      <c r="C280" s="3" t="s">
        <v>262</v>
      </c>
      <c r="D280" s="3" t="s">
        <v>42</v>
      </c>
      <c r="E280" s="4" t="s">
        <v>7</v>
      </c>
      <c r="F280" s="11" t="s">
        <v>19</v>
      </c>
      <c r="H280" t="str">
        <f>TRIM(SUBSTITUTE(PROPER(C280)&amp;" "&amp;IF(OR(D280="County",D280="Township",D280="Village",D280="Charter Township"),D280,"")&amp;IF(D280="Township"," "&amp;"("&amp;VLOOKUP(A280,counties,3,0)&amp;")",""),"  "," "))</f>
        <v>Berrien Springs Community Library</v>
      </c>
    </row>
    <row r="281" spans="1:8" ht="15.75" thickBot="1" x14ac:dyDescent="0.3">
      <c r="A281">
        <f t="shared" si="4"/>
        <v>11</v>
      </c>
      <c r="B281" s="8">
        <v>2016</v>
      </c>
      <c r="C281" s="1" t="s">
        <v>263</v>
      </c>
      <c r="D281" s="1" t="s">
        <v>9</v>
      </c>
      <c r="E281" s="2" t="s">
        <v>7</v>
      </c>
      <c r="F281" s="9" t="s">
        <v>8</v>
      </c>
      <c r="H281" t="str">
        <f>TRIM(SUBSTITUTE(PROPER(C281)&amp;" "&amp;IF(OR(D281="County",D281="Township",D281="Village",D281="Charter Township"),D281,"")&amp;IF(D281="Township"," "&amp;"("&amp;VLOOKUP(A281,counties,3,0)&amp;")",""),"  "," "))</f>
        <v>Bertrand Township (Berrien County)</v>
      </c>
    </row>
    <row r="282" spans="1:8" ht="15.75" thickBot="1" x14ac:dyDescent="0.3">
      <c r="A282">
        <f t="shared" si="4"/>
        <v>11</v>
      </c>
      <c r="B282" s="10">
        <v>2016</v>
      </c>
      <c r="C282" s="3" t="s">
        <v>264</v>
      </c>
      <c r="D282" s="3" t="s">
        <v>15</v>
      </c>
      <c r="E282" s="4" t="s">
        <v>7</v>
      </c>
      <c r="F282" s="11" t="s">
        <v>8</v>
      </c>
      <c r="H282" t="str">
        <f>TRIM(SUBSTITUTE(PROPER(C282)&amp;" "&amp;IF(OR(D282="County",D282="Township",D282="Village",D282="Charter Township"),D282,"")&amp;IF(D282="Township"," "&amp;"("&amp;VLOOKUP(A282,counties,3,0)&amp;")",""),"  "," "))</f>
        <v>Bridgman</v>
      </c>
    </row>
    <row r="283" spans="1:8" ht="15.75" thickBot="1" x14ac:dyDescent="0.3">
      <c r="A283">
        <f t="shared" si="4"/>
        <v>11</v>
      </c>
      <c r="B283" s="8">
        <v>2016</v>
      </c>
      <c r="C283" s="1" t="s">
        <v>265</v>
      </c>
      <c r="D283" s="1" t="s">
        <v>42</v>
      </c>
      <c r="E283" s="2" t="s">
        <v>7</v>
      </c>
      <c r="F283" s="9" t="s">
        <v>8</v>
      </c>
      <c r="H283" t="str">
        <f>TRIM(SUBSTITUTE(PROPER(C283)&amp;" "&amp;IF(OR(D283="County",D283="Township",D283="Village",D283="Charter Township"),D283,"")&amp;IF(D283="Township"," "&amp;"("&amp;VLOOKUP(A283,counties,3,0)&amp;")",""),"  "," "))</f>
        <v>Bridgman Public Library</v>
      </c>
    </row>
    <row r="284" spans="1:8" ht="15.75" thickBot="1" x14ac:dyDescent="0.3">
      <c r="A284">
        <f t="shared" si="4"/>
        <v>11</v>
      </c>
      <c r="B284" s="10">
        <v>2016</v>
      </c>
      <c r="C284" s="3" t="s">
        <v>266</v>
      </c>
      <c r="D284" s="3" t="s">
        <v>15</v>
      </c>
      <c r="E284" s="4" t="s">
        <v>7</v>
      </c>
      <c r="F284" s="11" t="s">
        <v>8</v>
      </c>
      <c r="H284" t="str">
        <f>TRIM(SUBSTITUTE(PROPER(C284)&amp;" "&amp;IF(OR(D284="County",D284="Township",D284="Village",D284="Charter Township"),D284,"")&amp;IF(D284="Township"," "&amp;"("&amp;VLOOKUP(A284,counties,3,0)&amp;")",""),"  "," "))</f>
        <v>Buchanan</v>
      </c>
    </row>
    <row r="285" spans="1:8" ht="15.75" thickBot="1" x14ac:dyDescent="0.3">
      <c r="A285">
        <f t="shared" si="4"/>
        <v>11</v>
      </c>
      <c r="B285" s="8">
        <v>2016</v>
      </c>
      <c r="C285" s="1" t="s">
        <v>266</v>
      </c>
      <c r="D285" s="1" t="s">
        <v>9</v>
      </c>
      <c r="E285" s="2" t="s">
        <v>7</v>
      </c>
      <c r="F285" s="9" t="s">
        <v>19</v>
      </c>
      <c r="H285" t="str">
        <f>TRIM(SUBSTITUTE(PROPER(C285)&amp;" "&amp;IF(OR(D285="County",D285="Township",D285="Village",D285="Charter Township"),D285,"")&amp;IF(D285="Township"," "&amp;"("&amp;VLOOKUP(A285,counties,3,0)&amp;")",""),"  "," "))</f>
        <v>Buchanan Township (Berrien County)</v>
      </c>
    </row>
    <row r="286" spans="1:8" ht="15.75" thickBot="1" x14ac:dyDescent="0.3">
      <c r="A286">
        <f t="shared" si="4"/>
        <v>11</v>
      </c>
      <c r="B286" s="10">
        <v>2016</v>
      </c>
      <c r="C286" s="3" t="s">
        <v>267</v>
      </c>
      <c r="D286" s="3" t="s">
        <v>17</v>
      </c>
      <c r="E286" s="4" t="s">
        <v>7</v>
      </c>
      <c r="F286" s="11" t="s">
        <v>8</v>
      </c>
      <c r="H286" t="str">
        <f>TRIM(SUBSTITUTE(PROPER(C286)&amp;" "&amp;IF(OR(D286="County",D286="Township",D286="Village",D286="Charter Township"),D286,"")&amp;IF(D286="Township"," "&amp;"("&amp;VLOOKUP(A286,counties,3,0)&amp;")",""),"  "," "))</f>
        <v>Buchanan City Dial-A-Ride</v>
      </c>
    </row>
    <row r="287" spans="1:8" ht="15.75" thickBot="1" x14ac:dyDescent="0.3">
      <c r="A287">
        <f t="shared" si="4"/>
        <v>11</v>
      </c>
      <c r="B287" s="8">
        <v>2016</v>
      </c>
      <c r="C287" s="1" t="s">
        <v>268</v>
      </c>
      <c r="D287" s="1" t="s">
        <v>42</v>
      </c>
      <c r="E287" s="2" t="s">
        <v>7</v>
      </c>
      <c r="F287" s="9" t="s">
        <v>8</v>
      </c>
      <c r="H287" t="str">
        <f>TRIM(SUBSTITUTE(PROPER(C287)&amp;" "&amp;IF(OR(D287="County",D287="Township",D287="Village",D287="Charter Township"),D287,"")&amp;IF(D287="Township"," "&amp;"("&amp;VLOOKUP(A287,counties,3,0)&amp;")",""),"  "," "))</f>
        <v>Buchanan District Library</v>
      </c>
    </row>
    <row r="288" spans="1:8" ht="15.75" thickBot="1" x14ac:dyDescent="0.3">
      <c r="A288">
        <f t="shared" si="4"/>
        <v>11</v>
      </c>
      <c r="B288" s="10">
        <v>2016</v>
      </c>
      <c r="C288" s="3" t="s">
        <v>269</v>
      </c>
      <c r="D288" s="3" t="s">
        <v>9</v>
      </c>
      <c r="E288" s="4" t="s">
        <v>7</v>
      </c>
      <c r="F288" s="11" t="s">
        <v>8</v>
      </c>
      <c r="H288" t="str">
        <f>TRIM(SUBSTITUTE(PROPER(C288)&amp;" "&amp;IF(OR(D288="County",D288="Township",D288="Village",D288="Charter Township"),D288,"")&amp;IF(D288="Township"," "&amp;"("&amp;VLOOKUP(A288,counties,3,0)&amp;")",""),"  "," "))</f>
        <v>Chikaming Township (Berrien County)</v>
      </c>
    </row>
    <row r="289" spans="1:8" ht="15.75" thickBot="1" x14ac:dyDescent="0.3">
      <c r="A289">
        <f t="shared" si="4"/>
        <v>11</v>
      </c>
      <c r="B289" s="8">
        <v>2016</v>
      </c>
      <c r="C289" s="1" t="s">
        <v>270</v>
      </c>
      <c r="D289" s="1" t="s">
        <v>15</v>
      </c>
      <c r="E289" s="2" t="s">
        <v>7</v>
      </c>
      <c r="F289" s="9" t="s">
        <v>8</v>
      </c>
      <c r="H289" t="str">
        <f>TRIM(SUBSTITUTE(PROPER(C289)&amp;" "&amp;IF(OR(D289="County",D289="Township",D289="Village",D289="Charter Township"),D289,"")&amp;IF(D289="Township"," "&amp;"("&amp;VLOOKUP(A289,counties,3,0)&amp;")",""),"  "," "))</f>
        <v>Coloma</v>
      </c>
    </row>
    <row r="290" spans="1:8" ht="15.75" thickBot="1" x14ac:dyDescent="0.3">
      <c r="A290">
        <f t="shared" si="4"/>
        <v>11</v>
      </c>
      <c r="B290" s="10">
        <v>2016</v>
      </c>
      <c r="C290" s="3" t="s">
        <v>271</v>
      </c>
      <c r="D290" s="3" t="s">
        <v>9</v>
      </c>
      <c r="E290" s="4" t="s">
        <v>7</v>
      </c>
      <c r="F290" s="11" t="s">
        <v>8</v>
      </c>
      <c r="H290" t="str">
        <f>TRIM(SUBSTITUTE(PROPER(C290)&amp;" "&amp;IF(OR(D290="County",D290="Township",D290="Village",D290="Charter Township"),D290,"")&amp;IF(D290="Township"," "&amp;"("&amp;VLOOKUP(A290,counties,3,0)&amp;")",""),"  "," "))</f>
        <v>Coloma Charter Township (Berrien County)</v>
      </c>
    </row>
    <row r="291" spans="1:8" ht="15.75" thickBot="1" x14ac:dyDescent="0.3">
      <c r="A291">
        <f t="shared" si="4"/>
        <v>11</v>
      </c>
      <c r="B291" s="8">
        <v>2016</v>
      </c>
      <c r="C291" s="1" t="s">
        <v>272</v>
      </c>
      <c r="D291" s="1" t="s">
        <v>17</v>
      </c>
      <c r="E291" s="2" t="s">
        <v>7</v>
      </c>
      <c r="F291" s="9" t="s">
        <v>8</v>
      </c>
      <c r="H291" t="str">
        <f>TRIM(SUBSTITUTE(PROPER(C291)&amp;" "&amp;IF(OR(D291="County",D291="Township",D291="Village",D291="Charter Township"),D291,"")&amp;IF(D291="Township"," "&amp;"("&amp;VLOOKUP(A291,counties,3,0)&amp;")",""),"  "," "))</f>
        <v>Coloma City - Coloma Charter Twp Joint Cemetery</v>
      </c>
    </row>
    <row r="292" spans="1:8" ht="15.75" thickBot="1" x14ac:dyDescent="0.3">
      <c r="A292">
        <f t="shared" si="4"/>
        <v>11</v>
      </c>
      <c r="B292" s="10">
        <v>2016</v>
      </c>
      <c r="C292" s="3" t="s">
        <v>273</v>
      </c>
      <c r="D292" s="3" t="s">
        <v>42</v>
      </c>
      <c r="E292" s="4" t="s">
        <v>7</v>
      </c>
      <c r="F292" s="11" t="s">
        <v>8</v>
      </c>
      <c r="H292" t="str">
        <f>TRIM(SUBSTITUTE(PROPER(C292)&amp;" "&amp;IF(OR(D292="County",D292="Township",D292="Village",D292="Charter Township"),D292,"")&amp;IF(D292="Township"," "&amp;"("&amp;VLOOKUP(A292,counties,3,0)&amp;")",""),"  "," "))</f>
        <v>Coloma Public Library</v>
      </c>
    </row>
    <row r="293" spans="1:8" ht="15.75" thickBot="1" x14ac:dyDescent="0.3">
      <c r="A293">
        <f t="shared" si="4"/>
        <v>11</v>
      </c>
      <c r="B293" s="8">
        <v>2016</v>
      </c>
      <c r="C293" s="1" t="s">
        <v>274</v>
      </c>
      <c r="D293" s="1" t="s">
        <v>21</v>
      </c>
      <c r="E293" s="2" t="s">
        <v>7</v>
      </c>
      <c r="F293" s="9" t="s">
        <v>19</v>
      </c>
      <c r="H293" t="str">
        <f>TRIM(SUBSTITUTE(PROPER(C293)&amp;" "&amp;IF(OR(D293="County",D293="Township",D293="Village",D293="Charter Township"),D293,"")&amp;IF(D293="Township"," "&amp;"("&amp;VLOOKUP(A293,counties,3,0)&amp;")",""),"  "," "))</f>
        <v>Eau Claire Village</v>
      </c>
    </row>
    <row r="294" spans="1:8" ht="15.75" thickBot="1" x14ac:dyDescent="0.3">
      <c r="A294">
        <f t="shared" si="4"/>
        <v>11</v>
      </c>
      <c r="B294" s="10">
        <v>2016</v>
      </c>
      <c r="C294" s="3" t="s">
        <v>275</v>
      </c>
      <c r="D294" s="3" t="s">
        <v>42</v>
      </c>
      <c r="E294" s="4" t="s">
        <v>7</v>
      </c>
      <c r="F294" s="11" t="s">
        <v>8</v>
      </c>
      <c r="H294" t="str">
        <f>TRIM(SUBSTITUTE(PROPER(C294)&amp;" "&amp;IF(OR(D294="County",D294="Township",D294="Village",D294="Charter Township"),D294,"")&amp;IF(D294="Township"," "&amp;"("&amp;VLOOKUP(A294,counties,3,0)&amp;")",""),"  "," "))</f>
        <v>Eau Claire District Library</v>
      </c>
    </row>
    <row r="295" spans="1:8" ht="15.75" thickBot="1" x14ac:dyDescent="0.3">
      <c r="A295">
        <f t="shared" si="4"/>
        <v>11</v>
      </c>
      <c r="B295" s="8">
        <v>2016</v>
      </c>
      <c r="C295" s="1" t="s">
        <v>276</v>
      </c>
      <c r="D295" s="1" t="s">
        <v>9</v>
      </c>
      <c r="E295" s="2" t="s">
        <v>7</v>
      </c>
      <c r="F295" s="9" t="s">
        <v>8</v>
      </c>
      <c r="H295" t="str">
        <f>TRIM(SUBSTITUTE(PROPER(C295)&amp;" "&amp;IF(OR(D295="County",D295="Township",D295="Village",D295="Charter Township"),D295,"")&amp;IF(D295="Township"," "&amp;"("&amp;VLOOKUP(A295,counties,3,0)&amp;")",""),"  "," "))</f>
        <v>Galien Township (Berrien County)</v>
      </c>
    </row>
    <row r="296" spans="1:8" ht="15.75" thickBot="1" x14ac:dyDescent="0.3">
      <c r="A296">
        <f t="shared" si="4"/>
        <v>11</v>
      </c>
      <c r="B296" s="10">
        <v>2016</v>
      </c>
      <c r="C296" s="3" t="s">
        <v>276</v>
      </c>
      <c r="D296" s="3" t="s">
        <v>21</v>
      </c>
      <c r="E296" s="4" t="s">
        <v>7</v>
      </c>
      <c r="F296" s="11" t="s">
        <v>8</v>
      </c>
      <c r="H296" t="str">
        <f>TRIM(SUBSTITUTE(PROPER(C296)&amp;" "&amp;IF(OR(D296="County",D296="Township",D296="Village",D296="Charter Township"),D296,"")&amp;IF(D296="Township"," "&amp;"("&amp;VLOOKUP(A296,counties,3,0)&amp;")",""),"  "," "))</f>
        <v>Galien Village</v>
      </c>
    </row>
    <row r="297" spans="1:8" ht="15.75" thickBot="1" x14ac:dyDescent="0.3">
      <c r="A297">
        <f t="shared" si="4"/>
        <v>11</v>
      </c>
      <c r="B297" s="8">
        <v>2016</v>
      </c>
      <c r="C297" s="1" t="s">
        <v>277</v>
      </c>
      <c r="D297" s="1" t="s">
        <v>21</v>
      </c>
      <c r="E297" s="2" t="s">
        <v>7</v>
      </c>
      <c r="F297" s="9" t="s">
        <v>8</v>
      </c>
      <c r="H297" t="str">
        <f>TRIM(SUBSTITUTE(PROPER(C297)&amp;" "&amp;IF(OR(D297="County",D297="Township",D297="Village",D297="Charter Township"),D297,"")&amp;IF(D297="Township"," "&amp;"("&amp;VLOOKUP(A297,counties,3,0)&amp;")",""),"  "," "))</f>
        <v>Grand Beach Village</v>
      </c>
    </row>
    <row r="298" spans="1:8" ht="15.75" thickBot="1" x14ac:dyDescent="0.3">
      <c r="A298">
        <f t="shared" si="4"/>
        <v>11</v>
      </c>
      <c r="B298" s="10">
        <v>2016</v>
      </c>
      <c r="C298" s="3" t="s">
        <v>278</v>
      </c>
      <c r="D298" s="3" t="s">
        <v>17</v>
      </c>
      <c r="E298" s="4" t="s">
        <v>7</v>
      </c>
      <c r="F298" s="11" t="s">
        <v>8</v>
      </c>
      <c r="H298" t="str">
        <f>TRIM(SUBSTITUTE(PROPER(C298)&amp;" "&amp;IF(OR(D298="County",D298="Township",D298="Village",D298="Charter Township"),D298,"")&amp;IF(D298="Township"," "&amp;"("&amp;VLOOKUP(A298,counties,3,0)&amp;")",""),"  "," "))</f>
        <v>Grsd Sewer Authority</v>
      </c>
    </row>
    <row r="299" spans="1:8" ht="15.75" thickBot="1" x14ac:dyDescent="0.3">
      <c r="A299">
        <f t="shared" si="4"/>
        <v>11</v>
      </c>
      <c r="B299" s="8">
        <v>2016</v>
      </c>
      <c r="C299" s="1" t="s">
        <v>279</v>
      </c>
      <c r="D299" s="1" t="s">
        <v>9</v>
      </c>
      <c r="E299" s="2" t="s">
        <v>7</v>
      </c>
      <c r="F299" s="9" t="s">
        <v>8</v>
      </c>
      <c r="H299" t="str">
        <f>TRIM(SUBSTITUTE(PROPER(C299)&amp;" "&amp;IF(OR(D299="County",D299="Township",D299="Village",D299="Charter Township"),D299,"")&amp;IF(D299="Township"," "&amp;"("&amp;VLOOKUP(A299,counties,3,0)&amp;")",""),"  "," "))</f>
        <v>Hagar Township (Berrien County)</v>
      </c>
    </row>
    <row r="300" spans="1:8" ht="15.75" thickBot="1" x14ac:dyDescent="0.3">
      <c r="A300">
        <f t="shared" si="4"/>
        <v>11</v>
      </c>
      <c r="B300" s="10">
        <v>2016</v>
      </c>
      <c r="C300" s="3" t="s">
        <v>280</v>
      </c>
      <c r="D300" s="3" t="s">
        <v>9</v>
      </c>
      <c r="E300" s="4" t="s">
        <v>7</v>
      </c>
      <c r="F300" s="11" t="s">
        <v>8</v>
      </c>
      <c r="H300" t="str">
        <f>TRIM(SUBSTITUTE(PROPER(C300)&amp;" "&amp;IF(OR(D300="County",D300="Township",D300="Village",D300="Charter Township"),D300,"")&amp;IF(D300="Township"," "&amp;"("&amp;VLOOKUP(A300,counties,3,0)&amp;")",""),"  "," "))</f>
        <v>Lake Charter Township (Berrien County)</v>
      </c>
    </row>
    <row r="301" spans="1:8" ht="15.75" thickBot="1" x14ac:dyDescent="0.3">
      <c r="A301">
        <f t="shared" si="4"/>
        <v>11</v>
      </c>
      <c r="B301" s="8">
        <v>2016</v>
      </c>
      <c r="C301" s="1" t="s">
        <v>281</v>
      </c>
      <c r="D301" s="1" t="s">
        <v>17</v>
      </c>
      <c r="E301" s="2" t="s">
        <v>7</v>
      </c>
      <c r="F301" s="9" t="s">
        <v>8</v>
      </c>
      <c r="H301" t="str">
        <f>TRIM(SUBSTITUTE(PROPER(C301)&amp;" "&amp;IF(OR(D301="County",D301="Township",D301="Village",D301="Charter Township"),D301,"")&amp;IF(D301="Township"," "&amp;"("&amp;VLOOKUP(A301,counties,3,0)&amp;")",""),"  "," "))</f>
        <v>Lake Mi Shoreline Water/Sewage Treatment Auth</v>
      </c>
    </row>
    <row r="302" spans="1:8" ht="15.75" thickBot="1" x14ac:dyDescent="0.3">
      <c r="A302">
        <f t="shared" si="4"/>
        <v>11</v>
      </c>
      <c r="B302" s="10">
        <v>2016</v>
      </c>
      <c r="C302" s="3" t="s">
        <v>282</v>
      </c>
      <c r="D302" s="3" t="s">
        <v>88</v>
      </c>
      <c r="E302" s="4" t="s">
        <v>7</v>
      </c>
      <c r="F302" s="11" t="s">
        <v>8</v>
      </c>
      <c r="H302" t="str">
        <f>TRIM(SUBSTITUTE(PROPER(C302)&amp;" "&amp;IF(OR(D302="County",D302="Township",D302="Village",D302="Charter Township"),D302,"")&amp;IF(D302="Township"," "&amp;"("&amp;VLOOKUP(A302,counties,3,0)&amp;")",""),"  "," "))</f>
        <v>Lake Michigan College</v>
      </c>
    </row>
    <row r="303" spans="1:8" ht="15.75" thickBot="1" x14ac:dyDescent="0.3">
      <c r="A303">
        <f t="shared" si="4"/>
        <v>11</v>
      </c>
      <c r="B303" s="8">
        <v>2016</v>
      </c>
      <c r="C303" s="1" t="s">
        <v>283</v>
      </c>
      <c r="D303" s="1" t="s">
        <v>9</v>
      </c>
      <c r="E303" s="2" t="s">
        <v>7</v>
      </c>
      <c r="F303" s="9" t="s">
        <v>8</v>
      </c>
      <c r="H303" t="str">
        <f>TRIM(SUBSTITUTE(PROPER(C303)&amp;" "&amp;IF(OR(D303="County",D303="Township",D303="Village",D303="Charter Township"),D303,"")&amp;IF(D303="Township"," "&amp;"("&amp;VLOOKUP(A303,counties,3,0)&amp;")",""),"  "," "))</f>
        <v>Lincoln Charter Township (Berrien County)</v>
      </c>
    </row>
    <row r="304" spans="1:8" ht="15.75" thickBot="1" x14ac:dyDescent="0.3">
      <c r="A304">
        <f t="shared" si="4"/>
        <v>11</v>
      </c>
      <c r="B304" s="10">
        <v>2016</v>
      </c>
      <c r="C304" s="3" t="s">
        <v>284</v>
      </c>
      <c r="D304" s="3" t="s">
        <v>42</v>
      </c>
      <c r="E304" s="4" t="s">
        <v>7</v>
      </c>
      <c r="F304" s="11" t="s">
        <v>8</v>
      </c>
      <c r="H304" t="str">
        <f>TRIM(SUBSTITUTE(PROPER(C304)&amp;" "&amp;IF(OR(D304="County",D304="Township",D304="Village",D304="Charter Township"),D304,"")&amp;IF(D304="Township"," "&amp;"("&amp;VLOOKUP(A304,counties,3,0)&amp;")",""),"  "," "))</f>
        <v>Lincoln Township Public Library</v>
      </c>
    </row>
    <row r="305" spans="1:8" ht="15.75" thickBot="1" x14ac:dyDescent="0.3">
      <c r="A305">
        <f t="shared" si="4"/>
        <v>11</v>
      </c>
      <c r="B305" s="8">
        <v>2016</v>
      </c>
      <c r="C305" s="1" t="s">
        <v>285</v>
      </c>
      <c r="D305" s="1" t="s">
        <v>21</v>
      </c>
      <c r="E305" s="2" t="s">
        <v>7</v>
      </c>
      <c r="F305" s="9" t="s">
        <v>8</v>
      </c>
      <c r="H305" t="str">
        <f>TRIM(SUBSTITUTE(PROPER(C305)&amp;" "&amp;IF(OR(D305="County",D305="Township",D305="Village",D305="Charter Township"),D305,"")&amp;IF(D305="Township"," "&amp;"("&amp;VLOOKUP(A305,counties,3,0)&amp;")",""),"  "," "))</f>
        <v>Michiana Village</v>
      </c>
    </row>
    <row r="306" spans="1:8" ht="15.75" thickBot="1" x14ac:dyDescent="0.3">
      <c r="A306">
        <f t="shared" si="4"/>
        <v>11</v>
      </c>
      <c r="B306" s="10">
        <v>2016</v>
      </c>
      <c r="C306" s="3" t="s">
        <v>286</v>
      </c>
      <c r="D306" s="3" t="s">
        <v>15</v>
      </c>
      <c r="E306" s="4" t="s">
        <v>7</v>
      </c>
      <c r="F306" s="11" t="s">
        <v>8</v>
      </c>
      <c r="H306" t="str">
        <f>TRIM(SUBSTITUTE(PROPER(C306)&amp;" "&amp;IF(OR(D306="County",D306="Township",D306="Village",D306="Charter Township"),D306,"")&amp;IF(D306="Township"," "&amp;"("&amp;VLOOKUP(A306,counties,3,0)&amp;")",""),"  "," "))</f>
        <v>New Buffalo</v>
      </c>
    </row>
    <row r="307" spans="1:8" ht="15.75" thickBot="1" x14ac:dyDescent="0.3">
      <c r="A307">
        <f t="shared" si="4"/>
        <v>11</v>
      </c>
      <c r="B307" s="8">
        <v>2016</v>
      </c>
      <c r="C307" s="1" t="s">
        <v>286</v>
      </c>
      <c r="D307" s="1" t="s">
        <v>9</v>
      </c>
      <c r="E307" s="2" t="s">
        <v>7</v>
      </c>
      <c r="F307" s="9" t="s">
        <v>8</v>
      </c>
      <c r="H307" t="str">
        <f>TRIM(SUBSTITUTE(PROPER(C307)&amp;" "&amp;IF(OR(D307="County",D307="Township",D307="Village",D307="Charter Township"),D307,"")&amp;IF(D307="Township"," "&amp;"("&amp;VLOOKUP(A307,counties,3,0)&amp;")",""),"  "," "))</f>
        <v>New Buffalo Township (Berrien County)</v>
      </c>
    </row>
    <row r="308" spans="1:8" ht="15.75" thickBot="1" x14ac:dyDescent="0.3">
      <c r="A308">
        <f t="shared" si="4"/>
        <v>11</v>
      </c>
      <c r="B308" s="10">
        <v>2016</v>
      </c>
      <c r="C308" s="3" t="s">
        <v>287</v>
      </c>
      <c r="D308" s="3" t="s">
        <v>17</v>
      </c>
      <c r="E308" s="4" t="s">
        <v>7</v>
      </c>
      <c r="F308" s="11" t="s">
        <v>8</v>
      </c>
      <c r="H308" t="str">
        <f>TRIM(SUBSTITUTE(PROPER(C308)&amp;" "&amp;IF(OR(D308="County",D308="Township",D308="Village",D308="Charter Township"),D308,"")&amp;IF(D308="Township"," "&amp;"("&amp;VLOOKUP(A308,counties,3,0)&amp;")",""),"  "," "))</f>
        <v>New Buffalo Library Joint Building Authority</v>
      </c>
    </row>
    <row r="309" spans="1:8" ht="15.75" thickBot="1" x14ac:dyDescent="0.3">
      <c r="A309">
        <f t="shared" si="4"/>
        <v>11</v>
      </c>
      <c r="B309" s="8">
        <v>2016</v>
      </c>
      <c r="C309" s="1" t="s">
        <v>288</v>
      </c>
      <c r="D309" s="1" t="s">
        <v>42</v>
      </c>
      <c r="E309" s="2" t="s">
        <v>7</v>
      </c>
      <c r="F309" s="9" t="s">
        <v>8</v>
      </c>
      <c r="H309" t="str">
        <f>TRIM(SUBSTITUTE(PROPER(C309)&amp;" "&amp;IF(OR(D309="County",D309="Township",D309="Village",D309="Charter Township"),D309,"")&amp;IF(D309="Township"," "&amp;"("&amp;VLOOKUP(A309,counties,3,0)&amp;")",""),"  "," "))</f>
        <v>New Buffalo Township Library</v>
      </c>
    </row>
    <row r="310" spans="1:8" ht="15.75" thickBot="1" x14ac:dyDescent="0.3">
      <c r="A310">
        <f t="shared" si="4"/>
        <v>11</v>
      </c>
      <c r="B310" s="10">
        <v>2016</v>
      </c>
      <c r="C310" s="3" t="s">
        <v>289</v>
      </c>
      <c r="D310" s="3" t="s">
        <v>15</v>
      </c>
      <c r="E310" s="4" t="s">
        <v>7</v>
      </c>
      <c r="F310" s="11" t="s">
        <v>8</v>
      </c>
      <c r="H310" t="str">
        <f>TRIM(SUBSTITUTE(PROPER(C310)&amp;" "&amp;IF(OR(D310="County",D310="Township",D310="Village",D310="Charter Township"),D310,"")&amp;IF(D310="Township"," "&amp;"("&amp;VLOOKUP(A310,counties,3,0)&amp;")",""),"  "," "))</f>
        <v>Niles</v>
      </c>
    </row>
    <row r="311" spans="1:8" ht="15.75" thickBot="1" x14ac:dyDescent="0.3">
      <c r="A311">
        <f t="shared" si="4"/>
        <v>11</v>
      </c>
      <c r="B311" s="8">
        <v>2016</v>
      </c>
      <c r="C311" s="1" t="s">
        <v>290</v>
      </c>
      <c r="D311" s="1" t="s">
        <v>9</v>
      </c>
      <c r="E311" s="2" t="s">
        <v>7</v>
      </c>
      <c r="F311" s="9" t="s">
        <v>8</v>
      </c>
      <c r="H311" t="str">
        <f>TRIM(SUBSTITUTE(PROPER(C311)&amp;" "&amp;IF(OR(D311="County",D311="Township",D311="Village",D311="Charter Township"),D311,"")&amp;IF(D311="Township"," "&amp;"("&amp;VLOOKUP(A311,counties,3,0)&amp;")",""),"  "," "))</f>
        <v>Niles Charter Township (Berrien County)</v>
      </c>
    </row>
    <row r="312" spans="1:8" ht="15.75" thickBot="1" x14ac:dyDescent="0.3">
      <c r="A312">
        <f t="shared" si="4"/>
        <v>11</v>
      </c>
      <c r="B312" s="10">
        <v>2016</v>
      </c>
      <c r="C312" s="3" t="s">
        <v>291</v>
      </c>
      <c r="D312" s="3" t="s">
        <v>42</v>
      </c>
      <c r="E312" s="4" t="s">
        <v>7</v>
      </c>
      <c r="F312" s="11" t="s">
        <v>8</v>
      </c>
      <c r="H312" t="str">
        <f>TRIM(SUBSTITUTE(PROPER(C312)&amp;" "&amp;IF(OR(D312="County",D312="Township",D312="Village",D312="Charter Township"),D312,"")&amp;IF(D312="Township"," "&amp;"("&amp;VLOOKUP(A312,counties,3,0)&amp;")",""),"  "," "))</f>
        <v>Niles District Library</v>
      </c>
    </row>
    <row r="313" spans="1:8" ht="15.75" thickBot="1" x14ac:dyDescent="0.3">
      <c r="A313">
        <f t="shared" si="4"/>
        <v>11</v>
      </c>
      <c r="B313" s="8">
        <v>2016</v>
      </c>
      <c r="C313" s="1" t="s">
        <v>292</v>
      </c>
      <c r="D313" s="1" t="s">
        <v>17</v>
      </c>
      <c r="E313" s="2" t="s">
        <v>7</v>
      </c>
      <c r="F313" s="9" t="s">
        <v>8</v>
      </c>
      <c r="H313" t="str">
        <f>TRIM(SUBSTITUTE(PROPER(C313)&amp;" "&amp;IF(OR(D313="County",D313="Township",D313="Village",D313="Charter Township"),D313,"")&amp;IF(D313="Township"," "&amp;"("&amp;VLOOKUP(A313,counties,3,0)&amp;")",""),"  "," "))</f>
        <v>North Berrien Fire-Rescue Board</v>
      </c>
    </row>
    <row r="314" spans="1:8" ht="15.75" thickBot="1" x14ac:dyDescent="0.3">
      <c r="A314">
        <f t="shared" si="4"/>
        <v>11</v>
      </c>
      <c r="B314" s="10">
        <v>2016</v>
      </c>
      <c r="C314" s="3" t="s">
        <v>293</v>
      </c>
      <c r="D314" s="3" t="s">
        <v>9</v>
      </c>
      <c r="E314" s="4" t="s">
        <v>7</v>
      </c>
      <c r="F314" s="11" t="s">
        <v>8</v>
      </c>
      <c r="H314" t="str">
        <f>TRIM(SUBSTITUTE(PROPER(C314)&amp;" "&amp;IF(OR(D314="County",D314="Township",D314="Village",D314="Charter Township"),D314,"")&amp;IF(D314="Township"," "&amp;"("&amp;VLOOKUP(A314,counties,3,0)&amp;")",""),"  "," "))</f>
        <v>Oronoko Charter Township (Berrien County)</v>
      </c>
    </row>
    <row r="315" spans="1:8" ht="15.75" thickBot="1" x14ac:dyDescent="0.3">
      <c r="A315">
        <f t="shared" si="4"/>
        <v>11</v>
      </c>
      <c r="B315" s="8">
        <v>2016</v>
      </c>
      <c r="C315" s="1" t="s">
        <v>294</v>
      </c>
      <c r="D315" s="1" t="s">
        <v>9</v>
      </c>
      <c r="E315" s="2" t="s">
        <v>7</v>
      </c>
      <c r="F315" s="9" t="s">
        <v>8</v>
      </c>
      <c r="H315" t="str">
        <f>TRIM(SUBSTITUTE(PROPER(C315)&amp;" "&amp;IF(OR(D315="County",D315="Township",D315="Village",D315="Charter Township"),D315,"")&amp;IF(D315="Township"," "&amp;"("&amp;VLOOKUP(A315,counties,3,0)&amp;")",""),"  "," "))</f>
        <v>Pipestone Township (Berrien County)</v>
      </c>
    </row>
    <row r="316" spans="1:8" ht="15.75" thickBot="1" x14ac:dyDescent="0.3">
      <c r="A316">
        <f t="shared" si="4"/>
        <v>11</v>
      </c>
      <c r="B316" s="10">
        <v>2016</v>
      </c>
      <c r="C316" s="3" t="s">
        <v>295</v>
      </c>
      <c r="D316" s="3" t="s">
        <v>9</v>
      </c>
      <c r="E316" s="4" t="s">
        <v>7</v>
      </c>
      <c r="F316" s="11" t="s">
        <v>8</v>
      </c>
      <c r="H316" t="str">
        <f>TRIM(SUBSTITUTE(PROPER(C316)&amp;" "&amp;IF(OR(D316="County",D316="Township",D316="Village",D316="Charter Township"),D316,"")&amp;IF(D316="Township"," "&amp;"("&amp;VLOOKUP(A316,counties,3,0)&amp;")",""),"  "," "))</f>
        <v>Royalton Township (Berrien County)</v>
      </c>
    </row>
    <row r="317" spans="1:8" ht="15.75" thickBot="1" x14ac:dyDescent="0.3">
      <c r="A317">
        <f t="shared" si="4"/>
        <v>11</v>
      </c>
      <c r="B317" s="8">
        <v>2016</v>
      </c>
      <c r="C317" s="1" t="s">
        <v>296</v>
      </c>
      <c r="D317" s="1" t="s">
        <v>17</v>
      </c>
      <c r="E317" s="2" t="s">
        <v>7</v>
      </c>
      <c r="F317" s="9" t="s">
        <v>8</v>
      </c>
      <c r="H317" t="str">
        <f>TRIM(SUBSTITUTE(PROPER(C317)&amp;" "&amp;IF(OR(D317="County",D317="Township",D317="Village",D317="Charter Township"),D317,"")&amp;IF(D317="Township"," "&amp;"("&amp;VLOOKUP(A317,counties,3,0)&amp;")",""),"  "," "))</f>
        <v>Se Berrien Co Landfill Auth</v>
      </c>
    </row>
    <row r="318" spans="1:8" ht="15.75" thickBot="1" x14ac:dyDescent="0.3">
      <c r="A318">
        <f t="shared" si="4"/>
        <v>11</v>
      </c>
      <c r="B318" s="10">
        <v>2016</v>
      </c>
      <c r="C318" s="3" t="s">
        <v>297</v>
      </c>
      <c r="D318" s="3" t="s">
        <v>21</v>
      </c>
      <c r="E318" s="4" t="s">
        <v>7</v>
      </c>
      <c r="F318" s="11" t="s">
        <v>8</v>
      </c>
      <c r="H318" t="str">
        <f>TRIM(SUBSTITUTE(PROPER(C318)&amp;" "&amp;IF(OR(D318="County",D318="Township",D318="Village",D318="Charter Township"),D318,"")&amp;IF(D318="Township"," "&amp;"("&amp;VLOOKUP(A318,counties,3,0)&amp;")",""),"  "," "))</f>
        <v>Shoreham Village</v>
      </c>
    </row>
    <row r="319" spans="1:8" ht="15.75" thickBot="1" x14ac:dyDescent="0.3">
      <c r="A319">
        <f t="shared" si="4"/>
        <v>11</v>
      </c>
      <c r="B319" s="8">
        <v>2016</v>
      </c>
      <c r="C319" s="1" t="s">
        <v>298</v>
      </c>
      <c r="D319" s="1" t="s">
        <v>9</v>
      </c>
      <c r="E319" s="2" t="s">
        <v>7</v>
      </c>
      <c r="F319" s="9" t="s">
        <v>8</v>
      </c>
      <c r="H319" t="str">
        <f>TRIM(SUBSTITUTE(PROPER(C319)&amp;" "&amp;IF(OR(D319="County",D319="Township",D319="Village",D319="Charter Township"),D319,"")&amp;IF(D319="Township"," "&amp;"("&amp;VLOOKUP(A319,counties,3,0)&amp;")",""),"  "," "))</f>
        <v>Sodus Township (Berrien County)</v>
      </c>
    </row>
    <row r="320" spans="1:8" ht="21.75" thickBot="1" x14ac:dyDescent="0.3">
      <c r="A320">
        <f t="shared" si="4"/>
        <v>11</v>
      </c>
      <c r="B320" s="10">
        <v>2016</v>
      </c>
      <c r="C320" s="3" t="s">
        <v>299</v>
      </c>
      <c r="D320" s="3" t="s">
        <v>17</v>
      </c>
      <c r="E320" s="4" t="s">
        <v>7</v>
      </c>
      <c r="F320" s="11" t="s">
        <v>8</v>
      </c>
      <c r="H320" t="str">
        <f>TRIM(SUBSTITUTE(PROPER(C320)&amp;" "&amp;IF(OR(D320="County",D320="Township",D320="Village",D320="Charter Township"),D320,"")&amp;IF(D320="Township"," "&amp;"("&amp;VLOOKUP(A320,counties,3,0)&amp;")",""),"  "," "))</f>
        <v>Southwest Mi Regional Sanitary Sewer &amp; Water Auth</v>
      </c>
    </row>
    <row r="321" spans="1:8" ht="15.75" thickBot="1" x14ac:dyDescent="0.3">
      <c r="A321">
        <f t="shared" si="4"/>
        <v>11</v>
      </c>
      <c r="B321" s="8">
        <v>2016</v>
      </c>
      <c r="C321" s="1" t="s">
        <v>300</v>
      </c>
      <c r="D321" s="1" t="s">
        <v>17</v>
      </c>
      <c r="E321" s="2" t="s">
        <v>7</v>
      </c>
      <c r="F321" s="9" t="s">
        <v>8</v>
      </c>
      <c r="H321" t="str">
        <f>TRIM(SUBSTITUTE(PROPER(C321)&amp;" "&amp;IF(OR(D321="County",D321="Township",D321="Village",D321="Charter Township"),D321,"")&amp;IF(D321="Township"," "&amp;"("&amp;VLOOKUP(A321,counties,3,0)&amp;")",""),"  "," "))</f>
        <v>Southwest Michigan Regional Airport Authority</v>
      </c>
    </row>
    <row r="322" spans="1:8" ht="21.75" thickBot="1" x14ac:dyDescent="0.3">
      <c r="A322">
        <f t="shared" si="4"/>
        <v>11</v>
      </c>
      <c r="B322" s="10">
        <v>2016</v>
      </c>
      <c r="C322" s="3" t="s">
        <v>301</v>
      </c>
      <c r="D322" s="3" t="s">
        <v>17</v>
      </c>
      <c r="E322" s="4" t="s">
        <v>7</v>
      </c>
      <c r="F322" s="11" t="s">
        <v>8</v>
      </c>
      <c r="H322" t="str">
        <f>TRIM(SUBSTITUTE(PROPER(C322)&amp;" "&amp;IF(OR(D322="County",D322="Township",D322="Village",D322="Charter Township"),D322,"")&amp;IF(D322="Township"," "&amp;"("&amp;VLOOKUP(A322,counties,3,0)&amp;")",""),"  "," "))</f>
        <v>Southwestern Michigan Community Ambulance Service</v>
      </c>
    </row>
    <row r="323" spans="1:8" ht="15.75" thickBot="1" x14ac:dyDescent="0.3">
      <c r="A323">
        <f t="shared" ref="A323:A386" si="5">IF(B323="Year",A322+1,A322)</f>
        <v>11</v>
      </c>
      <c r="B323" s="8">
        <v>2016</v>
      </c>
      <c r="C323" s="1" t="s">
        <v>302</v>
      </c>
      <c r="D323" s="1" t="s">
        <v>15</v>
      </c>
      <c r="E323" s="2" t="s">
        <v>7</v>
      </c>
      <c r="F323" s="9" t="s">
        <v>8</v>
      </c>
      <c r="H323" t="str">
        <f>TRIM(SUBSTITUTE(PROPER(C323)&amp;" "&amp;IF(OR(D323="County",D323="Township",D323="Village",D323="Charter Township"),D323,"")&amp;IF(D323="Township"," "&amp;"("&amp;VLOOKUP(A323,counties,3,0)&amp;")",""),"  "," "))</f>
        <v>St Joseph</v>
      </c>
    </row>
    <row r="324" spans="1:8" ht="15.75" thickBot="1" x14ac:dyDescent="0.3">
      <c r="A324">
        <f t="shared" si="5"/>
        <v>11</v>
      </c>
      <c r="B324" s="10">
        <v>2016</v>
      </c>
      <c r="C324" s="3" t="s">
        <v>303</v>
      </c>
      <c r="D324" s="3" t="s">
        <v>9</v>
      </c>
      <c r="E324" s="4" t="s">
        <v>7</v>
      </c>
      <c r="F324" s="11" t="s">
        <v>8</v>
      </c>
      <c r="H324" t="str">
        <f>TRIM(SUBSTITUTE(PROPER(C324)&amp;" "&amp;IF(OR(D324="County",D324="Township",D324="Village",D324="Charter Township"),D324,"")&amp;IF(D324="Township"," "&amp;"("&amp;VLOOKUP(A324,counties,3,0)&amp;")",""),"  "," "))</f>
        <v>St Joseph Charter Township (Berrien County)</v>
      </c>
    </row>
    <row r="325" spans="1:8" ht="15.75" thickBot="1" x14ac:dyDescent="0.3">
      <c r="A325">
        <f t="shared" si="5"/>
        <v>11</v>
      </c>
      <c r="B325" s="8">
        <v>2016</v>
      </c>
      <c r="C325" s="1" t="s">
        <v>304</v>
      </c>
      <c r="D325" s="1" t="s">
        <v>17</v>
      </c>
      <c r="E325" s="2" t="s">
        <v>7</v>
      </c>
      <c r="F325" s="9" t="s">
        <v>19</v>
      </c>
      <c r="H325" t="str">
        <f>TRIM(SUBSTITUTE(PROPER(C325)&amp;" "&amp;IF(OR(D325="County",D325="Township",D325="Village",D325="Charter Township"),D325,"")&amp;IF(D325="Township"," "&amp;"("&amp;VLOOKUP(A325,counties,3,0)&amp;")",""),"  "," "))</f>
        <v>St Joseph City Housing Commission</v>
      </c>
    </row>
    <row r="326" spans="1:8" ht="15.75" thickBot="1" x14ac:dyDescent="0.3">
      <c r="A326">
        <f t="shared" si="5"/>
        <v>11</v>
      </c>
      <c r="B326" s="10">
        <v>2016</v>
      </c>
      <c r="C326" s="3" t="s">
        <v>305</v>
      </c>
      <c r="D326" s="3" t="s">
        <v>21</v>
      </c>
      <c r="E326" s="4" t="s">
        <v>7</v>
      </c>
      <c r="F326" s="11" t="s">
        <v>8</v>
      </c>
      <c r="H326" t="str">
        <f>TRIM(SUBSTITUTE(PROPER(C326)&amp;" "&amp;IF(OR(D326="County",D326="Township",D326="Village",D326="Charter Township"),D326,"")&amp;IF(D326="Township"," "&amp;"("&amp;VLOOKUP(A326,counties,3,0)&amp;")",""),"  "," "))</f>
        <v>Stevensville Village</v>
      </c>
    </row>
    <row r="327" spans="1:8" ht="15.75" thickBot="1" x14ac:dyDescent="0.3">
      <c r="A327">
        <f t="shared" si="5"/>
        <v>11</v>
      </c>
      <c r="B327" s="8">
        <v>2016</v>
      </c>
      <c r="C327" s="1" t="s">
        <v>306</v>
      </c>
      <c r="D327" s="1" t="s">
        <v>9</v>
      </c>
      <c r="E327" s="2" t="s">
        <v>7</v>
      </c>
      <c r="F327" s="9" t="s">
        <v>8</v>
      </c>
      <c r="H327" t="str">
        <f>TRIM(SUBSTITUTE(PROPER(C327)&amp;" "&amp;IF(OR(D327="County",D327="Township",D327="Village",D327="Charter Township"),D327,"")&amp;IF(D327="Township"," "&amp;"("&amp;VLOOKUP(A327,counties,3,0)&amp;")",""),"  "," "))</f>
        <v>Three Oaks Township (Berrien County)</v>
      </c>
    </row>
    <row r="328" spans="1:8" ht="15.75" thickBot="1" x14ac:dyDescent="0.3">
      <c r="A328">
        <f t="shared" si="5"/>
        <v>11</v>
      </c>
      <c r="B328" s="10">
        <v>2016</v>
      </c>
      <c r="C328" s="3" t="s">
        <v>306</v>
      </c>
      <c r="D328" s="3" t="s">
        <v>21</v>
      </c>
      <c r="E328" s="4" t="s">
        <v>7</v>
      </c>
      <c r="F328" s="11" t="s">
        <v>8</v>
      </c>
      <c r="H328" t="str">
        <f>TRIM(SUBSTITUTE(PROPER(C328)&amp;" "&amp;IF(OR(D328="County",D328="Township",D328="Village",D328="Charter Township"),D328,"")&amp;IF(D328="Township"," "&amp;"("&amp;VLOOKUP(A328,counties,3,0)&amp;")",""),"  "," "))</f>
        <v>Three Oaks Village</v>
      </c>
    </row>
    <row r="329" spans="1:8" ht="15.75" thickBot="1" x14ac:dyDescent="0.3">
      <c r="A329">
        <f t="shared" si="5"/>
        <v>11</v>
      </c>
      <c r="B329" s="8">
        <v>2016</v>
      </c>
      <c r="C329" s="1" t="s">
        <v>307</v>
      </c>
      <c r="D329" s="1" t="s">
        <v>17</v>
      </c>
      <c r="E329" s="2" t="s">
        <v>7</v>
      </c>
      <c r="F329" s="9" t="s">
        <v>8</v>
      </c>
      <c r="H329" t="str">
        <f>TRIM(SUBSTITUTE(PROPER(C329)&amp;" "&amp;IF(OR(D329="County",D329="Township",D329="Village",D329="Charter Township"),D329,"")&amp;IF(D329="Township"," "&amp;"("&amp;VLOOKUP(A329,counties,3,0)&amp;")",""),"  "," "))</f>
        <v>Twin Cities Area Transportation Authority</v>
      </c>
    </row>
    <row r="330" spans="1:8" ht="15.75" thickBot="1" x14ac:dyDescent="0.3">
      <c r="A330">
        <f t="shared" si="5"/>
        <v>11</v>
      </c>
      <c r="B330" s="10">
        <v>2016</v>
      </c>
      <c r="C330" s="3" t="s">
        <v>308</v>
      </c>
      <c r="D330" s="3" t="s">
        <v>15</v>
      </c>
      <c r="E330" s="4" t="s">
        <v>7</v>
      </c>
      <c r="F330" s="11" t="s">
        <v>8</v>
      </c>
      <c r="H330" t="str">
        <f>TRIM(SUBSTITUTE(PROPER(C330)&amp;" "&amp;IF(OR(D330="County",D330="Township",D330="Village",D330="Charter Township"),D330,"")&amp;IF(D330="Township"," "&amp;"("&amp;VLOOKUP(A330,counties,3,0)&amp;")",""),"  "," "))</f>
        <v>Watervliet</v>
      </c>
    </row>
    <row r="331" spans="1:8" ht="15.75" thickBot="1" x14ac:dyDescent="0.3">
      <c r="A331">
        <f t="shared" si="5"/>
        <v>11</v>
      </c>
      <c r="B331" s="8">
        <v>2016</v>
      </c>
      <c r="C331" s="1" t="s">
        <v>309</v>
      </c>
      <c r="D331" s="1" t="s">
        <v>9</v>
      </c>
      <c r="E331" s="2" t="s">
        <v>7</v>
      </c>
      <c r="F331" s="9" t="s">
        <v>8</v>
      </c>
      <c r="H331" t="str">
        <f>TRIM(SUBSTITUTE(PROPER(C331)&amp;" "&amp;IF(OR(D331="County",D331="Township",D331="Village",D331="Charter Township"),D331,"")&amp;IF(D331="Township"," "&amp;"("&amp;VLOOKUP(A331,counties,3,0)&amp;")",""),"  "," "))</f>
        <v>Watervliet Charter Township (Berrien County)</v>
      </c>
    </row>
    <row r="332" spans="1:8" ht="15.75" thickBot="1" x14ac:dyDescent="0.3">
      <c r="A332">
        <f t="shared" si="5"/>
        <v>11</v>
      </c>
      <c r="B332" s="10">
        <v>2016</v>
      </c>
      <c r="C332" s="3" t="s">
        <v>310</v>
      </c>
      <c r="D332" s="3" t="s">
        <v>42</v>
      </c>
      <c r="E332" s="4" t="s">
        <v>7</v>
      </c>
      <c r="F332" s="11" t="s">
        <v>8</v>
      </c>
      <c r="H332" t="str">
        <f>TRIM(SUBSTITUTE(PROPER(C332)&amp;" "&amp;IF(OR(D332="County",D332="Township",D332="Village",D332="Charter Township"),D332,"")&amp;IF(D332="Township"," "&amp;"("&amp;VLOOKUP(A332,counties,3,0)&amp;")",""),"  "," "))</f>
        <v>Watervliet District Library</v>
      </c>
    </row>
    <row r="333" spans="1:8" ht="15.75" thickBot="1" x14ac:dyDescent="0.3">
      <c r="A333">
        <f t="shared" si="5"/>
        <v>11</v>
      </c>
      <c r="B333" s="8">
        <v>2016</v>
      </c>
      <c r="C333" s="1" t="s">
        <v>311</v>
      </c>
      <c r="D333" s="1" t="s">
        <v>17</v>
      </c>
      <c r="E333" s="2" t="s">
        <v>7</v>
      </c>
      <c r="F333" s="9" t="s">
        <v>8</v>
      </c>
      <c r="H333" t="str">
        <f>TRIM(SUBSTITUTE(PROPER(C333)&amp;" "&amp;IF(OR(D333="County",D333="Township",D333="Village",D333="Charter Township"),D333,"")&amp;IF(D333="Township"," "&amp;"("&amp;VLOOKUP(A333,counties,3,0)&amp;")",""),"  "," "))</f>
        <v>Watervliet Joint Fire Board</v>
      </c>
    </row>
    <row r="334" spans="1:8" ht="15.75" thickBot="1" x14ac:dyDescent="0.3">
      <c r="A334">
        <f t="shared" si="5"/>
        <v>11</v>
      </c>
      <c r="B334" s="12">
        <v>2016</v>
      </c>
      <c r="C334" s="13" t="s">
        <v>312</v>
      </c>
      <c r="D334" s="13" t="s">
        <v>9</v>
      </c>
      <c r="E334" s="14" t="s">
        <v>7</v>
      </c>
      <c r="F334" s="15" t="s">
        <v>8</v>
      </c>
      <c r="H334" t="str">
        <f>TRIM(SUBSTITUTE(PROPER(C334)&amp;" "&amp;IF(OR(D334="County",D334="Township",D334="Village",D334="Charter Township"),D334,"")&amp;IF(D334="Township"," "&amp;"("&amp;VLOOKUP(A334,counties,3,0)&amp;")",""),"  "," "))</f>
        <v>Weesaw Township (Berrien County)</v>
      </c>
    </row>
    <row r="335" spans="1:8" ht="16.5" thickTop="1" thickBot="1" x14ac:dyDescent="0.3">
      <c r="A335">
        <f t="shared" si="5"/>
        <v>12</v>
      </c>
      <c r="B335" s="5" t="s">
        <v>0</v>
      </c>
      <c r="C335" s="6" t="s">
        <v>1</v>
      </c>
      <c r="D335" s="6" t="s">
        <v>2</v>
      </c>
      <c r="E335" s="6" t="s">
        <v>3</v>
      </c>
      <c r="F335" s="7" t="s">
        <v>4</v>
      </c>
      <c r="H335" t="str">
        <f>TRIM(SUBSTITUTE(PROPER(C335)&amp;" "&amp;IF(OR(D335="County",D335="Township",D335="Village",D335="Charter Township"),D335,"")&amp;IF(D335="Township"," "&amp;"("&amp;VLOOKUP(A335,counties,3,0)&amp;")",""),"  "," "))</f>
        <v>Municipality</v>
      </c>
    </row>
    <row r="336" spans="1:8" ht="15.75" thickBot="1" x14ac:dyDescent="0.3">
      <c r="A336">
        <f t="shared" si="5"/>
        <v>12</v>
      </c>
      <c r="B336" s="8">
        <v>2016</v>
      </c>
      <c r="C336" s="1" t="s">
        <v>313</v>
      </c>
      <c r="D336" s="1" t="s">
        <v>9</v>
      </c>
      <c r="E336" s="2" t="s">
        <v>7</v>
      </c>
      <c r="F336" s="9" t="s">
        <v>8</v>
      </c>
      <c r="H336" t="str">
        <f>TRIM(SUBSTITUTE(PROPER(C336)&amp;" "&amp;IF(OR(D336="County",D336="Township",D336="Village",D336="Charter Township"),D336,"")&amp;IF(D336="Township"," "&amp;"("&amp;VLOOKUP(A336,counties,3,0)&amp;")",""),"  "," "))</f>
        <v>Algansee Township (Branch County)</v>
      </c>
    </row>
    <row r="337" spans="1:8" ht="15.75" thickBot="1" x14ac:dyDescent="0.3">
      <c r="A337">
        <f t="shared" si="5"/>
        <v>12</v>
      </c>
      <c r="B337" s="10">
        <v>2016</v>
      </c>
      <c r="C337" s="3" t="s">
        <v>314</v>
      </c>
      <c r="D337" s="3" t="s">
        <v>9</v>
      </c>
      <c r="E337" s="4" t="s">
        <v>7</v>
      </c>
      <c r="F337" s="11" t="s">
        <v>8</v>
      </c>
      <c r="H337" t="str">
        <f>TRIM(SUBSTITUTE(PROPER(C337)&amp;" "&amp;IF(OR(D337="County",D337="Township",D337="Village",D337="Charter Township"),D337,"")&amp;IF(D337="Township"," "&amp;"("&amp;VLOOKUP(A337,counties,3,0)&amp;")",""),"  "," "))</f>
        <v>Batavia Township (Branch County)</v>
      </c>
    </row>
    <row r="338" spans="1:8" ht="15.75" thickBot="1" x14ac:dyDescent="0.3">
      <c r="A338">
        <f t="shared" si="5"/>
        <v>12</v>
      </c>
      <c r="B338" s="8">
        <v>2016</v>
      </c>
      <c r="C338" s="1" t="s">
        <v>315</v>
      </c>
      <c r="D338" s="1" t="s">
        <v>6</v>
      </c>
      <c r="E338" s="2" t="s">
        <v>7</v>
      </c>
      <c r="F338" s="9" t="s">
        <v>8</v>
      </c>
      <c r="H338" t="str">
        <f>TRIM(SUBSTITUTE(PROPER(C338)&amp;" "&amp;IF(OR(D338="County",D338="Township",D338="Village",D338="Charter Township"),D338,"")&amp;IF(D338="Township"," "&amp;"("&amp;VLOOKUP(A338,counties,3,0)&amp;")",""),"  "," "))</f>
        <v>Branch County</v>
      </c>
    </row>
    <row r="339" spans="1:8" ht="15.75" thickBot="1" x14ac:dyDescent="0.3">
      <c r="A339">
        <f t="shared" si="5"/>
        <v>12</v>
      </c>
      <c r="B339" s="10">
        <v>2016</v>
      </c>
      <c r="C339" s="3" t="s">
        <v>316</v>
      </c>
      <c r="D339" s="3" t="s">
        <v>17</v>
      </c>
      <c r="E339" s="4" t="s">
        <v>7</v>
      </c>
      <c r="F339" s="11" t="s">
        <v>8</v>
      </c>
      <c r="H339" t="str">
        <f>TRIM(SUBSTITUTE(PROPER(C339)&amp;" "&amp;IF(OR(D339="County",D339="Township",D339="Village",D339="Charter Township"),D339,"")&amp;IF(D339="Township"," "&amp;"("&amp;VLOOKUP(A339,counties,3,0)&amp;")",""),"  "," "))</f>
        <v>Branch Area Transit Authority</v>
      </c>
    </row>
    <row r="340" spans="1:8" ht="15.75" thickBot="1" x14ac:dyDescent="0.3">
      <c r="A340">
        <f t="shared" si="5"/>
        <v>12</v>
      </c>
      <c r="B340" s="8">
        <v>2016</v>
      </c>
      <c r="C340" s="1" t="s">
        <v>317</v>
      </c>
      <c r="D340" s="1" t="s">
        <v>17</v>
      </c>
      <c r="E340" s="2" t="s">
        <v>7</v>
      </c>
      <c r="F340" s="9" t="s">
        <v>8</v>
      </c>
      <c r="H340" t="str">
        <f>TRIM(SUBSTITUTE(PROPER(C340)&amp;" "&amp;IF(OR(D340="County",D340="Township",D340="Village",D340="Charter Township"),D340,"")&amp;IF(D340="Township"," "&amp;"("&amp;VLOOKUP(A340,counties,3,0)&amp;")",""),"  "," "))</f>
        <v>Branch County Community Mental Health Authority</v>
      </c>
    </row>
    <row r="341" spans="1:8" ht="15.75" thickBot="1" x14ac:dyDescent="0.3">
      <c r="A341">
        <f t="shared" si="5"/>
        <v>12</v>
      </c>
      <c r="B341" s="10">
        <v>2016</v>
      </c>
      <c r="C341" s="3" t="s">
        <v>318</v>
      </c>
      <c r="D341" s="3" t="s">
        <v>72</v>
      </c>
      <c r="E341" s="4" t="s">
        <v>7</v>
      </c>
      <c r="F341" s="11" t="s">
        <v>8</v>
      </c>
      <c r="H341" t="str">
        <f>TRIM(SUBSTITUTE(PROPER(C341)&amp;" "&amp;IF(OR(D341="County",D341="Township",D341="Village",D341="Charter Township"),D341,"")&amp;IF(D341="Township"," "&amp;"("&amp;VLOOKUP(A341,counties,3,0)&amp;")",""),"  "," "))</f>
        <v>Branch County Conservation District</v>
      </c>
    </row>
    <row r="342" spans="1:8" ht="15.75" thickBot="1" x14ac:dyDescent="0.3">
      <c r="A342">
        <f t="shared" si="5"/>
        <v>12</v>
      </c>
      <c r="B342" s="8">
        <v>2016</v>
      </c>
      <c r="C342" s="1" t="s">
        <v>319</v>
      </c>
      <c r="D342" s="1" t="s">
        <v>11</v>
      </c>
      <c r="E342" s="2" t="s">
        <v>7</v>
      </c>
      <c r="F342" s="9" t="s">
        <v>8</v>
      </c>
      <c r="H342" t="str">
        <f>TRIM(SUBSTITUTE(PROPER(C342)&amp;" "&amp;IF(OR(D342="County",D342="Township",D342="Village",D342="Charter Township"),D342,"")&amp;IF(D342="Township"," "&amp;"("&amp;VLOOKUP(A342,counties,3,0)&amp;")",""),"  "," "))</f>
        <v>Branch County Road Commission</v>
      </c>
    </row>
    <row r="343" spans="1:8" ht="15.75" thickBot="1" x14ac:dyDescent="0.3">
      <c r="A343">
        <f t="shared" si="5"/>
        <v>12</v>
      </c>
      <c r="B343" s="10">
        <v>2016</v>
      </c>
      <c r="C343" s="3" t="s">
        <v>320</v>
      </c>
      <c r="D343" s="3" t="s">
        <v>42</v>
      </c>
      <c r="E343" s="4" t="s">
        <v>7</v>
      </c>
      <c r="F343" s="11" t="s">
        <v>8</v>
      </c>
      <c r="H343" t="str">
        <f>TRIM(SUBSTITUTE(PROPER(C343)&amp;" "&amp;IF(OR(D343="County",D343="Township",D343="Village",D343="Charter Township"),D343,"")&amp;IF(D343="Township"," "&amp;"("&amp;VLOOKUP(A343,counties,3,0)&amp;")",""),"  "," "))</f>
        <v>Branch District Library</v>
      </c>
    </row>
    <row r="344" spans="1:8" ht="21.75" thickBot="1" x14ac:dyDescent="0.3">
      <c r="A344">
        <f t="shared" si="5"/>
        <v>12</v>
      </c>
      <c r="B344" s="8">
        <v>2016</v>
      </c>
      <c r="C344" s="1" t="s">
        <v>321</v>
      </c>
      <c r="D344" s="1" t="s">
        <v>17</v>
      </c>
      <c r="E344" s="2" t="s">
        <v>7</v>
      </c>
      <c r="F344" s="9" t="s">
        <v>8</v>
      </c>
      <c r="H344" t="str">
        <f>TRIM(SUBSTITUTE(PROPER(C344)&amp;" "&amp;IF(OR(D344="County",D344="Township",D344="Village",D344="Charter Township"),D344,"")&amp;IF(D344="Township"," "&amp;"("&amp;VLOOKUP(A344,counties,3,0)&amp;")",""),"  "," "))</f>
        <v>Branch-Hillsdale-St Joseph Community Health Agency</v>
      </c>
    </row>
    <row r="345" spans="1:8" ht="15.75" thickBot="1" x14ac:dyDescent="0.3">
      <c r="A345">
        <f t="shared" si="5"/>
        <v>12</v>
      </c>
      <c r="B345" s="10">
        <v>2016</v>
      </c>
      <c r="C345" s="3" t="s">
        <v>322</v>
      </c>
      <c r="D345" s="3" t="s">
        <v>15</v>
      </c>
      <c r="E345" s="4" t="s">
        <v>7</v>
      </c>
      <c r="F345" s="11" t="s">
        <v>8</v>
      </c>
      <c r="H345" t="str">
        <f>TRIM(SUBSTITUTE(PROPER(C345)&amp;" "&amp;IF(OR(D345="County",D345="Township",D345="Village",D345="Charter Township"),D345,"")&amp;IF(D345="Township"," "&amp;"("&amp;VLOOKUP(A345,counties,3,0)&amp;")",""),"  "," "))</f>
        <v>Bronson</v>
      </c>
    </row>
    <row r="346" spans="1:8" ht="15.75" thickBot="1" x14ac:dyDescent="0.3">
      <c r="A346">
        <f t="shared" si="5"/>
        <v>12</v>
      </c>
      <c r="B346" s="8">
        <v>2016</v>
      </c>
      <c r="C346" s="1" t="s">
        <v>323</v>
      </c>
      <c r="D346" s="1" t="s">
        <v>17</v>
      </c>
      <c r="E346" s="2" t="s">
        <v>7</v>
      </c>
      <c r="F346" s="9" t="s">
        <v>8</v>
      </c>
      <c r="H346" t="str">
        <f>TRIM(SUBSTITUTE(PROPER(C346)&amp;" "&amp;IF(OR(D346="County",D346="Township",D346="Village",D346="Charter Township"),D346,"")&amp;IF(D346="Township"," "&amp;"("&amp;VLOOKUP(A346,counties,3,0)&amp;")",""),"  "," "))</f>
        <v>Bronson City Housing Commission</v>
      </c>
    </row>
    <row r="347" spans="1:8" ht="15.75" thickBot="1" x14ac:dyDescent="0.3">
      <c r="A347">
        <f t="shared" si="5"/>
        <v>12</v>
      </c>
      <c r="B347" s="10">
        <v>2016</v>
      </c>
      <c r="C347" s="3" t="s">
        <v>324</v>
      </c>
      <c r="D347" s="3" t="s">
        <v>9</v>
      </c>
      <c r="E347" s="4" t="s">
        <v>7</v>
      </c>
      <c r="F347" s="11" t="s">
        <v>8</v>
      </c>
      <c r="H347" t="str">
        <f>TRIM(SUBSTITUTE(PROPER(C347)&amp;" "&amp;IF(OR(D347="County",D347="Township",D347="Village",D347="Charter Township"),D347,"")&amp;IF(D347="Township"," "&amp;"("&amp;VLOOKUP(A347,counties,3,0)&amp;")",""),"  "," "))</f>
        <v>Butler Township (Branch County)</v>
      </c>
    </row>
    <row r="348" spans="1:8" ht="15.75" thickBot="1" x14ac:dyDescent="0.3">
      <c r="A348">
        <f t="shared" si="5"/>
        <v>12</v>
      </c>
      <c r="B348" s="8">
        <v>2016</v>
      </c>
      <c r="C348" s="1" t="s">
        <v>325</v>
      </c>
      <c r="D348" s="1" t="s">
        <v>15</v>
      </c>
      <c r="E348" s="2" t="s">
        <v>7</v>
      </c>
      <c r="F348" s="9" t="s">
        <v>8</v>
      </c>
      <c r="H348" t="str">
        <f>TRIM(SUBSTITUTE(PROPER(C348)&amp;" "&amp;IF(OR(D348="County",D348="Township",D348="Village",D348="Charter Township"),D348,"")&amp;IF(D348="Township"," "&amp;"("&amp;VLOOKUP(A348,counties,3,0)&amp;")",""),"  "," "))</f>
        <v>Coldwater</v>
      </c>
    </row>
    <row r="349" spans="1:8" ht="15.75" thickBot="1" x14ac:dyDescent="0.3">
      <c r="A349">
        <f t="shared" si="5"/>
        <v>12</v>
      </c>
      <c r="B349" s="10">
        <v>2016</v>
      </c>
      <c r="C349" s="3" t="s">
        <v>325</v>
      </c>
      <c r="D349" s="3" t="s">
        <v>9</v>
      </c>
      <c r="E349" s="4" t="s">
        <v>7</v>
      </c>
      <c r="F349" s="11" t="s">
        <v>8</v>
      </c>
      <c r="H349" t="str">
        <f>TRIM(SUBSTITUTE(PROPER(C349)&amp;" "&amp;IF(OR(D349="County",D349="Township",D349="Village",D349="Charter Township"),D349,"")&amp;IF(D349="Township"," "&amp;"("&amp;VLOOKUP(A349,counties,3,0)&amp;")",""),"  "," "))</f>
        <v>Coldwater Township (Branch County)</v>
      </c>
    </row>
    <row r="350" spans="1:8" ht="15.75" thickBot="1" x14ac:dyDescent="0.3">
      <c r="A350">
        <f t="shared" si="5"/>
        <v>12</v>
      </c>
      <c r="B350" s="8">
        <v>2016</v>
      </c>
      <c r="C350" s="1" t="s">
        <v>326</v>
      </c>
      <c r="D350" s="1" t="s">
        <v>17</v>
      </c>
      <c r="E350" s="2" t="s">
        <v>7</v>
      </c>
      <c r="F350" s="9" t="s">
        <v>19</v>
      </c>
      <c r="H350" t="str">
        <f>TRIM(SUBSTITUTE(PROPER(C350)&amp;" "&amp;IF(OR(D350="County",D350="Township",D350="Village",D350="Charter Township"),D350,"")&amp;IF(D350="Township"," "&amp;"("&amp;VLOOKUP(A350,counties,3,0)&amp;")",""),"  "," "))</f>
        <v>Coldwater City Housing Commission</v>
      </c>
    </row>
    <row r="351" spans="1:8" ht="15.75" thickBot="1" x14ac:dyDescent="0.3">
      <c r="A351">
        <f t="shared" si="5"/>
        <v>12</v>
      </c>
      <c r="B351" s="10">
        <v>2016</v>
      </c>
      <c r="C351" s="3" t="s">
        <v>327</v>
      </c>
      <c r="D351" s="3" t="s">
        <v>9</v>
      </c>
      <c r="E351" s="4" t="s">
        <v>7</v>
      </c>
      <c r="F351" s="11" t="s">
        <v>8</v>
      </c>
      <c r="H351" t="str">
        <f>TRIM(SUBSTITUTE(PROPER(C351)&amp;" "&amp;IF(OR(D351="County",D351="Township",D351="Village",D351="Charter Township"),D351,"")&amp;IF(D351="Township"," "&amp;"("&amp;VLOOKUP(A351,counties,3,0)&amp;")",""),"  "," "))</f>
        <v>Gilead Township (Branch County)</v>
      </c>
    </row>
    <row r="352" spans="1:8" ht="15.75" thickBot="1" x14ac:dyDescent="0.3">
      <c r="A352">
        <f t="shared" si="5"/>
        <v>12</v>
      </c>
      <c r="B352" s="8">
        <v>2016</v>
      </c>
      <c r="C352" s="1" t="s">
        <v>328</v>
      </c>
      <c r="D352" s="1" t="s">
        <v>9</v>
      </c>
      <c r="E352" s="2" t="s">
        <v>7</v>
      </c>
      <c r="F352" s="9" t="s">
        <v>19</v>
      </c>
      <c r="H352" t="str">
        <f>TRIM(SUBSTITUTE(PROPER(C352)&amp;" "&amp;IF(OR(D352="County",D352="Township",D352="Village",D352="Charter Township"),D352,"")&amp;IF(D352="Township"," "&amp;"("&amp;VLOOKUP(A352,counties,3,0)&amp;")",""),"  "," "))</f>
        <v>Girard Township (Branch County)</v>
      </c>
    </row>
    <row r="353" spans="1:8" ht="15.75" thickBot="1" x14ac:dyDescent="0.3">
      <c r="A353">
        <f t="shared" si="5"/>
        <v>12</v>
      </c>
      <c r="B353" s="10">
        <v>2016</v>
      </c>
      <c r="C353" s="3" t="s">
        <v>329</v>
      </c>
      <c r="D353" s="3" t="s">
        <v>9</v>
      </c>
      <c r="E353" s="4" t="s">
        <v>7</v>
      </c>
      <c r="F353" s="11" t="s">
        <v>8</v>
      </c>
      <c r="H353" t="str">
        <f>TRIM(SUBSTITUTE(PROPER(C353)&amp;" "&amp;IF(OR(D353="County",D353="Township",D353="Village",D353="Charter Township"),D353,"")&amp;IF(D353="Township"," "&amp;"("&amp;VLOOKUP(A353,counties,3,0)&amp;")",""),"  "," "))</f>
        <v>Kinderhook Township (Branch County)</v>
      </c>
    </row>
    <row r="354" spans="1:8" ht="15.75" thickBot="1" x14ac:dyDescent="0.3">
      <c r="A354">
        <f t="shared" si="5"/>
        <v>12</v>
      </c>
      <c r="B354" s="8">
        <v>2016</v>
      </c>
      <c r="C354" s="1" t="s">
        <v>330</v>
      </c>
      <c r="D354" s="1" t="s">
        <v>9</v>
      </c>
      <c r="E354" s="2" t="s">
        <v>7</v>
      </c>
      <c r="F354" s="9" t="s">
        <v>8</v>
      </c>
      <c r="H354" t="str">
        <f>TRIM(SUBSTITUTE(PROPER(C354)&amp;" "&amp;IF(OR(D354="County",D354="Township",D354="Village",D354="Charter Township"),D354,"")&amp;IF(D354="Township"," "&amp;"("&amp;VLOOKUP(A354,counties,3,0)&amp;")",""),"  "," "))</f>
        <v>Matteson Township (Branch County)</v>
      </c>
    </row>
    <row r="355" spans="1:8" ht="15.75" thickBot="1" x14ac:dyDescent="0.3">
      <c r="A355">
        <f t="shared" si="5"/>
        <v>12</v>
      </c>
      <c r="B355" s="10">
        <v>2016</v>
      </c>
      <c r="C355" s="3" t="s">
        <v>331</v>
      </c>
      <c r="D355" s="3" t="s">
        <v>9</v>
      </c>
      <c r="E355" s="4" t="s">
        <v>7</v>
      </c>
      <c r="F355" s="11" t="s">
        <v>8</v>
      </c>
      <c r="H355" t="str">
        <f>TRIM(SUBSTITUTE(PROPER(C355)&amp;" "&amp;IF(OR(D355="County",D355="Township",D355="Village",D355="Charter Township"),D355,"")&amp;IF(D355="Township"," "&amp;"("&amp;VLOOKUP(A355,counties,3,0)&amp;")",""),"  "," "))</f>
        <v>Noble Township (Branch County)</v>
      </c>
    </row>
    <row r="356" spans="1:8" ht="15.75" thickBot="1" x14ac:dyDescent="0.3">
      <c r="A356">
        <f t="shared" si="5"/>
        <v>12</v>
      </c>
      <c r="B356" s="8">
        <v>2016</v>
      </c>
      <c r="C356" s="1" t="s">
        <v>332</v>
      </c>
      <c r="D356" s="1" t="s">
        <v>9</v>
      </c>
      <c r="E356" s="2" t="s">
        <v>7</v>
      </c>
      <c r="F356" s="9" t="s">
        <v>8</v>
      </c>
      <c r="H356" t="str">
        <f>TRIM(SUBSTITUTE(PROPER(C356)&amp;" "&amp;IF(OR(D356="County",D356="Township",D356="Village",D356="Charter Township"),D356,"")&amp;IF(D356="Township"," "&amp;"("&amp;VLOOKUP(A356,counties,3,0)&amp;")",""),"  "," "))</f>
        <v>Ovid Township (Branch County)</v>
      </c>
    </row>
    <row r="357" spans="1:8" ht="15.75" thickBot="1" x14ac:dyDescent="0.3">
      <c r="A357">
        <f t="shared" si="5"/>
        <v>12</v>
      </c>
      <c r="B357" s="10">
        <v>2016</v>
      </c>
      <c r="C357" s="3" t="s">
        <v>333</v>
      </c>
      <c r="D357" s="3" t="s">
        <v>9</v>
      </c>
      <c r="E357" s="4" t="s">
        <v>7</v>
      </c>
      <c r="F357" s="11" t="s">
        <v>8</v>
      </c>
      <c r="H357" t="str">
        <f>TRIM(SUBSTITUTE(PROPER(C357)&amp;" "&amp;IF(OR(D357="County",D357="Township",D357="Village",D357="Charter Township"),D357,"")&amp;IF(D357="Township"," "&amp;"("&amp;VLOOKUP(A357,counties,3,0)&amp;")",""),"  "," "))</f>
        <v>Quincy Township (Branch County)</v>
      </c>
    </row>
    <row r="358" spans="1:8" ht="15.75" thickBot="1" x14ac:dyDescent="0.3">
      <c r="A358">
        <f t="shared" si="5"/>
        <v>12</v>
      </c>
      <c r="B358" s="8">
        <v>2016</v>
      </c>
      <c r="C358" s="1" t="s">
        <v>333</v>
      </c>
      <c r="D358" s="1" t="s">
        <v>21</v>
      </c>
      <c r="E358" s="2" t="s">
        <v>7</v>
      </c>
      <c r="F358" s="9" t="s">
        <v>8</v>
      </c>
      <c r="H358" t="str">
        <f>TRIM(SUBSTITUTE(PROPER(C358)&amp;" "&amp;IF(OR(D358="County",D358="Township",D358="Village",D358="Charter Township"),D358,"")&amp;IF(D358="Township"," "&amp;"("&amp;VLOOKUP(A358,counties,3,0)&amp;")",""),"  "," "))</f>
        <v>Quincy Village</v>
      </c>
    </row>
    <row r="359" spans="1:8" ht="15.75" thickBot="1" x14ac:dyDescent="0.3">
      <c r="A359">
        <f t="shared" si="5"/>
        <v>12</v>
      </c>
      <c r="B359" s="10">
        <v>2016</v>
      </c>
      <c r="C359" s="3" t="s">
        <v>334</v>
      </c>
      <c r="D359" s="3" t="s">
        <v>17</v>
      </c>
      <c r="E359" s="4" t="s">
        <v>7</v>
      </c>
      <c r="F359" s="11" t="s">
        <v>8</v>
      </c>
      <c r="H359" t="str">
        <f>TRIM(SUBSTITUTE(PROPER(C359)&amp;" "&amp;IF(OR(D359="County",D359="Township",D359="Village",D359="Charter Township"),D359,"")&amp;IF(D359="Township"," "&amp;"("&amp;VLOOKUP(A359,counties,3,0)&amp;")",""),"  "," "))</f>
        <v>Quincy Fire Association</v>
      </c>
    </row>
    <row r="360" spans="1:8" ht="15.75" thickBot="1" x14ac:dyDescent="0.3">
      <c r="A360">
        <f t="shared" si="5"/>
        <v>12</v>
      </c>
      <c r="B360" s="8">
        <v>2016</v>
      </c>
      <c r="C360" s="1" t="s">
        <v>335</v>
      </c>
      <c r="D360" s="1" t="s">
        <v>21</v>
      </c>
      <c r="E360" s="2" t="s">
        <v>7</v>
      </c>
      <c r="F360" s="9" t="s">
        <v>8</v>
      </c>
      <c r="H360" t="str">
        <f>TRIM(SUBSTITUTE(PROPER(C360)&amp;" "&amp;IF(OR(D360="County",D360="Township",D360="Village",D360="Charter Township"),D360,"")&amp;IF(D360="Township"," "&amp;"("&amp;VLOOKUP(A360,counties,3,0)&amp;")",""),"  "," "))</f>
        <v>Sherwood Village</v>
      </c>
    </row>
    <row r="361" spans="1:8" ht="15.75" thickBot="1" x14ac:dyDescent="0.3">
      <c r="A361">
        <f t="shared" si="5"/>
        <v>12</v>
      </c>
      <c r="B361" s="10">
        <v>2016</v>
      </c>
      <c r="C361" s="3" t="s">
        <v>336</v>
      </c>
      <c r="D361" s="3" t="s">
        <v>9</v>
      </c>
      <c r="E361" s="4" t="s">
        <v>7</v>
      </c>
      <c r="F361" s="11" t="s">
        <v>8</v>
      </c>
      <c r="H361" t="str">
        <f>TRIM(SUBSTITUTE(PROPER(C361)&amp;" "&amp;IF(OR(D361="County",D361="Township",D361="Village",D361="Charter Township"),D361,"")&amp;IF(D361="Township"," "&amp;"("&amp;VLOOKUP(A361,counties,3,0)&amp;")",""),"  "," "))</f>
        <v>Union Township (Branch County)</v>
      </c>
    </row>
    <row r="362" spans="1:8" ht="15.75" thickBot="1" x14ac:dyDescent="0.3">
      <c r="A362">
        <f t="shared" si="5"/>
        <v>12</v>
      </c>
      <c r="B362" s="16">
        <v>2016</v>
      </c>
      <c r="C362" s="17" t="s">
        <v>337</v>
      </c>
      <c r="D362" s="17" t="s">
        <v>21</v>
      </c>
      <c r="E362" s="18" t="s">
        <v>7</v>
      </c>
      <c r="F362" s="19" t="s">
        <v>8</v>
      </c>
      <c r="H362" t="str">
        <f>TRIM(SUBSTITUTE(PROPER(C362)&amp;" "&amp;IF(OR(D362="County",D362="Township",D362="Village",D362="Charter Township"),D362,"")&amp;IF(D362="Township"," "&amp;"("&amp;VLOOKUP(A362,counties,3,0)&amp;")",""),"  "," "))</f>
        <v>Union City Village</v>
      </c>
    </row>
    <row r="363" spans="1:8" ht="16.5" thickTop="1" thickBot="1" x14ac:dyDescent="0.3">
      <c r="A363">
        <f t="shared" ref="A363" si="6">IF(B363="Year",A362+1,A362)</f>
        <v>13</v>
      </c>
      <c r="B363" s="5" t="s">
        <v>0</v>
      </c>
      <c r="C363" s="6" t="s">
        <v>1</v>
      </c>
      <c r="D363" s="6" t="s">
        <v>2</v>
      </c>
      <c r="E363" s="6" t="s">
        <v>3</v>
      </c>
      <c r="F363" s="7" t="s">
        <v>4</v>
      </c>
      <c r="H363" t="str">
        <f>TRIM(SUBSTITUTE(PROPER(C363)&amp;" "&amp;IF(OR(D363="County",D363="Township",D363="Village",D363="Charter Township"),D363,"")&amp;IF(D363="Township"," "&amp;"("&amp;VLOOKUP(A363,counties,3,0)&amp;")",""),"  "," "))</f>
        <v>Municipality</v>
      </c>
    </row>
    <row r="364" spans="1:8" ht="15.75" thickBot="1" x14ac:dyDescent="0.3">
      <c r="A364">
        <f t="shared" si="5"/>
        <v>13</v>
      </c>
      <c r="B364" s="8">
        <v>2016</v>
      </c>
      <c r="C364" s="1" t="s">
        <v>338</v>
      </c>
      <c r="D364" s="1" t="s">
        <v>15</v>
      </c>
      <c r="E364" s="2" t="s">
        <v>7</v>
      </c>
      <c r="F364" s="9" t="s">
        <v>8</v>
      </c>
      <c r="H364" t="str">
        <f>TRIM(SUBSTITUTE(PROPER(C364)&amp;" "&amp;IF(OR(D364="County",D364="Township",D364="Village",D364="Charter Township"),D364,"")&amp;IF(D364="Township"," "&amp;"("&amp;VLOOKUP(A364,counties,3,0)&amp;")",""),"  "," "))</f>
        <v>Albion</v>
      </c>
    </row>
    <row r="365" spans="1:8" ht="15.75" thickBot="1" x14ac:dyDescent="0.3">
      <c r="A365">
        <f t="shared" si="5"/>
        <v>13</v>
      </c>
      <c r="B365" s="10">
        <v>2016</v>
      </c>
      <c r="C365" s="3" t="s">
        <v>338</v>
      </c>
      <c r="D365" s="3" t="s">
        <v>9</v>
      </c>
      <c r="E365" s="4" t="s">
        <v>7</v>
      </c>
      <c r="F365" s="11" t="s">
        <v>8</v>
      </c>
      <c r="H365" t="str">
        <f>TRIM(SUBSTITUTE(PROPER(C365)&amp;" "&amp;IF(OR(D365="County",D365="Township",D365="Village",D365="Charter Township"),D365,"")&amp;IF(D365="Township"," "&amp;"("&amp;VLOOKUP(A365,counties,3,0)&amp;")",""),"  "," "))</f>
        <v>Albion Township (Calhoun County)</v>
      </c>
    </row>
    <row r="366" spans="1:8" ht="15.75" thickBot="1" x14ac:dyDescent="0.3">
      <c r="A366">
        <f t="shared" si="5"/>
        <v>13</v>
      </c>
      <c r="B366" s="8">
        <v>2016</v>
      </c>
      <c r="C366" s="1" t="s">
        <v>339</v>
      </c>
      <c r="D366" s="1" t="s">
        <v>17</v>
      </c>
      <c r="E366" s="2" t="s">
        <v>7</v>
      </c>
      <c r="F366" s="9" t="s">
        <v>8</v>
      </c>
      <c r="H366" t="str">
        <f>TRIM(SUBSTITUTE(PROPER(C366)&amp;" "&amp;IF(OR(D366="County",D366="Township",D366="Village",D366="Charter Township"),D366,"")&amp;IF(D366="Township"," "&amp;"("&amp;VLOOKUP(A366,counties,3,0)&amp;")",""),"  "," "))</f>
        <v>Albion City Housing Commission</v>
      </c>
    </row>
    <row r="367" spans="1:8" ht="15.75" thickBot="1" x14ac:dyDescent="0.3">
      <c r="A367">
        <f t="shared" si="5"/>
        <v>13</v>
      </c>
      <c r="B367" s="10">
        <v>2016</v>
      </c>
      <c r="C367" s="3" t="s">
        <v>340</v>
      </c>
      <c r="D367" s="3" t="s">
        <v>42</v>
      </c>
      <c r="E367" s="4" t="s">
        <v>7</v>
      </c>
      <c r="F367" s="11" t="s">
        <v>8</v>
      </c>
      <c r="H367" t="str">
        <f>TRIM(SUBSTITUTE(PROPER(C367)&amp;" "&amp;IF(OR(D367="County",D367="Township",D367="Village",D367="Charter Township"),D367,"")&amp;IF(D367="Township"," "&amp;"("&amp;VLOOKUP(A367,counties,3,0)&amp;")",""),"  "," "))</f>
        <v>Albion District Library</v>
      </c>
    </row>
    <row r="368" spans="1:8" ht="15.75" thickBot="1" x14ac:dyDescent="0.3">
      <c r="A368">
        <f t="shared" si="5"/>
        <v>13</v>
      </c>
      <c r="B368" s="8">
        <v>2016</v>
      </c>
      <c r="C368" s="1" t="s">
        <v>341</v>
      </c>
      <c r="D368" s="1" t="s">
        <v>9</v>
      </c>
      <c r="E368" s="2" t="s">
        <v>7</v>
      </c>
      <c r="F368" s="9" t="s">
        <v>8</v>
      </c>
      <c r="H368" t="str">
        <f>TRIM(SUBSTITUTE(PROPER(C368)&amp;" "&amp;IF(OR(D368="County",D368="Township",D368="Village",D368="Charter Township"),D368,"")&amp;IF(D368="Township"," "&amp;"("&amp;VLOOKUP(A368,counties,3,0)&amp;")",""),"  "," "))</f>
        <v>Athens Township (Calhoun County)</v>
      </c>
    </row>
    <row r="369" spans="1:8" ht="15.75" thickBot="1" x14ac:dyDescent="0.3">
      <c r="A369">
        <f t="shared" si="5"/>
        <v>13</v>
      </c>
      <c r="B369" s="10">
        <v>2016</v>
      </c>
      <c r="C369" s="3" t="s">
        <v>341</v>
      </c>
      <c r="D369" s="3" t="s">
        <v>21</v>
      </c>
      <c r="E369" s="4" t="s">
        <v>7</v>
      </c>
      <c r="F369" s="11" t="s">
        <v>8</v>
      </c>
      <c r="H369" t="str">
        <f>TRIM(SUBSTITUTE(PROPER(C369)&amp;" "&amp;IF(OR(D369="County",D369="Township",D369="Village",D369="Charter Township"),D369,"")&amp;IF(D369="Township"," "&amp;"("&amp;VLOOKUP(A369,counties,3,0)&amp;")",""),"  "," "))</f>
        <v>Athens Village</v>
      </c>
    </row>
    <row r="370" spans="1:8" ht="15.75" thickBot="1" x14ac:dyDescent="0.3">
      <c r="A370">
        <f t="shared" si="5"/>
        <v>13</v>
      </c>
      <c r="B370" s="8">
        <v>2016</v>
      </c>
      <c r="C370" s="1" t="s">
        <v>342</v>
      </c>
      <c r="D370" s="1" t="s">
        <v>15</v>
      </c>
      <c r="E370" s="2" t="s">
        <v>7</v>
      </c>
      <c r="F370" s="9" t="s">
        <v>8</v>
      </c>
      <c r="H370" t="str">
        <f>TRIM(SUBSTITUTE(PROPER(C370)&amp;" "&amp;IF(OR(D370="County",D370="Township",D370="Village",D370="Charter Township"),D370,"")&amp;IF(D370="Township"," "&amp;"("&amp;VLOOKUP(A370,counties,3,0)&amp;")",""),"  "," "))</f>
        <v>Battle Creek</v>
      </c>
    </row>
    <row r="371" spans="1:8" ht="15.75" thickBot="1" x14ac:dyDescent="0.3">
      <c r="A371">
        <f t="shared" si="5"/>
        <v>13</v>
      </c>
      <c r="B371" s="10">
        <v>2016</v>
      </c>
      <c r="C371" s="3" t="s">
        <v>343</v>
      </c>
      <c r="D371" s="3" t="s">
        <v>17</v>
      </c>
      <c r="E371" s="4" t="s">
        <v>7</v>
      </c>
      <c r="F371" s="11" t="s">
        <v>8</v>
      </c>
      <c r="H371" t="str">
        <f>TRIM(SUBSTITUTE(PROPER(C371)&amp;" "&amp;IF(OR(D371="County",D371="Township",D371="Village",D371="Charter Township"),D371,"")&amp;IF(D371="Township"," "&amp;"("&amp;VLOOKUP(A371,counties,3,0)&amp;")",""),"  "," "))</f>
        <v>Battle Creek Area Transportation Study</v>
      </c>
    </row>
    <row r="372" spans="1:8" ht="21.75" thickBot="1" x14ac:dyDescent="0.3">
      <c r="A372">
        <f t="shared" si="5"/>
        <v>13</v>
      </c>
      <c r="B372" s="8">
        <v>2016</v>
      </c>
      <c r="C372" s="1" t="s">
        <v>344</v>
      </c>
      <c r="D372" s="1" t="s">
        <v>17</v>
      </c>
      <c r="E372" s="2" t="s">
        <v>7</v>
      </c>
      <c r="F372" s="9" t="s">
        <v>8</v>
      </c>
      <c r="H372" t="str">
        <f>TRIM(SUBSTITUTE(PROPER(C372)&amp;" "&amp;IF(OR(D372="County",D372="Township",D372="Village",D372="Charter Township"),D372,"")&amp;IF(D372="Township"," "&amp;"("&amp;VLOOKUP(A372,counties,3,0)&amp;")",""),"  "," "))</f>
        <v>Battle Creek City Brownfield Redevelopment Authori</v>
      </c>
    </row>
    <row r="373" spans="1:8" ht="15.75" thickBot="1" x14ac:dyDescent="0.3">
      <c r="A373">
        <f t="shared" si="5"/>
        <v>13</v>
      </c>
      <c r="B373" s="10">
        <v>2016</v>
      </c>
      <c r="C373" s="3" t="s">
        <v>345</v>
      </c>
      <c r="D373" s="3" t="s">
        <v>17</v>
      </c>
      <c r="E373" s="4" t="s">
        <v>7</v>
      </c>
      <c r="F373" s="11" t="s">
        <v>8</v>
      </c>
      <c r="H373" t="str">
        <f>TRIM(SUBSTITUTE(PROPER(C373)&amp;" "&amp;IF(OR(D373="County",D373="Township",D373="Village",D373="Charter Township"),D373,"")&amp;IF(D373="Township"," "&amp;"("&amp;VLOOKUP(A373,counties,3,0)&amp;")",""),"  "," "))</f>
        <v>Battle Creek City Direct Investment Funds</v>
      </c>
    </row>
    <row r="374" spans="1:8" ht="21.75" thickBot="1" x14ac:dyDescent="0.3">
      <c r="A374">
        <f t="shared" si="5"/>
        <v>13</v>
      </c>
      <c r="B374" s="8">
        <v>2016</v>
      </c>
      <c r="C374" s="1" t="s">
        <v>346</v>
      </c>
      <c r="D374" s="1" t="s">
        <v>17</v>
      </c>
      <c r="E374" s="2" t="s">
        <v>7</v>
      </c>
      <c r="F374" s="9" t="s">
        <v>8</v>
      </c>
      <c r="H374" t="str">
        <f>TRIM(SUBSTITUTE(PROPER(C374)&amp;" "&amp;IF(OR(D374="County",D374="Township",D374="Village",D374="Charter Township"),D374,"")&amp;IF(D374="Township"," "&amp;"("&amp;VLOOKUP(A374,counties,3,0)&amp;")",""),"  "," "))</f>
        <v>Battle Creek City Downtown Development Authority</v>
      </c>
    </row>
    <row r="375" spans="1:8" ht="15.75" thickBot="1" x14ac:dyDescent="0.3">
      <c r="A375">
        <f t="shared" si="5"/>
        <v>13</v>
      </c>
      <c r="B375" s="10">
        <v>2016</v>
      </c>
      <c r="C375" s="3" t="s">
        <v>347</v>
      </c>
      <c r="D375" s="3" t="s">
        <v>17</v>
      </c>
      <c r="E375" s="4" t="s">
        <v>7</v>
      </c>
      <c r="F375" s="11" t="s">
        <v>8</v>
      </c>
      <c r="H375" t="str">
        <f>TRIM(SUBSTITUTE(PROPER(C375)&amp;" "&amp;IF(OR(D375="County",D375="Township",D375="Village",D375="Charter Township"),D375,"")&amp;IF(D375="Township"," "&amp;"("&amp;VLOOKUP(A375,counties,3,0)&amp;")",""),"  "," "))</f>
        <v>Battle Creek City Housing Commission</v>
      </c>
    </row>
    <row r="376" spans="1:8" ht="21.75" thickBot="1" x14ac:dyDescent="0.3">
      <c r="A376">
        <f t="shared" si="5"/>
        <v>13</v>
      </c>
      <c r="B376" s="8">
        <v>2016</v>
      </c>
      <c r="C376" s="1" t="s">
        <v>348</v>
      </c>
      <c r="D376" s="1" t="s">
        <v>17</v>
      </c>
      <c r="E376" s="2" t="s">
        <v>7</v>
      </c>
      <c r="F376" s="9" t="s">
        <v>8</v>
      </c>
      <c r="H376" t="str">
        <f>TRIM(SUBSTITUTE(PROPER(C376)&amp;" "&amp;IF(OR(D376="County",D376="Township",D376="Village",D376="Charter Township"),D376,"")&amp;IF(D376="Township"," "&amp;"("&amp;VLOOKUP(A376,counties,3,0)&amp;")",""),"  "," "))</f>
        <v>Battle Creek City Local Development Finance Author</v>
      </c>
    </row>
    <row r="377" spans="1:8" ht="15.75" thickBot="1" x14ac:dyDescent="0.3">
      <c r="A377">
        <f t="shared" si="5"/>
        <v>13</v>
      </c>
      <c r="B377" s="10">
        <v>2016</v>
      </c>
      <c r="C377" s="3" t="s">
        <v>349</v>
      </c>
      <c r="D377" s="3" t="s">
        <v>17</v>
      </c>
      <c r="E377" s="4" t="s">
        <v>7</v>
      </c>
      <c r="F377" s="11" t="s">
        <v>8</v>
      </c>
      <c r="H377" t="str">
        <f>TRIM(SUBSTITUTE(PROPER(C377)&amp;" "&amp;IF(OR(D377="County",D377="Township",D377="Village",D377="Charter Township"),D377,"")&amp;IF(D377="Township"," "&amp;"("&amp;VLOOKUP(A377,counties,3,0)&amp;")",""),"  "," "))</f>
        <v>Battle Creek City Police &amp; Fire Retirement System</v>
      </c>
    </row>
    <row r="378" spans="1:8" ht="15.75" thickBot="1" x14ac:dyDescent="0.3">
      <c r="A378">
        <f t="shared" si="5"/>
        <v>13</v>
      </c>
      <c r="B378" s="8">
        <v>2016</v>
      </c>
      <c r="C378" s="1" t="s">
        <v>350</v>
      </c>
      <c r="D378" s="1" t="s">
        <v>17</v>
      </c>
      <c r="E378" s="2" t="s">
        <v>7</v>
      </c>
      <c r="F378" s="9" t="s">
        <v>8</v>
      </c>
      <c r="H378" t="str">
        <f>TRIM(SUBSTITUTE(PROPER(C378)&amp;" "&amp;IF(OR(D378="County",D378="Township",D378="Village",D378="Charter Township"),D378,"")&amp;IF(D378="Township"," "&amp;"("&amp;VLOOKUP(A378,counties,3,0)&amp;")",""),"  "," "))</f>
        <v>Battle Creek City Tax Increment Finance Authority</v>
      </c>
    </row>
    <row r="379" spans="1:8" ht="15.75" thickBot="1" x14ac:dyDescent="0.3">
      <c r="A379">
        <f t="shared" si="5"/>
        <v>13</v>
      </c>
      <c r="B379" s="10">
        <v>2016</v>
      </c>
      <c r="C379" s="3" t="s">
        <v>351</v>
      </c>
      <c r="D379" s="3" t="s">
        <v>17</v>
      </c>
      <c r="E379" s="4" t="s">
        <v>7</v>
      </c>
      <c r="F379" s="11" t="s">
        <v>8</v>
      </c>
      <c r="H379" t="str">
        <f>TRIM(SUBSTITUTE(PROPER(C379)&amp;" "&amp;IF(OR(D379="County",D379="Township",D379="Village",D379="Charter Township"),D379,"")&amp;IF(D379="Township"," "&amp;"("&amp;VLOOKUP(A379,counties,3,0)&amp;")",""),"  "," "))</f>
        <v>Battle Creek Transit Sytem</v>
      </c>
    </row>
    <row r="380" spans="1:8" ht="15.75" thickBot="1" x14ac:dyDescent="0.3">
      <c r="A380">
        <f t="shared" si="5"/>
        <v>13</v>
      </c>
      <c r="B380" s="8">
        <v>2016</v>
      </c>
      <c r="C380" s="1" t="s">
        <v>352</v>
      </c>
      <c r="D380" s="1" t="s">
        <v>9</v>
      </c>
      <c r="E380" s="2" t="s">
        <v>7</v>
      </c>
      <c r="F380" s="9" t="s">
        <v>8</v>
      </c>
      <c r="H380" t="str">
        <f>TRIM(SUBSTITUTE(PROPER(C380)&amp;" "&amp;IF(OR(D380="County",D380="Township",D380="Village",D380="Charter Township"),D380,"")&amp;IF(D380="Township"," "&amp;"("&amp;VLOOKUP(A380,counties,3,0)&amp;")",""),"  "," "))</f>
        <v>Bedford Charter Township (Calhoun County)</v>
      </c>
    </row>
    <row r="381" spans="1:8" ht="15.75" thickBot="1" x14ac:dyDescent="0.3">
      <c r="A381">
        <f t="shared" si="5"/>
        <v>13</v>
      </c>
      <c r="B381" s="10">
        <v>2016</v>
      </c>
      <c r="C381" s="3" t="s">
        <v>353</v>
      </c>
      <c r="D381" s="3" t="s">
        <v>9</v>
      </c>
      <c r="E381" s="4" t="s">
        <v>7</v>
      </c>
      <c r="F381" s="11" t="s">
        <v>8</v>
      </c>
      <c r="H381" t="str">
        <f>TRIM(SUBSTITUTE(PROPER(C381)&amp;" "&amp;IF(OR(D381="County",D381="Township",D381="Village",D381="Charter Township"),D381,"")&amp;IF(D381="Township"," "&amp;"("&amp;VLOOKUP(A381,counties,3,0)&amp;")",""),"  "," "))</f>
        <v>Burlington Township (Calhoun County)</v>
      </c>
    </row>
    <row r="382" spans="1:8" ht="15.75" thickBot="1" x14ac:dyDescent="0.3">
      <c r="A382">
        <f t="shared" si="5"/>
        <v>13</v>
      </c>
      <c r="B382" s="8">
        <v>2016</v>
      </c>
      <c r="C382" s="1" t="s">
        <v>354</v>
      </c>
      <c r="D382" s="1" t="s">
        <v>6</v>
      </c>
      <c r="E382" s="2" t="s">
        <v>7</v>
      </c>
      <c r="F382" s="9" t="s">
        <v>8</v>
      </c>
      <c r="H382" t="str">
        <f>TRIM(SUBSTITUTE(PROPER(C382)&amp;" "&amp;IF(OR(D382="County",D382="Township",D382="Village",D382="Charter Township"),D382,"")&amp;IF(D382="Township"," "&amp;"("&amp;VLOOKUP(A382,counties,3,0)&amp;")",""),"  "," "))</f>
        <v>Calhoun County</v>
      </c>
    </row>
    <row r="383" spans="1:8" ht="15.75" thickBot="1" x14ac:dyDescent="0.3">
      <c r="A383">
        <f t="shared" si="5"/>
        <v>13</v>
      </c>
      <c r="B383" s="10">
        <v>2016</v>
      </c>
      <c r="C383" s="3" t="s">
        <v>355</v>
      </c>
      <c r="D383" s="3" t="s">
        <v>17</v>
      </c>
      <c r="E383" s="4" t="s">
        <v>7</v>
      </c>
      <c r="F383" s="11" t="s">
        <v>8</v>
      </c>
      <c r="H383" t="str">
        <f>TRIM(SUBSTITUTE(PROPER(C383)&amp;" "&amp;IF(OR(D383="County",D383="Township",D383="Village",D383="Charter Township"),D383,"")&amp;IF(D383="Township"," "&amp;"("&amp;VLOOKUP(A383,counties,3,0)&amp;")",""),"  "," "))</f>
        <v>Calhoun Co 100% Delinquent Tax Revolving Fund</v>
      </c>
    </row>
    <row r="384" spans="1:8" ht="15.75" thickBot="1" x14ac:dyDescent="0.3">
      <c r="A384">
        <f t="shared" si="5"/>
        <v>13</v>
      </c>
      <c r="B384" s="8">
        <v>2016</v>
      </c>
      <c r="C384" s="1" t="s">
        <v>356</v>
      </c>
      <c r="D384" s="1" t="s">
        <v>17</v>
      </c>
      <c r="E384" s="2" t="s">
        <v>7</v>
      </c>
      <c r="F384" s="9" t="s">
        <v>8</v>
      </c>
      <c r="H384" t="str">
        <f>TRIM(SUBSTITUTE(PROPER(C384)&amp;" "&amp;IF(OR(D384="County",D384="Township",D384="Village",D384="Charter Township"),D384,"")&amp;IF(D384="Township"," "&amp;"("&amp;VLOOKUP(A384,counties,3,0)&amp;")",""),"  "," "))</f>
        <v>Calhoun Co Medical Care Facility</v>
      </c>
    </row>
    <row r="385" spans="1:8" ht="15.75" thickBot="1" x14ac:dyDescent="0.3">
      <c r="A385">
        <f t="shared" si="5"/>
        <v>13</v>
      </c>
      <c r="B385" s="10">
        <v>2016</v>
      </c>
      <c r="C385" s="3" t="s">
        <v>357</v>
      </c>
      <c r="D385" s="3" t="s">
        <v>17</v>
      </c>
      <c r="E385" s="4" t="s">
        <v>7</v>
      </c>
      <c r="F385" s="11" t="s">
        <v>8</v>
      </c>
      <c r="H385" t="str">
        <f>TRIM(SUBSTITUTE(PROPER(C385)&amp;" "&amp;IF(OR(D385="County",D385="Township",D385="Village",D385="Charter Township"),D385,"")&amp;IF(D385="Township"," "&amp;"("&amp;VLOOKUP(A385,counties,3,0)&amp;")",""),"  "," "))</f>
        <v>Calhoun County Consolidated Dispatch Authority</v>
      </c>
    </row>
    <row r="386" spans="1:8" ht="15.75" thickBot="1" x14ac:dyDescent="0.3">
      <c r="A386">
        <f t="shared" si="5"/>
        <v>13</v>
      </c>
      <c r="B386" s="8">
        <v>2016</v>
      </c>
      <c r="C386" s="1" t="s">
        <v>358</v>
      </c>
      <c r="D386" s="1" t="s">
        <v>17</v>
      </c>
      <c r="E386" s="2" t="s">
        <v>7</v>
      </c>
      <c r="F386" s="9" t="s">
        <v>8</v>
      </c>
      <c r="H386" t="str">
        <f>TRIM(SUBSTITUTE(PROPER(C386)&amp;" "&amp;IF(OR(D386="County",D386="Township",D386="Village",D386="Charter Township"),D386,"")&amp;IF(D386="Township"," "&amp;"("&amp;VLOOKUP(A386,counties,3,0)&amp;")",""),"  "," "))</f>
        <v>Calhoun County Land Bank Authority</v>
      </c>
    </row>
    <row r="387" spans="1:8" ht="15.75" thickBot="1" x14ac:dyDescent="0.3">
      <c r="A387">
        <f t="shared" ref="A387:A450" si="7">IF(B387="Year",A386+1,A386)</f>
        <v>13</v>
      </c>
      <c r="B387" s="10">
        <v>2016</v>
      </c>
      <c r="C387" s="3" t="s">
        <v>359</v>
      </c>
      <c r="D387" s="3" t="s">
        <v>9</v>
      </c>
      <c r="E387" s="4" t="s">
        <v>7</v>
      </c>
      <c r="F387" s="11" t="s">
        <v>8</v>
      </c>
      <c r="H387" t="str">
        <f>TRIM(SUBSTITUTE(PROPER(C387)&amp;" "&amp;IF(OR(D387="County",D387="Township",D387="Village",D387="Charter Township"),D387,"")&amp;IF(D387="Township"," "&amp;"("&amp;VLOOKUP(A387,counties,3,0)&amp;")",""),"  "," "))</f>
        <v>Clarence Township (Calhoun County)</v>
      </c>
    </row>
    <row r="388" spans="1:8" ht="15.75" thickBot="1" x14ac:dyDescent="0.3">
      <c r="A388">
        <f t="shared" si="7"/>
        <v>13</v>
      </c>
      <c r="B388" s="8">
        <v>2016</v>
      </c>
      <c r="C388" s="1" t="s">
        <v>360</v>
      </c>
      <c r="D388" s="1" t="s">
        <v>9</v>
      </c>
      <c r="E388" s="2" t="s">
        <v>7</v>
      </c>
      <c r="F388" s="9" t="s">
        <v>8</v>
      </c>
      <c r="H388" t="str">
        <f>TRIM(SUBSTITUTE(PROPER(C388)&amp;" "&amp;IF(OR(D388="County",D388="Township",D388="Village",D388="Charter Township"),D388,"")&amp;IF(D388="Township"," "&amp;"("&amp;VLOOKUP(A388,counties,3,0)&amp;")",""),"  "," "))</f>
        <v>Convis Township (Calhoun County)</v>
      </c>
    </row>
    <row r="389" spans="1:8" ht="15.75" thickBot="1" x14ac:dyDescent="0.3">
      <c r="A389">
        <f t="shared" si="7"/>
        <v>13</v>
      </c>
      <c r="B389" s="10">
        <v>2016</v>
      </c>
      <c r="C389" s="3" t="s">
        <v>361</v>
      </c>
      <c r="D389" s="3" t="s">
        <v>9</v>
      </c>
      <c r="E389" s="4" t="s">
        <v>7</v>
      </c>
      <c r="F389" s="11" t="s">
        <v>8</v>
      </c>
      <c r="H389" t="str">
        <f>TRIM(SUBSTITUTE(PROPER(C389)&amp;" "&amp;IF(OR(D389="County",D389="Township",D389="Village",D389="Charter Township"),D389,"")&amp;IF(D389="Township"," "&amp;"("&amp;VLOOKUP(A389,counties,3,0)&amp;")",""),"  "," "))</f>
        <v>Eckford Township (Calhoun County)</v>
      </c>
    </row>
    <row r="390" spans="1:8" ht="15.75" thickBot="1" x14ac:dyDescent="0.3">
      <c r="A390">
        <f t="shared" si="7"/>
        <v>13</v>
      </c>
      <c r="B390" s="8">
        <v>2016</v>
      </c>
      <c r="C390" s="1" t="s">
        <v>362</v>
      </c>
      <c r="D390" s="1" t="s">
        <v>9</v>
      </c>
      <c r="E390" s="2" t="s">
        <v>7</v>
      </c>
      <c r="F390" s="9" t="s">
        <v>8</v>
      </c>
      <c r="H390" t="str">
        <f>TRIM(SUBSTITUTE(PROPER(C390)&amp;" "&amp;IF(OR(D390="County",D390="Township",D390="Village",D390="Charter Township"),D390,"")&amp;IF(D390="Township"," "&amp;"("&amp;VLOOKUP(A390,counties,3,0)&amp;")",""),"  "," "))</f>
        <v>Emmett Charter Township (Calhoun County)</v>
      </c>
    </row>
    <row r="391" spans="1:8" ht="15.75" thickBot="1" x14ac:dyDescent="0.3">
      <c r="A391">
        <f t="shared" si="7"/>
        <v>13</v>
      </c>
      <c r="B391" s="10">
        <v>2016</v>
      </c>
      <c r="C391" s="3" t="s">
        <v>363</v>
      </c>
      <c r="D391" s="3" t="s">
        <v>17</v>
      </c>
      <c r="E391" s="4" t="s">
        <v>7</v>
      </c>
      <c r="F391" s="11" t="s">
        <v>8</v>
      </c>
      <c r="H391" t="str">
        <f>TRIM(SUBSTITUTE(PROPER(C391)&amp;" "&amp;IF(OR(D391="County",D391="Township",D391="Village",D391="Charter Township"),D391,"")&amp;IF(D391="Township"," "&amp;"("&amp;VLOOKUP(A391,counties,3,0)&amp;")",""),"  "," "))</f>
        <v>Firekeepers Local Revenue Sharing Board</v>
      </c>
    </row>
    <row r="392" spans="1:8" ht="15.75" thickBot="1" x14ac:dyDescent="0.3">
      <c r="A392">
        <f t="shared" si="7"/>
        <v>13</v>
      </c>
      <c r="B392" s="8">
        <v>2016</v>
      </c>
      <c r="C392" s="1" t="s">
        <v>364</v>
      </c>
      <c r="D392" s="1" t="s">
        <v>17</v>
      </c>
      <c r="E392" s="2" t="s">
        <v>7</v>
      </c>
      <c r="F392" s="9" t="s">
        <v>8</v>
      </c>
      <c r="H392" t="str">
        <f>TRIM(SUBSTITUTE(PROPER(C392)&amp;" "&amp;IF(OR(D392="County",D392="Township",D392="Village",D392="Charter Township"),D392,"")&amp;IF(D392="Township"," "&amp;"("&amp;VLOOKUP(A392,counties,3,0)&amp;")",""),"  "," "))</f>
        <v>Kellogg Arena Fund City Of Battle Creek</v>
      </c>
    </row>
    <row r="393" spans="1:8" ht="15.75" thickBot="1" x14ac:dyDescent="0.3">
      <c r="A393">
        <f t="shared" si="7"/>
        <v>13</v>
      </c>
      <c r="B393" s="10">
        <v>2016</v>
      </c>
      <c r="C393" s="3" t="s">
        <v>365</v>
      </c>
      <c r="D393" s="3" t="s">
        <v>88</v>
      </c>
      <c r="E393" s="4" t="s">
        <v>7</v>
      </c>
      <c r="F393" s="11" t="s">
        <v>8</v>
      </c>
      <c r="H393" t="str">
        <f>TRIM(SUBSTITUTE(PROPER(C393)&amp;" "&amp;IF(OR(D393="County",D393="Township",D393="Village",D393="Charter Township"),D393,"")&amp;IF(D393="Township"," "&amp;"("&amp;VLOOKUP(A393,counties,3,0)&amp;")",""),"  "," "))</f>
        <v>Kellogg Community College</v>
      </c>
    </row>
    <row r="394" spans="1:8" ht="15.75" thickBot="1" x14ac:dyDescent="0.3">
      <c r="A394">
        <f t="shared" si="7"/>
        <v>13</v>
      </c>
      <c r="B394" s="8">
        <v>2016</v>
      </c>
      <c r="C394" s="1" t="s">
        <v>366</v>
      </c>
      <c r="D394" s="1" t="s">
        <v>17</v>
      </c>
      <c r="E394" s="2" t="s">
        <v>7</v>
      </c>
      <c r="F394" s="9" t="s">
        <v>8</v>
      </c>
      <c r="H394" t="str">
        <f>TRIM(SUBSTITUTE(PROPER(C394)&amp;" "&amp;IF(OR(D394="County",D394="Township",D394="Village",D394="Charter Township"),D394,"")&amp;IF(D394="Township"," "&amp;"("&amp;VLOOKUP(A394,counties,3,0)&amp;")",""),"  "," "))</f>
        <v>Lakeview Downtown Development Authority</v>
      </c>
    </row>
    <row r="395" spans="1:8" ht="15.75" thickBot="1" x14ac:dyDescent="0.3">
      <c r="A395">
        <f t="shared" si="7"/>
        <v>13</v>
      </c>
      <c r="B395" s="10">
        <v>2016</v>
      </c>
      <c r="C395" s="3" t="s">
        <v>67</v>
      </c>
      <c r="D395" s="3" t="s">
        <v>9</v>
      </c>
      <c r="E395" s="4" t="s">
        <v>7</v>
      </c>
      <c r="F395" s="11" t="s">
        <v>8</v>
      </c>
      <c r="H395" t="str">
        <f>TRIM(SUBSTITUTE(PROPER(C395)&amp;" "&amp;IF(OR(D395="County",D395="Township",D395="Village",D395="Charter Township"),D395,"")&amp;IF(D395="Township"," "&amp;"("&amp;VLOOKUP(A395,counties,3,0)&amp;")",""),"  "," "))</f>
        <v>Lee Township (Calhoun County)</v>
      </c>
    </row>
    <row r="396" spans="1:8" ht="15.75" thickBot="1" x14ac:dyDescent="0.3">
      <c r="A396">
        <f t="shared" si="7"/>
        <v>13</v>
      </c>
      <c r="B396" s="8">
        <v>2016</v>
      </c>
      <c r="C396" s="1" t="s">
        <v>367</v>
      </c>
      <c r="D396" s="1" t="s">
        <v>9</v>
      </c>
      <c r="E396" s="2" t="s">
        <v>7</v>
      </c>
      <c r="F396" s="9" t="s">
        <v>19</v>
      </c>
      <c r="H396" t="str">
        <f>TRIM(SUBSTITUTE(PROPER(C396)&amp;" "&amp;IF(OR(D396="County",D396="Township",D396="Village",D396="Charter Township"),D396,"")&amp;IF(D396="Township"," "&amp;"("&amp;VLOOKUP(A396,counties,3,0)&amp;")",""),"  "," "))</f>
        <v>Leroy Township (Calhoun County)</v>
      </c>
    </row>
    <row r="397" spans="1:8" ht="15.75" thickBot="1" x14ac:dyDescent="0.3">
      <c r="A397">
        <f t="shared" si="7"/>
        <v>13</v>
      </c>
      <c r="B397" s="10">
        <v>2016</v>
      </c>
      <c r="C397" s="3" t="s">
        <v>368</v>
      </c>
      <c r="D397" s="3" t="s">
        <v>9</v>
      </c>
      <c r="E397" s="4" t="s">
        <v>7</v>
      </c>
      <c r="F397" s="11" t="s">
        <v>8</v>
      </c>
      <c r="H397" t="str">
        <f>TRIM(SUBSTITUTE(PROPER(C397)&amp;" "&amp;IF(OR(D397="County",D397="Township",D397="Village",D397="Charter Township"),D397,"")&amp;IF(D397="Township"," "&amp;"("&amp;VLOOKUP(A397,counties,3,0)&amp;")",""),"  "," "))</f>
        <v>Marengo Township (Calhoun County)</v>
      </c>
    </row>
    <row r="398" spans="1:8" ht="15.75" thickBot="1" x14ac:dyDescent="0.3">
      <c r="A398">
        <f t="shared" si="7"/>
        <v>13</v>
      </c>
      <c r="B398" s="8">
        <v>2016</v>
      </c>
      <c r="C398" s="1" t="s">
        <v>369</v>
      </c>
      <c r="D398" s="1" t="s">
        <v>15</v>
      </c>
      <c r="E398" s="2" t="s">
        <v>7</v>
      </c>
      <c r="F398" s="9" t="s">
        <v>8</v>
      </c>
      <c r="H398" t="str">
        <f>TRIM(SUBSTITUTE(PROPER(C398)&amp;" "&amp;IF(OR(D398="County",D398="Township",D398="Village",D398="Charter Township"),D398,"")&amp;IF(D398="Township"," "&amp;"("&amp;VLOOKUP(A398,counties,3,0)&amp;")",""),"  "," "))</f>
        <v>Marshall</v>
      </c>
    </row>
    <row r="399" spans="1:8" ht="15.75" thickBot="1" x14ac:dyDescent="0.3">
      <c r="A399">
        <f t="shared" si="7"/>
        <v>13</v>
      </c>
      <c r="B399" s="10">
        <v>2016</v>
      </c>
      <c r="C399" s="3" t="s">
        <v>369</v>
      </c>
      <c r="D399" s="3" t="s">
        <v>9</v>
      </c>
      <c r="E399" s="4" t="s">
        <v>7</v>
      </c>
      <c r="F399" s="11" t="s">
        <v>19</v>
      </c>
      <c r="H399" t="str">
        <f>TRIM(SUBSTITUTE(PROPER(C399)&amp;" "&amp;IF(OR(D399="County",D399="Township",D399="Village",D399="Charter Township"),D399,"")&amp;IF(D399="Township"," "&amp;"("&amp;VLOOKUP(A399,counties,3,0)&amp;")",""),"  "," "))</f>
        <v>Marshall Township (Calhoun County)</v>
      </c>
    </row>
    <row r="400" spans="1:8" ht="15.75" thickBot="1" x14ac:dyDescent="0.3">
      <c r="A400">
        <f t="shared" si="7"/>
        <v>13</v>
      </c>
      <c r="B400" s="8">
        <v>2016</v>
      </c>
      <c r="C400" s="1" t="s">
        <v>370</v>
      </c>
      <c r="D400" s="1" t="s">
        <v>17</v>
      </c>
      <c r="E400" s="2" t="s">
        <v>7</v>
      </c>
      <c r="F400" s="9" t="s">
        <v>8</v>
      </c>
      <c r="H400" t="str">
        <f>TRIM(SUBSTITUTE(PROPER(C400)&amp;" "&amp;IF(OR(D400="County",D400="Township",D400="Village",D400="Charter Township"),D400,"")&amp;IF(D400="Township"," "&amp;"("&amp;VLOOKUP(A400,counties,3,0)&amp;")",""),"  "," "))</f>
        <v>Marshall Area Fire Fighters Ambulance Authority</v>
      </c>
    </row>
    <row r="401" spans="1:8" ht="15.75" thickBot="1" x14ac:dyDescent="0.3">
      <c r="A401">
        <f t="shared" si="7"/>
        <v>13</v>
      </c>
      <c r="B401" s="10">
        <v>2016</v>
      </c>
      <c r="C401" s="3" t="s">
        <v>371</v>
      </c>
      <c r="D401" s="3" t="s">
        <v>42</v>
      </c>
      <c r="E401" s="4" t="s">
        <v>7</v>
      </c>
      <c r="F401" s="11" t="s">
        <v>8</v>
      </c>
      <c r="H401" t="str">
        <f>TRIM(SUBSTITUTE(PROPER(C401)&amp;" "&amp;IF(OR(D401="County",D401="Township",D401="Village",D401="Charter Township"),D401,"")&amp;IF(D401="Township"," "&amp;"("&amp;VLOOKUP(A401,counties,3,0)&amp;")",""),"  "," "))</f>
        <v>Marshall District Library</v>
      </c>
    </row>
    <row r="402" spans="1:8" ht="15.75" thickBot="1" x14ac:dyDescent="0.3">
      <c r="A402">
        <f t="shared" si="7"/>
        <v>13</v>
      </c>
      <c r="B402" s="8">
        <v>2016</v>
      </c>
      <c r="C402" s="1" t="s">
        <v>372</v>
      </c>
      <c r="D402" s="1" t="s">
        <v>9</v>
      </c>
      <c r="E402" s="2" t="s">
        <v>7</v>
      </c>
      <c r="F402" s="9" t="s">
        <v>8</v>
      </c>
      <c r="H402" t="str">
        <f>TRIM(SUBSTITUTE(PROPER(C402)&amp;" "&amp;IF(OR(D402="County",D402="Township",D402="Village",D402="Charter Township"),D402,"")&amp;IF(D402="Township"," "&amp;"("&amp;VLOOKUP(A402,counties,3,0)&amp;")",""),"  "," "))</f>
        <v>Newton Township (Calhoun County)</v>
      </c>
    </row>
    <row r="403" spans="1:8" ht="15.75" thickBot="1" x14ac:dyDescent="0.3">
      <c r="A403">
        <f t="shared" si="7"/>
        <v>13</v>
      </c>
      <c r="B403" s="10">
        <v>2016</v>
      </c>
      <c r="C403" s="3" t="s">
        <v>373</v>
      </c>
      <c r="D403" s="3" t="s">
        <v>9</v>
      </c>
      <c r="E403" s="4" t="s">
        <v>7</v>
      </c>
      <c r="F403" s="11" t="s">
        <v>8</v>
      </c>
      <c r="H403" t="str">
        <f>TRIM(SUBSTITUTE(PROPER(C403)&amp;" "&amp;IF(OR(D403="County",D403="Township",D403="Village",D403="Charter Township"),D403,"")&amp;IF(D403="Township"," "&amp;"("&amp;VLOOKUP(A403,counties,3,0)&amp;")",""),"  "," "))</f>
        <v>Pennfield Charter Township (Calhoun County)</v>
      </c>
    </row>
    <row r="404" spans="1:8" ht="15.75" thickBot="1" x14ac:dyDescent="0.3">
      <c r="A404">
        <f t="shared" si="7"/>
        <v>13</v>
      </c>
      <c r="B404" s="8">
        <v>2016</v>
      </c>
      <c r="C404" s="1" t="s">
        <v>374</v>
      </c>
      <c r="D404" s="1" t="s">
        <v>9</v>
      </c>
      <c r="E404" s="2" t="s">
        <v>7</v>
      </c>
      <c r="F404" s="9" t="s">
        <v>8</v>
      </c>
      <c r="H404" t="str">
        <f>TRIM(SUBSTITUTE(PROPER(C404)&amp;" "&amp;IF(OR(D404="County",D404="Township",D404="Village",D404="Charter Township"),D404,"")&amp;IF(D404="Township"," "&amp;"("&amp;VLOOKUP(A404,counties,3,0)&amp;")",""),"  "," "))</f>
        <v>Sheridan Township (Calhoun County)</v>
      </c>
    </row>
    <row r="405" spans="1:8" ht="21.75" thickBot="1" x14ac:dyDescent="0.3">
      <c r="A405">
        <f t="shared" si="7"/>
        <v>13</v>
      </c>
      <c r="B405" s="10">
        <v>2016</v>
      </c>
      <c r="C405" s="3" t="s">
        <v>375</v>
      </c>
      <c r="D405" s="3" t="s">
        <v>17</v>
      </c>
      <c r="E405" s="4" t="s">
        <v>7</v>
      </c>
      <c r="F405" s="11" t="s">
        <v>8</v>
      </c>
      <c r="H405" t="str">
        <f>TRIM(SUBSTITUTE(PROPER(C405)&amp;" "&amp;IF(OR(D405="County",D405="Township",D405="Village",D405="Charter Township"),D405,"")&amp;IF(D405="Township"," "&amp;"("&amp;VLOOKUP(A405,counties,3,0)&amp;")",""),"  "," "))</f>
        <v>South Central Mi Construction Code Inspection Inc</v>
      </c>
    </row>
    <row r="406" spans="1:8" ht="15.75" thickBot="1" x14ac:dyDescent="0.3">
      <c r="A406">
        <f t="shared" si="7"/>
        <v>13</v>
      </c>
      <c r="B406" s="8">
        <v>2016</v>
      </c>
      <c r="C406" s="1" t="s">
        <v>376</v>
      </c>
      <c r="D406" s="1" t="s">
        <v>15</v>
      </c>
      <c r="E406" s="2" t="s">
        <v>7</v>
      </c>
      <c r="F406" s="9" t="s">
        <v>8</v>
      </c>
      <c r="H406" t="str">
        <f>TRIM(SUBSTITUTE(PROPER(C406)&amp;" "&amp;IF(OR(D406="County",D406="Township",D406="Village",D406="Charter Township"),D406,"")&amp;IF(D406="Township"," "&amp;"("&amp;VLOOKUP(A406,counties,3,0)&amp;")",""),"  "," "))</f>
        <v>Springfield</v>
      </c>
    </row>
    <row r="407" spans="1:8" ht="15.75" thickBot="1" x14ac:dyDescent="0.3">
      <c r="A407">
        <f t="shared" si="7"/>
        <v>13</v>
      </c>
      <c r="B407" s="10">
        <v>2016</v>
      </c>
      <c r="C407" s="3" t="s">
        <v>377</v>
      </c>
      <c r="D407" s="3" t="s">
        <v>17</v>
      </c>
      <c r="E407" s="4" t="s">
        <v>7</v>
      </c>
      <c r="F407" s="11" t="s">
        <v>8</v>
      </c>
      <c r="H407" t="str">
        <f>TRIM(SUBSTITUTE(PROPER(C407)&amp;" "&amp;IF(OR(D407="County",D407="Township",D407="Village",D407="Charter Township"),D407,"")&amp;IF(D407="Township"," "&amp;"("&amp;VLOOKUP(A407,counties,3,0)&amp;")",""),"  "," "))</f>
        <v>Summit Pointe Community Mental Health Authority</v>
      </c>
    </row>
    <row r="408" spans="1:8" ht="15.75" thickBot="1" x14ac:dyDescent="0.3">
      <c r="A408">
        <f t="shared" si="7"/>
        <v>13</v>
      </c>
      <c r="B408" s="8">
        <v>2016</v>
      </c>
      <c r="C408" s="1" t="s">
        <v>378</v>
      </c>
      <c r="D408" s="1" t="s">
        <v>9</v>
      </c>
      <c r="E408" s="2" t="s">
        <v>7</v>
      </c>
      <c r="F408" s="9" t="s">
        <v>8</v>
      </c>
      <c r="H408" t="str">
        <f>TRIM(SUBSTITUTE(PROPER(C408)&amp;" "&amp;IF(OR(D408="County",D408="Township",D408="Village",D408="Charter Township"),D408,"")&amp;IF(D408="Township"," "&amp;"("&amp;VLOOKUP(A408,counties,3,0)&amp;")",""),"  "," "))</f>
        <v>Tekonsha Township (Calhoun County)</v>
      </c>
    </row>
    <row r="409" spans="1:8" ht="15.75" thickBot="1" x14ac:dyDescent="0.3">
      <c r="A409">
        <f t="shared" si="7"/>
        <v>13</v>
      </c>
      <c r="B409" s="10">
        <v>2016</v>
      </c>
      <c r="C409" s="3" t="s">
        <v>378</v>
      </c>
      <c r="D409" s="3" t="s">
        <v>21</v>
      </c>
      <c r="E409" s="4" t="s">
        <v>7</v>
      </c>
      <c r="F409" s="11" t="s">
        <v>19</v>
      </c>
      <c r="H409" t="str">
        <f>TRIM(SUBSTITUTE(PROPER(C409)&amp;" "&amp;IF(OR(D409="County",D409="Township",D409="Village",D409="Charter Township"),D409,"")&amp;IF(D409="Township"," "&amp;"("&amp;VLOOKUP(A409,counties,3,0)&amp;")",""),"  "," "))</f>
        <v>Tekonsha Village</v>
      </c>
    </row>
    <row r="410" spans="1:8" ht="15.75" thickBot="1" x14ac:dyDescent="0.3">
      <c r="A410">
        <f t="shared" si="7"/>
        <v>13</v>
      </c>
      <c r="B410" s="8">
        <v>2016</v>
      </c>
      <c r="C410" s="1" t="s">
        <v>379</v>
      </c>
      <c r="D410" s="1" t="s">
        <v>42</v>
      </c>
      <c r="E410" s="2" t="s">
        <v>7</v>
      </c>
      <c r="F410" s="9" t="s">
        <v>8</v>
      </c>
      <c r="H410" t="str">
        <f>TRIM(SUBSTITUTE(PROPER(C410)&amp;" "&amp;IF(OR(D410="County",D410="Township",D410="Village",D410="Charter Township"),D410,"")&amp;IF(D410="Township"," "&amp;"("&amp;VLOOKUP(A410,counties,3,0)&amp;")",""),"  "," "))</f>
        <v>Willard Public Library</v>
      </c>
    </row>
    <row r="411" spans="1:8" ht="15.75" thickBot="1" x14ac:dyDescent="0.3">
      <c r="A411">
        <f t="shared" si="7"/>
        <v>13</v>
      </c>
      <c r="B411" s="12">
        <v>2016</v>
      </c>
      <c r="C411" s="13" t="s">
        <v>380</v>
      </c>
      <c r="D411" s="13" t="s">
        <v>42</v>
      </c>
      <c r="E411" s="14" t="s">
        <v>7</v>
      </c>
      <c r="F411" s="15" t="s">
        <v>8</v>
      </c>
      <c r="H411" t="str">
        <f>TRIM(SUBSTITUTE(PROPER(C411)&amp;" "&amp;IF(OR(D411="County",D411="Township",D411="Village",D411="Charter Township"),D411,"")&amp;IF(D411="Township"," "&amp;"("&amp;VLOOKUP(A411,counties,3,0)&amp;")",""),"  "," "))</f>
        <v>Woodlands Library Cooperative</v>
      </c>
    </row>
    <row r="412" spans="1:8" ht="16.5" thickTop="1" thickBot="1" x14ac:dyDescent="0.3">
      <c r="A412">
        <f t="shared" si="7"/>
        <v>14</v>
      </c>
      <c r="B412" s="5" t="s">
        <v>0</v>
      </c>
      <c r="C412" s="6" t="s">
        <v>1</v>
      </c>
      <c r="D412" s="6" t="s">
        <v>2</v>
      </c>
      <c r="E412" s="6" t="s">
        <v>3</v>
      </c>
      <c r="F412" s="7" t="s">
        <v>4</v>
      </c>
      <c r="H412" t="str">
        <f>TRIM(SUBSTITUTE(PROPER(C412)&amp;" "&amp;IF(OR(D412="County",D412="Township",D412="Village",D412="Charter Township"),D412,"")&amp;IF(D412="Township"," "&amp;"("&amp;VLOOKUP(A412,counties,3,0)&amp;")",""),"  "," "))</f>
        <v>Municipality</v>
      </c>
    </row>
    <row r="413" spans="1:8" ht="15.75" thickBot="1" x14ac:dyDescent="0.3">
      <c r="A413">
        <f t="shared" si="7"/>
        <v>14</v>
      </c>
      <c r="B413" s="8">
        <v>2016</v>
      </c>
      <c r="C413" s="1" t="s">
        <v>381</v>
      </c>
      <c r="D413" s="1" t="s">
        <v>9</v>
      </c>
      <c r="E413" s="2" t="s">
        <v>7</v>
      </c>
      <c r="F413" s="9" t="s">
        <v>8</v>
      </c>
      <c r="H413" t="str">
        <f>TRIM(SUBSTITUTE(PROPER(C413)&amp;" "&amp;IF(OR(D413="County",D413="Township",D413="Village",D413="Charter Township"),D413,"")&amp;IF(D413="Township"," "&amp;"("&amp;VLOOKUP(A413,counties,3,0)&amp;")",""),"  "," "))</f>
        <v>Calvin Township (Cass County)</v>
      </c>
    </row>
    <row r="414" spans="1:8" ht="15.75" thickBot="1" x14ac:dyDescent="0.3">
      <c r="A414">
        <f t="shared" si="7"/>
        <v>14</v>
      </c>
      <c r="B414" s="10">
        <v>2016</v>
      </c>
      <c r="C414" s="3" t="s">
        <v>382</v>
      </c>
      <c r="D414" s="3" t="s">
        <v>6</v>
      </c>
      <c r="E414" s="4" t="s">
        <v>7</v>
      </c>
      <c r="F414" s="11" t="s">
        <v>8</v>
      </c>
      <c r="H414" t="str">
        <f>TRIM(SUBSTITUTE(PROPER(C414)&amp;" "&amp;IF(OR(D414="County",D414="Township",D414="Village",D414="Charter Township"),D414,"")&amp;IF(D414="Township"," "&amp;"("&amp;VLOOKUP(A414,counties,3,0)&amp;")",""),"  "," "))</f>
        <v>Cass County</v>
      </c>
    </row>
    <row r="415" spans="1:8" ht="15.75" thickBot="1" x14ac:dyDescent="0.3">
      <c r="A415">
        <f t="shared" si="7"/>
        <v>14</v>
      </c>
      <c r="B415" s="8">
        <v>2016</v>
      </c>
      <c r="C415" s="1" t="s">
        <v>383</v>
      </c>
      <c r="D415" s="1" t="s">
        <v>17</v>
      </c>
      <c r="E415" s="2" t="s">
        <v>7</v>
      </c>
      <c r="F415" s="9" t="s">
        <v>8</v>
      </c>
      <c r="H415" t="str">
        <f>TRIM(SUBSTITUTE(PROPER(C415)&amp;" "&amp;IF(OR(D415="County",D415="Township",D415="Village",D415="Charter Township"),D415,"")&amp;IF(D415="Township"," "&amp;"("&amp;VLOOKUP(A415,counties,3,0)&amp;")",""),"  "," "))</f>
        <v>Cass County Medical Care Facility</v>
      </c>
    </row>
    <row r="416" spans="1:8" ht="15.75" thickBot="1" x14ac:dyDescent="0.3">
      <c r="A416">
        <f t="shared" si="7"/>
        <v>14</v>
      </c>
      <c r="B416" s="10">
        <v>2016</v>
      </c>
      <c r="C416" s="3" t="s">
        <v>384</v>
      </c>
      <c r="D416" s="3" t="s">
        <v>11</v>
      </c>
      <c r="E416" s="4" t="s">
        <v>7</v>
      </c>
      <c r="F416" s="11" t="s">
        <v>8</v>
      </c>
      <c r="H416" t="str">
        <f>TRIM(SUBSTITUTE(PROPER(C416)&amp;" "&amp;IF(OR(D416="County",D416="Township",D416="Village",D416="Charter Township"),D416,"")&amp;IF(D416="Township"," "&amp;"("&amp;VLOOKUP(A416,counties,3,0)&amp;")",""),"  "," "))</f>
        <v>Cass County Road Commission</v>
      </c>
    </row>
    <row r="417" spans="1:8" ht="15.75" thickBot="1" x14ac:dyDescent="0.3">
      <c r="A417">
        <f t="shared" si="7"/>
        <v>14</v>
      </c>
      <c r="B417" s="8">
        <v>2016</v>
      </c>
      <c r="C417" s="1" t="s">
        <v>385</v>
      </c>
      <c r="D417" s="1" t="s">
        <v>17</v>
      </c>
      <c r="E417" s="2" t="s">
        <v>7</v>
      </c>
      <c r="F417" s="9" t="s">
        <v>8</v>
      </c>
      <c r="H417" t="str">
        <f>TRIM(SUBSTITUTE(PROPER(C417)&amp;" "&amp;IF(OR(D417="County",D417="Township",D417="Village",D417="Charter Township"),D417,"")&amp;IF(D417="Township"," "&amp;"("&amp;VLOOKUP(A417,counties,3,0)&amp;")",""),"  "," "))</f>
        <v>Cass County Transportation Authority</v>
      </c>
    </row>
    <row r="418" spans="1:8" ht="15.75" thickBot="1" x14ac:dyDescent="0.3">
      <c r="A418">
        <f t="shared" si="7"/>
        <v>14</v>
      </c>
      <c r="B418" s="10">
        <v>2016</v>
      </c>
      <c r="C418" s="3" t="s">
        <v>386</v>
      </c>
      <c r="D418" s="3" t="s">
        <v>42</v>
      </c>
      <c r="E418" s="4" t="s">
        <v>7</v>
      </c>
      <c r="F418" s="11" t="s">
        <v>8</v>
      </c>
      <c r="H418" t="str">
        <f>TRIM(SUBSTITUTE(PROPER(C418)&amp;" "&amp;IF(OR(D418="County",D418="Township",D418="Village",D418="Charter Township"),D418,"")&amp;IF(D418="Township"," "&amp;"("&amp;VLOOKUP(A418,counties,3,0)&amp;")",""),"  "," "))</f>
        <v>Cass District Library</v>
      </c>
    </row>
    <row r="419" spans="1:8" ht="15.75" thickBot="1" x14ac:dyDescent="0.3">
      <c r="A419">
        <f t="shared" si="7"/>
        <v>14</v>
      </c>
      <c r="B419" s="8">
        <v>2016</v>
      </c>
      <c r="C419" s="1" t="s">
        <v>387</v>
      </c>
      <c r="D419" s="1" t="s">
        <v>21</v>
      </c>
      <c r="E419" s="2" t="s">
        <v>7</v>
      </c>
      <c r="F419" s="9" t="s">
        <v>8</v>
      </c>
      <c r="H419" t="str">
        <f>TRIM(SUBSTITUTE(PROPER(C419)&amp;" "&amp;IF(OR(D419="County",D419="Township",D419="Village",D419="Charter Township"),D419,"")&amp;IF(D419="Township"," "&amp;"("&amp;VLOOKUP(A419,counties,3,0)&amp;")",""),"  "," "))</f>
        <v>Cassopolis Village</v>
      </c>
    </row>
    <row r="420" spans="1:8" ht="15.75" thickBot="1" x14ac:dyDescent="0.3">
      <c r="A420">
        <f t="shared" si="7"/>
        <v>14</v>
      </c>
      <c r="B420" s="10">
        <v>2016</v>
      </c>
      <c r="C420" s="3" t="s">
        <v>388</v>
      </c>
      <c r="D420" s="3" t="s">
        <v>17</v>
      </c>
      <c r="E420" s="4" t="s">
        <v>7</v>
      </c>
      <c r="F420" s="11" t="s">
        <v>8</v>
      </c>
      <c r="H420" t="str">
        <f>TRIM(SUBSTITUTE(PROPER(C420)&amp;" "&amp;IF(OR(D420="County",D420="Township",D420="Village",D420="Charter Township"),D420,"")&amp;IF(D420="Township"," "&amp;"("&amp;VLOOKUP(A420,counties,3,0)&amp;")",""),"  "," "))</f>
        <v>Cassopolis Area Utilities Auth</v>
      </c>
    </row>
    <row r="421" spans="1:8" ht="15.75" thickBot="1" x14ac:dyDescent="0.3">
      <c r="A421">
        <f t="shared" si="7"/>
        <v>14</v>
      </c>
      <c r="B421" s="8">
        <v>2016</v>
      </c>
      <c r="C421" s="1" t="s">
        <v>389</v>
      </c>
      <c r="D421" s="1" t="s">
        <v>17</v>
      </c>
      <c r="E421" s="2" t="s">
        <v>7</v>
      </c>
      <c r="F421" s="9" t="s">
        <v>8</v>
      </c>
      <c r="H421" t="str">
        <f>TRIM(SUBSTITUTE(PROPER(C421)&amp;" "&amp;IF(OR(D421="County",D421="Township",D421="Village",D421="Charter Township"),D421,"")&amp;IF(D421="Township"," "&amp;"("&amp;VLOOKUP(A421,counties,3,0)&amp;")",""),"  "," "))</f>
        <v>Central Cass Interlocal Fire Department</v>
      </c>
    </row>
    <row r="422" spans="1:8" ht="15.75" thickBot="1" x14ac:dyDescent="0.3">
      <c r="A422">
        <f t="shared" si="7"/>
        <v>14</v>
      </c>
      <c r="B422" s="10">
        <v>2016</v>
      </c>
      <c r="C422" s="3" t="s">
        <v>390</v>
      </c>
      <c r="D422" s="3" t="s">
        <v>15</v>
      </c>
      <c r="E422" s="4" t="s">
        <v>7</v>
      </c>
      <c r="F422" s="11" t="s">
        <v>8</v>
      </c>
      <c r="H422" t="str">
        <f>TRIM(SUBSTITUTE(PROPER(C422)&amp;" "&amp;IF(OR(D422="County",D422="Township",D422="Village",D422="Charter Township"),D422,"")&amp;IF(D422="Township"," "&amp;"("&amp;VLOOKUP(A422,counties,3,0)&amp;")",""),"  "," "))</f>
        <v>Dowagiac</v>
      </c>
    </row>
    <row r="423" spans="1:8" ht="15.75" thickBot="1" x14ac:dyDescent="0.3">
      <c r="A423">
        <f t="shared" si="7"/>
        <v>14</v>
      </c>
      <c r="B423" s="8">
        <v>2016</v>
      </c>
      <c r="C423" s="1" t="s">
        <v>391</v>
      </c>
      <c r="D423" s="1" t="s">
        <v>17</v>
      </c>
      <c r="E423" s="2" t="s">
        <v>7</v>
      </c>
      <c r="F423" s="9" t="s">
        <v>8</v>
      </c>
      <c r="H423" t="str">
        <f>TRIM(SUBSTITUTE(PROPER(C423)&amp;" "&amp;IF(OR(D423="County",D423="Township",D423="Village",D423="Charter Township"),D423,"")&amp;IF(D423="Township"," "&amp;"("&amp;VLOOKUP(A423,counties,3,0)&amp;")",""),"  "," "))</f>
        <v>Dowagiac City Housing Commission</v>
      </c>
    </row>
    <row r="424" spans="1:8" ht="15.75" thickBot="1" x14ac:dyDescent="0.3">
      <c r="A424">
        <f t="shared" si="7"/>
        <v>14</v>
      </c>
      <c r="B424" s="10">
        <v>2016</v>
      </c>
      <c r="C424" s="3" t="s">
        <v>392</v>
      </c>
      <c r="D424" s="3" t="s">
        <v>42</v>
      </c>
      <c r="E424" s="4" t="s">
        <v>7</v>
      </c>
      <c r="F424" s="11" t="s">
        <v>8</v>
      </c>
      <c r="H424" t="str">
        <f>TRIM(SUBSTITUTE(PROPER(C424)&amp;" "&amp;IF(OR(D424="County",D424="Township",D424="Village",D424="Charter Township"),D424,"")&amp;IF(D424="Township"," "&amp;"("&amp;VLOOKUP(A424,counties,3,0)&amp;")",""),"  "," "))</f>
        <v>Dowagiac District Library</v>
      </c>
    </row>
    <row r="425" spans="1:8" ht="15.75" thickBot="1" x14ac:dyDescent="0.3">
      <c r="A425">
        <f t="shared" si="7"/>
        <v>14</v>
      </c>
      <c r="B425" s="8">
        <v>2016</v>
      </c>
      <c r="C425" s="1" t="s">
        <v>393</v>
      </c>
      <c r="D425" s="1" t="s">
        <v>21</v>
      </c>
      <c r="E425" s="2" t="s">
        <v>7</v>
      </c>
      <c r="F425" s="9" t="s">
        <v>8</v>
      </c>
      <c r="H425" t="str">
        <f>TRIM(SUBSTITUTE(PROPER(C425)&amp;" "&amp;IF(OR(D425="County",D425="Township",D425="Village",D425="Charter Township"),D425,"")&amp;IF(D425="Township"," "&amp;"("&amp;VLOOKUP(A425,counties,3,0)&amp;")",""),"  "," "))</f>
        <v>Edwardsburg Village</v>
      </c>
    </row>
    <row r="426" spans="1:8" ht="15.75" thickBot="1" x14ac:dyDescent="0.3">
      <c r="A426">
        <f t="shared" si="7"/>
        <v>14</v>
      </c>
      <c r="B426" s="10">
        <v>2016</v>
      </c>
      <c r="C426" s="3" t="s">
        <v>394</v>
      </c>
      <c r="D426" s="3" t="s">
        <v>17</v>
      </c>
      <c r="E426" s="4" t="s">
        <v>7</v>
      </c>
      <c r="F426" s="11" t="s">
        <v>8</v>
      </c>
      <c r="H426" t="str">
        <f>TRIM(SUBSTITUTE(PROPER(C426)&amp;" "&amp;IF(OR(D426="County",D426="Township",D426="Village",D426="Charter Township"),D426,"")&amp;IF(D426="Township"," "&amp;"("&amp;VLOOKUP(A426,counties,3,0)&amp;")",""),"  "," "))</f>
        <v>Edwardsburg Ambulance Service</v>
      </c>
    </row>
    <row r="427" spans="1:8" ht="15.75" thickBot="1" x14ac:dyDescent="0.3">
      <c r="A427">
        <f t="shared" si="7"/>
        <v>14</v>
      </c>
      <c r="B427" s="8">
        <v>2016</v>
      </c>
      <c r="C427" s="1" t="s">
        <v>395</v>
      </c>
      <c r="D427" s="1" t="s">
        <v>17</v>
      </c>
      <c r="E427" s="2" t="s">
        <v>7</v>
      </c>
      <c r="F427" s="9" t="s">
        <v>8</v>
      </c>
      <c r="H427" t="str">
        <f>TRIM(SUBSTITUTE(PROPER(C427)&amp;" "&amp;IF(OR(D427="County",D427="Township",D427="Village",D427="Charter Township"),D427,"")&amp;IF(D427="Township"," "&amp;"("&amp;VLOOKUP(A427,counties,3,0)&amp;")",""),"  "," "))</f>
        <v>Edwardsburg Joint Fire Board</v>
      </c>
    </row>
    <row r="428" spans="1:8" ht="15.75" thickBot="1" x14ac:dyDescent="0.3">
      <c r="A428">
        <f t="shared" si="7"/>
        <v>14</v>
      </c>
      <c r="B428" s="10">
        <v>2016</v>
      </c>
      <c r="C428" s="3" t="s">
        <v>396</v>
      </c>
      <c r="D428" s="3" t="s">
        <v>9</v>
      </c>
      <c r="E428" s="4" t="s">
        <v>7</v>
      </c>
      <c r="F428" s="11" t="s">
        <v>8</v>
      </c>
      <c r="H428" t="str">
        <f>TRIM(SUBSTITUTE(PROPER(C428)&amp;" "&amp;IF(OR(D428="County",D428="Township",D428="Village",D428="Charter Township"),D428,"")&amp;IF(D428="Township"," "&amp;"("&amp;VLOOKUP(A428,counties,3,0)&amp;")",""),"  "," "))</f>
        <v>Howard Township (Cass County)</v>
      </c>
    </row>
    <row r="429" spans="1:8" ht="15.75" thickBot="1" x14ac:dyDescent="0.3">
      <c r="A429">
        <f t="shared" si="7"/>
        <v>14</v>
      </c>
      <c r="B429" s="8">
        <v>2016</v>
      </c>
      <c r="C429" s="1" t="s">
        <v>397</v>
      </c>
      <c r="D429" s="1" t="s">
        <v>9</v>
      </c>
      <c r="E429" s="2" t="s">
        <v>7</v>
      </c>
      <c r="F429" s="9" t="s">
        <v>8</v>
      </c>
      <c r="H429" t="str">
        <f>TRIM(SUBSTITUTE(PROPER(C429)&amp;" "&amp;IF(OR(D429="County",D429="Township",D429="Village",D429="Charter Township"),D429,"")&amp;IF(D429="Township"," "&amp;"("&amp;VLOOKUP(A429,counties,3,0)&amp;")",""),"  "," "))</f>
        <v>Lagrange Township (Cass County)</v>
      </c>
    </row>
    <row r="430" spans="1:8" ht="15.75" thickBot="1" x14ac:dyDescent="0.3">
      <c r="A430">
        <f t="shared" si="7"/>
        <v>14</v>
      </c>
      <c r="B430" s="10">
        <v>2016</v>
      </c>
      <c r="C430" s="3" t="s">
        <v>398</v>
      </c>
      <c r="D430" s="3" t="s">
        <v>9</v>
      </c>
      <c r="E430" s="4" t="s">
        <v>7</v>
      </c>
      <c r="F430" s="11" t="s">
        <v>8</v>
      </c>
      <c r="H430" t="str">
        <f>TRIM(SUBSTITUTE(PROPER(C430)&amp;" "&amp;IF(OR(D430="County",D430="Township",D430="Village",D430="Charter Township"),D430,"")&amp;IF(D430="Township"," "&amp;"("&amp;VLOOKUP(A430,counties,3,0)&amp;")",""),"  "," "))</f>
        <v>Marcellus Township (Cass County)</v>
      </c>
    </row>
    <row r="431" spans="1:8" ht="15.75" thickBot="1" x14ac:dyDescent="0.3">
      <c r="A431">
        <f t="shared" si="7"/>
        <v>14</v>
      </c>
      <c r="B431" s="8">
        <v>2016</v>
      </c>
      <c r="C431" s="1" t="s">
        <v>398</v>
      </c>
      <c r="D431" s="1" t="s">
        <v>21</v>
      </c>
      <c r="E431" s="2" t="s">
        <v>7</v>
      </c>
      <c r="F431" s="9" t="s">
        <v>8</v>
      </c>
      <c r="H431" t="str">
        <f>TRIM(SUBSTITUTE(PROPER(C431)&amp;" "&amp;IF(OR(D431="County",D431="Township",D431="Village",D431="Charter Township"),D431,"")&amp;IF(D431="Township"," "&amp;"("&amp;VLOOKUP(A431,counties,3,0)&amp;")",""),"  "," "))</f>
        <v>Marcellus Village</v>
      </c>
    </row>
    <row r="432" spans="1:8" ht="15.75" thickBot="1" x14ac:dyDescent="0.3">
      <c r="A432">
        <f t="shared" si="7"/>
        <v>14</v>
      </c>
      <c r="B432" s="10">
        <v>2016</v>
      </c>
      <c r="C432" s="3" t="s">
        <v>399</v>
      </c>
      <c r="D432" s="3" t="s">
        <v>17</v>
      </c>
      <c r="E432" s="4" t="s">
        <v>7</v>
      </c>
      <c r="F432" s="11" t="s">
        <v>8</v>
      </c>
      <c r="H432" t="str">
        <f>TRIM(SUBSTITUTE(PROPER(C432)&amp;" "&amp;IF(OR(D432="County",D432="Township",D432="Village",D432="Charter Township"),D432,"")&amp;IF(D432="Township"," "&amp;"("&amp;VLOOKUP(A432,counties,3,0)&amp;")",""),"  "," "))</f>
        <v>Marcellus Area Emergency Services</v>
      </c>
    </row>
    <row r="433" spans="1:8" ht="15.75" thickBot="1" x14ac:dyDescent="0.3">
      <c r="A433">
        <f t="shared" si="7"/>
        <v>14</v>
      </c>
      <c r="B433" s="8">
        <v>2016</v>
      </c>
      <c r="C433" s="1" t="s">
        <v>130</v>
      </c>
      <c r="D433" s="1" t="s">
        <v>9</v>
      </c>
      <c r="E433" s="2" t="s">
        <v>7</v>
      </c>
      <c r="F433" s="9" t="s">
        <v>8</v>
      </c>
      <c r="H433" t="str">
        <f>TRIM(SUBSTITUTE(PROPER(C433)&amp;" "&amp;IF(OR(D433="County",D433="Township",D433="Village",D433="Charter Township"),D433,"")&amp;IF(D433="Township"," "&amp;"("&amp;VLOOKUP(A433,counties,3,0)&amp;")",""),"  "," "))</f>
        <v>Mason Township (Cass County)</v>
      </c>
    </row>
    <row r="434" spans="1:8" ht="15.75" thickBot="1" x14ac:dyDescent="0.3">
      <c r="A434">
        <f t="shared" si="7"/>
        <v>14</v>
      </c>
      <c r="B434" s="10">
        <v>2016</v>
      </c>
      <c r="C434" s="3" t="s">
        <v>119</v>
      </c>
      <c r="D434" s="3" t="s">
        <v>9</v>
      </c>
      <c r="E434" s="4" t="s">
        <v>7</v>
      </c>
      <c r="F434" s="11" t="s">
        <v>8</v>
      </c>
      <c r="H434" t="str">
        <f>TRIM(SUBSTITUTE(PROPER(C434)&amp;" "&amp;IF(OR(D434="County",D434="Township",D434="Village",D434="Charter Township"),D434,"")&amp;IF(D434="Township"," "&amp;"("&amp;VLOOKUP(A434,counties,3,0)&amp;")",""),"  "," "))</f>
        <v>Milton Township (Cass County)</v>
      </c>
    </row>
    <row r="435" spans="1:8" ht="15.75" thickBot="1" x14ac:dyDescent="0.3">
      <c r="A435">
        <f t="shared" si="7"/>
        <v>14</v>
      </c>
      <c r="B435" s="8">
        <v>2016</v>
      </c>
      <c r="C435" s="1" t="s">
        <v>400</v>
      </c>
      <c r="D435" s="1" t="s">
        <v>9</v>
      </c>
      <c r="E435" s="2" t="s">
        <v>7</v>
      </c>
      <c r="F435" s="9" t="s">
        <v>8</v>
      </c>
      <c r="H435" t="str">
        <f>TRIM(SUBSTITUTE(PROPER(C435)&amp;" "&amp;IF(OR(D435="County",D435="Township",D435="Village",D435="Charter Township"),D435,"")&amp;IF(D435="Township"," "&amp;"("&amp;VLOOKUP(A435,counties,3,0)&amp;")",""),"  "," "))</f>
        <v>Newberg Township (Cass County)</v>
      </c>
    </row>
    <row r="436" spans="1:8" ht="15.75" thickBot="1" x14ac:dyDescent="0.3">
      <c r="A436">
        <f t="shared" si="7"/>
        <v>14</v>
      </c>
      <c r="B436" s="10">
        <v>2016</v>
      </c>
      <c r="C436" s="3" t="s">
        <v>401</v>
      </c>
      <c r="D436" s="3" t="s">
        <v>9</v>
      </c>
      <c r="E436" s="4" t="s">
        <v>7</v>
      </c>
      <c r="F436" s="11" t="s">
        <v>8</v>
      </c>
      <c r="H436" t="str">
        <f>TRIM(SUBSTITUTE(PROPER(C436)&amp;" "&amp;IF(OR(D436="County",D436="Township",D436="Village",D436="Charter Township"),D436,"")&amp;IF(D436="Township"," "&amp;"("&amp;VLOOKUP(A436,counties,3,0)&amp;")",""),"  "," "))</f>
        <v>Ontwa Township (Cass County)</v>
      </c>
    </row>
    <row r="437" spans="1:8" ht="15.75" thickBot="1" x14ac:dyDescent="0.3">
      <c r="A437">
        <f t="shared" si="7"/>
        <v>14</v>
      </c>
      <c r="B437" s="8">
        <v>2016</v>
      </c>
      <c r="C437" s="1" t="s">
        <v>402</v>
      </c>
      <c r="D437" s="1" t="s">
        <v>17</v>
      </c>
      <c r="E437" s="2" t="s">
        <v>7</v>
      </c>
      <c r="F437" s="9" t="s">
        <v>8</v>
      </c>
      <c r="H437" t="str">
        <f>TRIM(SUBSTITUTE(PROPER(C437)&amp;" "&amp;IF(OR(D437="County",D437="Township",D437="Village",D437="Charter Township"),D437,"")&amp;IF(D437="Township"," "&amp;"("&amp;VLOOKUP(A437,counties,3,0)&amp;")",""),"  "," "))</f>
        <v>Ontwa Twp-Edwardsburg Police Department</v>
      </c>
    </row>
    <row r="438" spans="1:8" ht="15.75" thickBot="1" x14ac:dyDescent="0.3">
      <c r="A438">
        <f t="shared" si="7"/>
        <v>14</v>
      </c>
      <c r="B438" s="10">
        <v>2016</v>
      </c>
      <c r="C438" s="3" t="s">
        <v>403</v>
      </c>
      <c r="D438" s="3" t="s">
        <v>9</v>
      </c>
      <c r="E438" s="4" t="s">
        <v>7</v>
      </c>
      <c r="F438" s="11" t="s">
        <v>8</v>
      </c>
      <c r="H438" t="str">
        <f>TRIM(SUBSTITUTE(PROPER(C438)&amp;" "&amp;IF(OR(D438="County",D438="Township",D438="Village",D438="Charter Township"),D438,"")&amp;IF(D438="Township"," "&amp;"("&amp;VLOOKUP(A438,counties,3,0)&amp;")",""),"  "," "))</f>
        <v>Pokagon Township (Cass County)</v>
      </c>
    </row>
    <row r="439" spans="1:8" ht="15.75" thickBot="1" x14ac:dyDescent="0.3">
      <c r="A439">
        <f t="shared" si="7"/>
        <v>14</v>
      </c>
      <c r="B439" s="8">
        <v>2016</v>
      </c>
      <c r="C439" s="1" t="s">
        <v>404</v>
      </c>
      <c r="D439" s="1" t="s">
        <v>9</v>
      </c>
      <c r="E439" s="2" t="s">
        <v>7</v>
      </c>
      <c r="F439" s="9" t="s">
        <v>19</v>
      </c>
      <c r="H439" t="str">
        <f>TRIM(SUBSTITUTE(PROPER(C439)&amp;" "&amp;IF(OR(D439="County",D439="Township",D439="Village",D439="Charter Township"),D439,"")&amp;IF(D439="Township"," "&amp;"("&amp;VLOOKUP(A439,counties,3,0)&amp;")",""),"  "," "))</f>
        <v>Porter Township (Cass County)</v>
      </c>
    </row>
    <row r="440" spans="1:8" ht="15.75" thickBot="1" x14ac:dyDescent="0.3">
      <c r="A440">
        <f t="shared" si="7"/>
        <v>14</v>
      </c>
      <c r="B440" s="10">
        <v>2016</v>
      </c>
      <c r="C440" s="3" t="s">
        <v>405</v>
      </c>
      <c r="D440" s="3" t="s">
        <v>9</v>
      </c>
      <c r="E440" s="4" t="s">
        <v>7</v>
      </c>
      <c r="F440" s="11" t="s">
        <v>8</v>
      </c>
      <c r="H440" t="str">
        <f>TRIM(SUBSTITUTE(PROPER(C440)&amp;" "&amp;IF(OR(D440="County",D440="Township",D440="Village",D440="Charter Township"),D440,"")&amp;IF(D440="Township"," "&amp;"("&amp;VLOOKUP(A440,counties,3,0)&amp;")",""),"  "," "))</f>
        <v>Silver Creek Township (Cass County)</v>
      </c>
    </row>
    <row r="441" spans="1:8" ht="15.75" thickBot="1" x14ac:dyDescent="0.3">
      <c r="A441">
        <f t="shared" si="7"/>
        <v>14</v>
      </c>
      <c r="B441" s="8">
        <v>2016</v>
      </c>
      <c r="C441" s="1" t="s">
        <v>406</v>
      </c>
      <c r="D441" s="1" t="s">
        <v>17</v>
      </c>
      <c r="E441" s="2" t="s">
        <v>7</v>
      </c>
      <c r="F441" s="9" t="s">
        <v>8</v>
      </c>
      <c r="H441" t="str">
        <f>TRIM(SUBSTITUTE(PROPER(C441)&amp;" "&amp;IF(OR(D441="County",D441="Township",D441="Village",D441="Charter Township"),D441,"")&amp;IF(D441="Township"," "&amp;"("&amp;VLOOKUP(A441,counties,3,0)&amp;")",""),"  "," "))</f>
        <v>Sister Lakes Area Utilities Authority</v>
      </c>
    </row>
    <row r="442" spans="1:8" ht="15.75" thickBot="1" x14ac:dyDescent="0.3">
      <c r="A442">
        <f t="shared" si="7"/>
        <v>14</v>
      </c>
      <c r="B442" s="10">
        <v>2016</v>
      </c>
      <c r="C442" s="3" t="s">
        <v>407</v>
      </c>
      <c r="D442" s="3" t="s">
        <v>17</v>
      </c>
      <c r="E442" s="4" t="s">
        <v>7</v>
      </c>
      <c r="F442" s="11" t="s">
        <v>19</v>
      </c>
      <c r="H442" t="str">
        <f>TRIM(SUBSTITUTE(PROPER(C442)&amp;" "&amp;IF(OR(D442="County",D442="Township",D442="Village",D442="Charter Township"),D442,"")&amp;IF(D442="Township"," "&amp;"("&amp;VLOOKUP(A442,counties,3,0)&amp;")",""),"  "," "))</f>
        <v>Southeast Public Safety Authority</v>
      </c>
    </row>
    <row r="443" spans="1:8" ht="15.75" thickBot="1" x14ac:dyDescent="0.3">
      <c r="A443">
        <f t="shared" si="7"/>
        <v>14</v>
      </c>
      <c r="B443" s="8">
        <v>2016</v>
      </c>
      <c r="C443" s="1" t="s">
        <v>408</v>
      </c>
      <c r="D443" s="1" t="s">
        <v>88</v>
      </c>
      <c r="E443" s="2" t="s">
        <v>7</v>
      </c>
      <c r="F443" s="9" t="s">
        <v>8</v>
      </c>
      <c r="H443" t="str">
        <f>TRIM(SUBSTITUTE(PROPER(C443)&amp;" "&amp;IF(OR(D443="County",D443="Township",D443="Village",D443="Charter Township"),D443,"")&amp;IF(D443="Township"," "&amp;"("&amp;VLOOKUP(A443,counties,3,0)&amp;")",""),"  "," "))</f>
        <v>Southwestern Michigan College</v>
      </c>
    </row>
    <row r="444" spans="1:8" ht="15.75" thickBot="1" x14ac:dyDescent="0.3">
      <c r="A444">
        <f t="shared" si="7"/>
        <v>14</v>
      </c>
      <c r="B444" s="10">
        <v>2016</v>
      </c>
      <c r="C444" s="3" t="s">
        <v>409</v>
      </c>
      <c r="D444" s="3" t="s">
        <v>21</v>
      </c>
      <c r="E444" s="4" t="s">
        <v>7</v>
      </c>
      <c r="F444" s="11" t="s">
        <v>8</v>
      </c>
      <c r="H444" t="str">
        <f>TRIM(SUBSTITUTE(PROPER(C444)&amp;" "&amp;IF(OR(D444="County",D444="Township",D444="Village",D444="Charter Township"),D444,"")&amp;IF(D444="Township"," "&amp;"("&amp;VLOOKUP(A444,counties,3,0)&amp;")",""),"  "," "))</f>
        <v>Vandalia Village</v>
      </c>
    </row>
    <row r="445" spans="1:8" ht="15.75" thickBot="1" x14ac:dyDescent="0.3">
      <c r="A445">
        <f t="shared" si="7"/>
        <v>14</v>
      </c>
      <c r="B445" s="8">
        <v>2016</v>
      </c>
      <c r="C445" s="1" t="s">
        <v>410</v>
      </c>
      <c r="D445" s="1" t="s">
        <v>9</v>
      </c>
      <c r="E445" s="2" t="s">
        <v>7</v>
      </c>
      <c r="F445" s="9" t="s">
        <v>8</v>
      </c>
      <c r="H445" t="str">
        <f>TRIM(SUBSTITUTE(PROPER(C445)&amp;" "&amp;IF(OR(D445="County",D445="Township",D445="Village",D445="Charter Township"),D445,"")&amp;IF(D445="Township"," "&amp;"("&amp;VLOOKUP(A445,counties,3,0)&amp;")",""),"  "," "))</f>
        <v>Volinia Township (Cass County)</v>
      </c>
    </row>
    <row r="446" spans="1:8" ht="15.75" thickBot="1" x14ac:dyDescent="0.3">
      <c r="A446">
        <f t="shared" si="7"/>
        <v>14</v>
      </c>
      <c r="B446" s="12">
        <v>2016</v>
      </c>
      <c r="C446" s="13" t="s">
        <v>411</v>
      </c>
      <c r="D446" s="13" t="s">
        <v>17</v>
      </c>
      <c r="E446" s="14" t="s">
        <v>7</v>
      </c>
      <c r="F446" s="15" t="s">
        <v>8</v>
      </c>
      <c r="H446" t="str">
        <f>TRIM(SUBSTITUTE(PROPER(C446)&amp;" "&amp;IF(OR(D446="County",D446="Township",D446="Village",D446="Charter Township"),D446,"")&amp;IF(D446="Township"," "&amp;"("&amp;VLOOKUP(A446,counties,3,0)&amp;")",""),"  "," "))</f>
        <v>Woodlands Behavioral Healthcare Network</v>
      </c>
    </row>
    <row r="447" spans="1:8" ht="16.5" thickTop="1" thickBot="1" x14ac:dyDescent="0.3">
      <c r="A447">
        <f t="shared" si="7"/>
        <v>15</v>
      </c>
      <c r="B447" s="5" t="s">
        <v>0</v>
      </c>
      <c r="C447" s="6" t="s">
        <v>1</v>
      </c>
      <c r="D447" s="6" t="s">
        <v>2</v>
      </c>
      <c r="E447" s="6" t="s">
        <v>3</v>
      </c>
      <c r="F447" s="7" t="s">
        <v>4</v>
      </c>
      <c r="H447" t="str">
        <f>TRIM(SUBSTITUTE(PROPER(C447)&amp;" "&amp;IF(OR(D447="County",D447="Township",D447="Village",D447="Charter Township"),D447,"")&amp;IF(D447="Township"," "&amp;"("&amp;VLOOKUP(A447,counties,3,0)&amp;")",""),"  "," "))</f>
        <v>Municipality</v>
      </c>
    </row>
    <row r="448" spans="1:8" ht="15.75" thickBot="1" x14ac:dyDescent="0.3">
      <c r="A448">
        <f t="shared" si="7"/>
        <v>15</v>
      </c>
      <c r="B448" s="8">
        <v>2016</v>
      </c>
      <c r="C448" s="1" t="s">
        <v>191</v>
      </c>
      <c r="D448" s="1" t="s">
        <v>9</v>
      </c>
      <c r="E448" s="2" t="s">
        <v>7</v>
      </c>
      <c r="F448" s="9" t="s">
        <v>8</v>
      </c>
      <c r="H448" t="str">
        <f>TRIM(SUBSTITUTE(PROPER(C448)&amp;" "&amp;IF(OR(D448="County",D448="Township",D448="Village",D448="Charter Township"),D448,"")&amp;IF(D448="Township"," "&amp;"("&amp;VLOOKUP(A448,counties,3,0)&amp;")",""),"  "," "))</f>
        <v>Bay Township (Charlevoix County)</v>
      </c>
    </row>
    <row r="449" spans="1:8" ht="15.75" thickBot="1" x14ac:dyDescent="0.3">
      <c r="A449">
        <f t="shared" si="7"/>
        <v>15</v>
      </c>
      <c r="B449" s="10">
        <v>2016</v>
      </c>
      <c r="C449" s="3" t="s">
        <v>412</v>
      </c>
      <c r="D449" s="3" t="s">
        <v>42</v>
      </c>
      <c r="E449" s="4" t="s">
        <v>7</v>
      </c>
      <c r="F449" s="11" t="s">
        <v>8</v>
      </c>
      <c r="H449" t="str">
        <f>TRIM(SUBSTITUTE(PROPER(C449)&amp;" "&amp;IF(OR(D449="County",D449="Township",D449="Village",D449="Charter Township"),D449,"")&amp;IF(D449="Township"," "&amp;"("&amp;VLOOKUP(A449,counties,3,0)&amp;")",""),"  "," "))</f>
        <v>Beaver Island District Library</v>
      </c>
    </row>
    <row r="450" spans="1:8" ht="15.75" thickBot="1" x14ac:dyDescent="0.3">
      <c r="A450">
        <f t="shared" si="7"/>
        <v>15</v>
      </c>
      <c r="B450" s="8">
        <v>2016</v>
      </c>
      <c r="C450" s="1" t="s">
        <v>413</v>
      </c>
      <c r="D450" s="1" t="s">
        <v>17</v>
      </c>
      <c r="E450" s="2" t="s">
        <v>7</v>
      </c>
      <c r="F450" s="9" t="s">
        <v>8</v>
      </c>
      <c r="H450" t="str">
        <f>TRIM(SUBSTITUTE(PROPER(C450)&amp;" "&amp;IF(OR(D450="County",D450="Township",D450="Village",D450="Charter Township"),D450,"")&amp;IF(D450="Township"," "&amp;"("&amp;VLOOKUP(A450,counties,3,0)&amp;")",""),"  "," "))</f>
        <v>Beaver Island Transportation Authority</v>
      </c>
    </row>
    <row r="451" spans="1:8" ht="15.75" thickBot="1" x14ac:dyDescent="0.3">
      <c r="A451">
        <f t="shared" ref="A451:A514" si="8">IF(B451="Year",A450+1,A450)</f>
        <v>15</v>
      </c>
      <c r="B451" s="10">
        <v>2016</v>
      </c>
      <c r="C451" s="3" t="s">
        <v>414</v>
      </c>
      <c r="D451" s="3" t="s">
        <v>15</v>
      </c>
      <c r="E451" s="4" t="s">
        <v>7</v>
      </c>
      <c r="F451" s="11" t="s">
        <v>8</v>
      </c>
      <c r="H451" t="str">
        <f>TRIM(SUBSTITUTE(PROPER(C451)&amp;" "&amp;IF(OR(D451="County",D451="Township",D451="Village",D451="Charter Township"),D451,"")&amp;IF(D451="Township"," "&amp;"("&amp;VLOOKUP(A451,counties,3,0)&amp;")",""),"  "," "))</f>
        <v>Boyne City</v>
      </c>
    </row>
    <row r="452" spans="1:8" ht="15.75" thickBot="1" x14ac:dyDescent="0.3">
      <c r="A452">
        <f t="shared" si="8"/>
        <v>15</v>
      </c>
      <c r="B452" s="8">
        <v>2016</v>
      </c>
      <c r="C452" s="1" t="s">
        <v>415</v>
      </c>
      <c r="D452" s="1" t="s">
        <v>17</v>
      </c>
      <c r="E452" s="2" t="s">
        <v>7</v>
      </c>
      <c r="F452" s="9" t="s">
        <v>8</v>
      </c>
      <c r="H452" t="str">
        <f>TRIM(SUBSTITUTE(PROPER(C452)&amp;" "&amp;IF(OR(D452="County",D452="Township",D452="Village",D452="Charter Township"),D452,"")&amp;IF(D452="Township"," "&amp;"("&amp;VLOOKUP(A452,counties,3,0)&amp;")",""),"  "," "))</f>
        <v>Boyne City Housing Commission</v>
      </c>
    </row>
    <row r="453" spans="1:8" ht="15.75" thickBot="1" x14ac:dyDescent="0.3">
      <c r="A453">
        <f t="shared" si="8"/>
        <v>15</v>
      </c>
      <c r="B453" s="10">
        <v>2016</v>
      </c>
      <c r="C453" s="3" t="s">
        <v>416</v>
      </c>
      <c r="D453" s="3" t="s">
        <v>42</v>
      </c>
      <c r="E453" s="4" t="s">
        <v>7</v>
      </c>
      <c r="F453" s="11" t="s">
        <v>8</v>
      </c>
      <c r="H453" t="str">
        <f>TRIM(SUBSTITUTE(PROPER(C453)&amp;" "&amp;IF(OR(D453="County",D453="Township",D453="Village",D453="Charter Township"),D453,"")&amp;IF(D453="Township"," "&amp;"("&amp;VLOOKUP(A453,counties,3,0)&amp;")",""),"  "," "))</f>
        <v>Boyne District Library</v>
      </c>
    </row>
    <row r="454" spans="1:8" ht="15.75" thickBot="1" x14ac:dyDescent="0.3">
      <c r="A454">
        <f t="shared" si="8"/>
        <v>15</v>
      </c>
      <c r="B454" s="8">
        <v>2016</v>
      </c>
      <c r="C454" s="1" t="s">
        <v>417</v>
      </c>
      <c r="D454" s="1" t="s">
        <v>9</v>
      </c>
      <c r="E454" s="2" t="s">
        <v>7</v>
      </c>
      <c r="F454" s="9" t="s">
        <v>8</v>
      </c>
      <c r="H454" t="str">
        <f>TRIM(SUBSTITUTE(PROPER(C454)&amp;" "&amp;IF(OR(D454="County",D454="Township",D454="Village",D454="Charter Township"),D454,"")&amp;IF(D454="Township"," "&amp;"("&amp;VLOOKUP(A454,counties,3,0)&amp;")",""),"  "," "))</f>
        <v>Boyne Valley Township (Charlevoix County)</v>
      </c>
    </row>
    <row r="455" spans="1:8" ht="15.75" thickBot="1" x14ac:dyDescent="0.3">
      <c r="A455">
        <f t="shared" si="8"/>
        <v>15</v>
      </c>
      <c r="B455" s="10">
        <v>2016</v>
      </c>
      <c r="C455" s="3" t="s">
        <v>418</v>
      </c>
      <c r="D455" s="3" t="s">
        <v>9</v>
      </c>
      <c r="E455" s="4" t="s">
        <v>7</v>
      </c>
      <c r="F455" s="11" t="s">
        <v>8</v>
      </c>
      <c r="H455" t="str">
        <f>TRIM(SUBSTITUTE(PROPER(C455)&amp;" "&amp;IF(OR(D455="County",D455="Township",D455="Village",D455="Charter Township"),D455,"")&amp;IF(D455="Township"," "&amp;"("&amp;VLOOKUP(A455,counties,3,0)&amp;")",""),"  "," "))</f>
        <v>Chandler Township (Charlevoix County)</v>
      </c>
    </row>
    <row r="456" spans="1:8" ht="15.75" thickBot="1" x14ac:dyDescent="0.3">
      <c r="A456">
        <f t="shared" si="8"/>
        <v>15</v>
      </c>
      <c r="B456" s="8">
        <v>2016</v>
      </c>
      <c r="C456" s="1" t="s">
        <v>419</v>
      </c>
      <c r="D456" s="1" t="s">
        <v>15</v>
      </c>
      <c r="E456" s="2" t="s">
        <v>7</v>
      </c>
      <c r="F456" s="9" t="s">
        <v>8</v>
      </c>
      <c r="H456" t="str">
        <f>TRIM(SUBSTITUTE(PROPER(C456)&amp;" "&amp;IF(OR(D456="County",D456="Township",D456="Village",D456="Charter Township"),D456,"")&amp;IF(D456="Township"," "&amp;"("&amp;VLOOKUP(A456,counties,3,0)&amp;")",""),"  "," "))</f>
        <v>Charlevoix</v>
      </c>
    </row>
    <row r="457" spans="1:8" ht="15.75" thickBot="1" x14ac:dyDescent="0.3">
      <c r="A457">
        <f t="shared" si="8"/>
        <v>15</v>
      </c>
      <c r="B457" s="10">
        <v>2016</v>
      </c>
      <c r="C457" s="3" t="s">
        <v>419</v>
      </c>
      <c r="D457" s="3" t="s">
        <v>6</v>
      </c>
      <c r="E457" s="4" t="s">
        <v>7</v>
      </c>
      <c r="F457" s="11" t="s">
        <v>8</v>
      </c>
      <c r="H457" t="str">
        <f>TRIM(SUBSTITUTE(PROPER(C457)&amp;" "&amp;IF(OR(D457="County",D457="Township",D457="Village",D457="Charter Township"),D457,"")&amp;IF(D457="Township"," "&amp;"("&amp;VLOOKUP(A457,counties,3,0)&amp;")",""),"  "," "))</f>
        <v>Charlevoix County</v>
      </c>
    </row>
    <row r="458" spans="1:8" ht="15.75" thickBot="1" x14ac:dyDescent="0.3">
      <c r="A458">
        <f t="shared" si="8"/>
        <v>15</v>
      </c>
      <c r="B458" s="8">
        <v>2016</v>
      </c>
      <c r="C458" s="1" t="s">
        <v>419</v>
      </c>
      <c r="D458" s="1" t="s">
        <v>9</v>
      </c>
      <c r="E458" s="2" t="s">
        <v>7</v>
      </c>
      <c r="F458" s="9" t="s">
        <v>8</v>
      </c>
      <c r="H458" t="str">
        <f>TRIM(SUBSTITUTE(PROPER(C458)&amp;" "&amp;IF(OR(D458="County",D458="Township",D458="Village",D458="Charter Township"),D458,"")&amp;IF(D458="Township"," "&amp;"("&amp;VLOOKUP(A458,counties,3,0)&amp;")",""),"  "," "))</f>
        <v>Charlevoix Township (Charlevoix County)</v>
      </c>
    </row>
    <row r="459" spans="1:8" ht="15.75" thickBot="1" x14ac:dyDescent="0.3">
      <c r="A459">
        <f t="shared" si="8"/>
        <v>15</v>
      </c>
      <c r="B459" s="10">
        <v>2016</v>
      </c>
      <c r="C459" s="3" t="s">
        <v>420</v>
      </c>
      <c r="D459" s="3" t="s">
        <v>17</v>
      </c>
      <c r="E459" s="4" t="s">
        <v>7</v>
      </c>
      <c r="F459" s="11" t="s">
        <v>19</v>
      </c>
      <c r="H459" t="str">
        <f>TRIM(SUBSTITUTE(PROPER(C459)&amp;" "&amp;IF(OR(D459="County",D459="Township",D459="Village",D459="Charter Township"),D459,"")&amp;IF(D459="Township"," "&amp;"("&amp;VLOOKUP(A459,counties,3,0)&amp;")",""),"  "," "))</f>
        <v>Charlevoix City Housing Commission</v>
      </c>
    </row>
    <row r="460" spans="1:8" ht="15.75" thickBot="1" x14ac:dyDescent="0.3">
      <c r="A460">
        <f t="shared" si="8"/>
        <v>15</v>
      </c>
      <c r="B460" s="8">
        <v>2016</v>
      </c>
      <c r="C460" s="1" t="s">
        <v>421</v>
      </c>
      <c r="D460" s="1" t="s">
        <v>11</v>
      </c>
      <c r="E460" s="2" t="s">
        <v>7</v>
      </c>
      <c r="F460" s="9" t="s">
        <v>8</v>
      </c>
      <c r="H460" t="str">
        <f>TRIM(SUBSTITUTE(PROPER(C460)&amp;" "&amp;IF(OR(D460="County",D460="Township",D460="Village",D460="Charter Township"),D460,"")&amp;IF(D460="Township"," "&amp;"("&amp;VLOOKUP(A460,counties,3,0)&amp;")",""),"  "," "))</f>
        <v>Charlevoix Co Road Commission</v>
      </c>
    </row>
    <row r="461" spans="1:8" ht="15.75" thickBot="1" x14ac:dyDescent="0.3">
      <c r="A461">
        <f t="shared" si="8"/>
        <v>15</v>
      </c>
      <c r="B461" s="10">
        <v>2016</v>
      </c>
      <c r="C461" s="3" t="s">
        <v>422</v>
      </c>
      <c r="D461" s="3" t="s">
        <v>17</v>
      </c>
      <c r="E461" s="4" t="s">
        <v>7</v>
      </c>
      <c r="F461" s="11" t="s">
        <v>8</v>
      </c>
      <c r="H461" t="str">
        <f>TRIM(SUBSTITUTE(PROPER(C461)&amp;" "&amp;IF(OR(D461="County",D461="Township",D461="Village",D461="Charter Township"),D461,"")&amp;IF(D461="Township"," "&amp;"("&amp;VLOOKUP(A461,counties,3,0)&amp;")",""),"  "," "))</f>
        <v>Charlevoix County Public Transit</v>
      </c>
    </row>
    <row r="462" spans="1:8" ht="15.75" thickBot="1" x14ac:dyDescent="0.3">
      <c r="A462">
        <f t="shared" si="8"/>
        <v>15</v>
      </c>
      <c r="B462" s="8">
        <v>2016</v>
      </c>
      <c r="C462" s="1" t="s">
        <v>423</v>
      </c>
      <c r="D462" s="1" t="s">
        <v>42</v>
      </c>
      <c r="E462" s="2" t="s">
        <v>7</v>
      </c>
      <c r="F462" s="9" t="s">
        <v>8</v>
      </c>
      <c r="H462" t="str">
        <f>TRIM(SUBSTITUTE(PROPER(C462)&amp;" "&amp;IF(OR(D462="County",D462="Township",D462="Village",D462="Charter Township"),D462,"")&amp;IF(D462="Township"," "&amp;"("&amp;VLOOKUP(A462,counties,3,0)&amp;")",""),"  "," "))</f>
        <v>Charlevoix Public Library</v>
      </c>
    </row>
    <row r="463" spans="1:8" ht="21.75" thickBot="1" x14ac:dyDescent="0.3">
      <c r="A463">
        <f t="shared" si="8"/>
        <v>15</v>
      </c>
      <c r="B463" s="10">
        <v>2016</v>
      </c>
      <c r="C463" s="3" t="s">
        <v>424</v>
      </c>
      <c r="D463" s="3" t="s">
        <v>425</v>
      </c>
      <c r="E463" s="4" t="s">
        <v>7</v>
      </c>
      <c r="F463" s="11" t="s">
        <v>8</v>
      </c>
      <c r="H463" t="str">
        <f>TRIM(SUBSTITUTE(PROPER(C463)&amp;" "&amp;IF(OR(D463="County",D463="Township",D463="Village",D463="Charter Township"),D463,"")&amp;IF(D463="Township"," "&amp;"("&amp;VLOOKUP(A463,counties,3,0)&amp;")",""),"  "," "))</f>
        <v>Charlevoix Township Hospital Finance Authority</v>
      </c>
    </row>
    <row r="464" spans="1:8" ht="15.75" thickBot="1" x14ac:dyDescent="0.3">
      <c r="A464">
        <f t="shared" si="8"/>
        <v>15</v>
      </c>
      <c r="B464" s="8">
        <v>2016</v>
      </c>
      <c r="C464" s="1" t="s">
        <v>426</v>
      </c>
      <c r="D464" s="1" t="s">
        <v>15</v>
      </c>
      <c r="E464" s="2" t="s">
        <v>7</v>
      </c>
      <c r="F464" s="9" t="s">
        <v>8</v>
      </c>
      <c r="H464" t="str">
        <f>TRIM(SUBSTITUTE(PROPER(C464)&amp;" "&amp;IF(OR(D464="County",D464="Township",D464="Village",D464="Charter Township"),D464,"")&amp;IF(D464="Township"," "&amp;"("&amp;VLOOKUP(A464,counties,3,0)&amp;")",""),"  "," "))</f>
        <v>East Jordan</v>
      </c>
    </row>
    <row r="465" spans="1:8" ht="21.75" thickBot="1" x14ac:dyDescent="0.3">
      <c r="A465">
        <f t="shared" si="8"/>
        <v>15</v>
      </c>
      <c r="B465" s="10">
        <v>2016</v>
      </c>
      <c r="C465" s="3" t="s">
        <v>427</v>
      </c>
      <c r="D465" s="3" t="s">
        <v>17</v>
      </c>
      <c r="E465" s="4" t="s">
        <v>7</v>
      </c>
      <c r="F465" s="11" t="s">
        <v>8</v>
      </c>
      <c r="H465" t="str">
        <f>TRIM(SUBSTITUTE(PROPER(C465)&amp;" "&amp;IF(OR(D465="County",D465="Township",D465="Village",D465="Charter Township"),D465,"")&amp;IF(D465="Township"," "&amp;"("&amp;VLOOKUP(A465,counties,3,0)&amp;")",""),"  "," "))</f>
        <v>East Jordan City Downtown Development Authority</v>
      </c>
    </row>
    <row r="466" spans="1:8" ht="15.75" thickBot="1" x14ac:dyDescent="0.3">
      <c r="A466">
        <f t="shared" si="8"/>
        <v>15</v>
      </c>
      <c r="B466" s="8">
        <v>2016</v>
      </c>
      <c r="C466" s="1" t="s">
        <v>428</v>
      </c>
      <c r="D466" s="1" t="s">
        <v>17</v>
      </c>
      <c r="E466" s="2" t="s">
        <v>7</v>
      </c>
      <c r="F466" s="9" t="s">
        <v>8</v>
      </c>
      <c r="H466" t="str">
        <f>TRIM(SUBSTITUTE(PROPER(C466)&amp;" "&amp;IF(OR(D466="County",D466="Township",D466="Village",D466="Charter Township"),D466,"")&amp;IF(D466="Township"," "&amp;"("&amp;VLOOKUP(A466,counties,3,0)&amp;")",""),"  "," "))</f>
        <v>East Jordan City Housing Commission</v>
      </c>
    </row>
    <row r="467" spans="1:8" ht="15.75" thickBot="1" x14ac:dyDescent="0.3">
      <c r="A467">
        <f t="shared" si="8"/>
        <v>15</v>
      </c>
      <c r="B467" s="10">
        <v>2016</v>
      </c>
      <c r="C467" s="3" t="s">
        <v>429</v>
      </c>
      <c r="D467" s="3" t="s">
        <v>9</v>
      </c>
      <c r="E467" s="4" t="s">
        <v>7</v>
      </c>
      <c r="F467" s="11" t="s">
        <v>8</v>
      </c>
      <c r="H467" t="str">
        <f>TRIM(SUBSTITUTE(PROPER(C467)&amp;" "&amp;IF(OR(D467="County",D467="Township",D467="Village",D467="Charter Township"),D467,"")&amp;IF(D467="Township"," "&amp;"("&amp;VLOOKUP(A467,counties,3,0)&amp;")",""),"  "," "))</f>
        <v>Eveline Township (Charlevoix County)</v>
      </c>
    </row>
    <row r="468" spans="1:8" ht="15.75" thickBot="1" x14ac:dyDescent="0.3">
      <c r="A468">
        <f t="shared" si="8"/>
        <v>15</v>
      </c>
      <c r="B468" s="8">
        <v>2016</v>
      </c>
      <c r="C468" s="1" t="s">
        <v>430</v>
      </c>
      <c r="D468" s="1" t="s">
        <v>17</v>
      </c>
      <c r="E468" s="2" t="s">
        <v>7</v>
      </c>
      <c r="F468" s="9" t="s">
        <v>8</v>
      </c>
      <c r="H468" t="str">
        <f>TRIM(SUBSTITUTE(PROPER(C468)&amp;" "&amp;IF(OR(D468="County",D468="Township",D468="Village",D468="Charter Township"),D468,"")&amp;IF(D468="Township"," "&amp;"("&amp;VLOOKUP(A468,counties,3,0)&amp;")",""),"  "," "))</f>
        <v>Grandvue Medical Care Facility</v>
      </c>
    </row>
    <row r="469" spans="1:8" ht="15.75" thickBot="1" x14ac:dyDescent="0.3">
      <c r="A469">
        <f t="shared" si="8"/>
        <v>15</v>
      </c>
      <c r="B469" s="10">
        <v>2016</v>
      </c>
      <c r="C469" s="3" t="s">
        <v>431</v>
      </c>
      <c r="D469" s="3" t="s">
        <v>9</v>
      </c>
      <c r="E469" s="4" t="s">
        <v>7</v>
      </c>
      <c r="F469" s="11" t="s">
        <v>8</v>
      </c>
      <c r="H469" t="str">
        <f>TRIM(SUBSTITUTE(PROPER(C469)&amp;" "&amp;IF(OR(D469="County",D469="Township",D469="Village",D469="Charter Township"),D469,"")&amp;IF(D469="Township"," "&amp;"("&amp;VLOOKUP(A469,counties,3,0)&amp;")",""),"  "," "))</f>
        <v>Hayes Township (Charlevoix County)</v>
      </c>
    </row>
    <row r="470" spans="1:8" ht="15.75" thickBot="1" x14ac:dyDescent="0.3">
      <c r="A470">
        <f t="shared" si="8"/>
        <v>15</v>
      </c>
      <c r="B470" s="8">
        <v>2016</v>
      </c>
      <c r="C470" s="1" t="s">
        <v>432</v>
      </c>
      <c r="D470" s="1" t="s">
        <v>9</v>
      </c>
      <c r="E470" s="2" t="s">
        <v>7</v>
      </c>
      <c r="F470" s="9" t="s">
        <v>8</v>
      </c>
      <c r="H470" t="str">
        <f>TRIM(SUBSTITUTE(PROPER(C470)&amp;" "&amp;IF(OR(D470="County",D470="Township",D470="Village",D470="Charter Township"),D470,"")&amp;IF(D470="Township"," "&amp;"("&amp;VLOOKUP(A470,counties,3,0)&amp;")",""),"  "," "))</f>
        <v>Hudson Township (Charlevoix County)</v>
      </c>
    </row>
    <row r="471" spans="1:8" ht="15.75" thickBot="1" x14ac:dyDescent="0.3">
      <c r="A471">
        <f t="shared" si="8"/>
        <v>15</v>
      </c>
      <c r="B471" s="10">
        <v>2016</v>
      </c>
      <c r="C471" s="3" t="s">
        <v>433</v>
      </c>
      <c r="D471" s="3" t="s">
        <v>42</v>
      </c>
      <c r="E471" s="4" t="s">
        <v>7</v>
      </c>
      <c r="F471" s="11" t="s">
        <v>8</v>
      </c>
      <c r="H471" t="str">
        <f>TRIM(SUBSTITUTE(PROPER(C471)&amp;" "&amp;IF(OR(D471="County",D471="Township",D471="Village",D471="Charter Township"),D471,"")&amp;IF(D471="Township"," "&amp;"("&amp;VLOOKUP(A471,counties,3,0)&amp;")",""),"  "," "))</f>
        <v>Jordan Valley District Library</v>
      </c>
    </row>
    <row r="472" spans="1:8" ht="15.75" thickBot="1" x14ac:dyDescent="0.3">
      <c r="A472">
        <f t="shared" si="8"/>
        <v>15</v>
      </c>
      <c r="B472" s="8">
        <v>2016</v>
      </c>
      <c r="C472" s="1" t="s">
        <v>434</v>
      </c>
      <c r="D472" s="1" t="s">
        <v>17</v>
      </c>
      <c r="E472" s="2" t="s">
        <v>7</v>
      </c>
      <c r="F472" s="9" t="s">
        <v>8</v>
      </c>
      <c r="H472" t="str">
        <f>TRIM(SUBSTITUTE(PROPER(C472)&amp;" "&amp;IF(OR(D472="County",D472="Township",D472="Village",D472="Charter Township"),D472,"")&amp;IF(D472="Township"," "&amp;"("&amp;VLOOKUP(A472,counties,3,0)&amp;")",""),"  "," "))</f>
        <v>Jordan Valley Emergency Medical Services Authority</v>
      </c>
    </row>
    <row r="473" spans="1:8" ht="15.75" thickBot="1" x14ac:dyDescent="0.3">
      <c r="A473">
        <f t="shared" si="8"/>
        <v>15</v>
      </c>
      <c r="B473" s="10">
        <v>2016</v>
      </c>
      <c r="C473" s="3" t="s">
        <v>435</v>
      </c>
      <c r="D473" s="3" t="s">
        <v>17</v>
      </c>
      <c r="E473" s="4" t="s">
        <v>7</v>
      </c>
      <c r="F473" s="11" t="s">
        <v>8</v>
      </c>
      <c r="H473" t="str">
        <f>TRIM(SUBSTITUTE(PROPER(C473)&amp;" "&amp;IF(OR(D473="County",D473="Township",D473="Village",D473="Charter Township"),D473,"")&amp;IF(D473="Township"," "&amp;"("&amp;VLOOKUP(A473,counties,3,0)&amp;")",""),"  "," "))</f>
        <v>Northwest Michigan Community Health Agency</v>
      </c>
    </row>
    <row r="474" spans="1:8" ht="15.75" thickBot="1" x14ac:dyDescent="0.3">
      <c r="A474">
        <f t="shared" si="8"/>
        <v>15</v>
      </c>
      <c r="B474" s="8">
        <v>2016</v>
      </c>
      <c r="C474" s="1" t="s">
        <v>436</v>
      </c>
      <c r="D474" s="1" t="s">
        <v>9</v>
      </c>
      <c r="E474" s="2" t="s">
        <v>7</v>
      </c>
      <c r="F474" s="9" t="s">
        <v>8</v>
      </c>
      <c r="H474" t="str">
        <f>TRIM(SUBSTITUTE(PROPER(C474)&amp;" "&amp;IF(OR(D474="County",D474="Township",D474="Village",D474="Charter Township"),D474,"")&amp;IF(D474="Township"," "&amp;"("&amp;VLOOKUP(A474,counties,3,0)&amp;")",""),"  "," "))</f>
        <v>Norwood Township (Charlevoix County)</v>
      </c>
    </row>
    <row r="475" spans="1:8" ht="15.75" thickBot="1" x14ac:dyDescent="0.3">
      <c r="A475">
        <f t="shared" si="8"/>
        <v>15</v>
      </c>
      <c r="B475" s="10">
        <v>2016</v>
      </c>
      <c r="C475" s="3" t="s">
        <v>437</v>
      </c>
      <c r="D475" s="3" t="s">
        <v>9</v>
      </c>
      <c r="E475" s="4" t="s">
        <v>7</v>
      </c>
      <c r="F475" s="11" t="s">
        <v>8</v>
      </c>
      <c r="H475" t="str">
        <f>TRIM(SUBSTITUTE(PROPER(C475)&amp;" "&amp;IF(OR(D475="County",D475="Township",D475="Village",D475="Charter Township"),D475,"")&amp;IF(D475="Township"," "&amp;"("&amp;VLOOKUP(A475,counties,3,0)&amp;")",""),"  "," "))</f>
        <v>Peaine Township (Charlevoix County)</v>
      </c>
    </row>
    <row r="476" spans="1:8" ht="15.75" thickBot="1" x14ac:dyDescent="0.3">
      <c r="A476">
        <f t="shared" si="8"/>
        <v>15</v>
      </c>
      <c r="B476" s="8">
        <v>2016</v>
      </c>
      <c r="C476" s="1" t="s">
        <v>438</v>
      </c>
      <c r="D476" s="1" t="s">
        <v>9</v>
      </c>
      <c r="E476" s="2" t="s">
        <v>7</v>
      </c>
      <c r="F476" s="9" t="s">
        <v>8</v>
      </c>
      <c r="H476" t="str">
        <f>TRIM(SUBSTITUTE(PROPER(C476)&amp;" "&amp;IF(OR(D476="County",D476="Township",D476="Village",D476="Charter Township"),D476,"")&amp;IF(D476="Township"," "&amp;"("&amp;VLOOKUP(A476,counties,3,0)&amp;")",""),"  "," "))</f>
        <v>South Arm Township (Charlevoix County)</v>
      </c>
    </row>
    <row r="477" spans="1:8" ht="15.75" thickBot="1" x14ac:dyDescent="0.3">
      <c r="A477">
        <f t="shared" si="8"/>
        <v>15</v>
      </c>
      <c r="B477" s="10">
        <v>2016</v>
      </c>
      <c r="C477" s="3" t="s">
        <v>439</v>
      </c>
      <c r="D477" s="3" t="s">
        <v>9</v>
      </c>
      <c r="E477" s="4" t="s">
        <v>7</v>
      </c>
      <c r="F477" s="11" t="s">
        <v>8</v>
      </c>
      <c r="H477" t="str">
        <f>TRIM(SUBSTITUTE(PROPER(C477)&amp;" "&amp;IF(OR(D477="County",D477="Township",D477="Village",D477="Charter Township"),D477,"")&amp;IF(D477="Township"," "&amp;"("&amp;VLOOKUP(A477,counties,3,0)&amp;")",""),"  "," "))</f>
        <v>St James Township (Charlevoix County)</v>
      </c>
    </row>
    <row r="478" spans="1:8" ht="15.75" thickBot="1" x14ac:dyDescent="0.3">
      <c r="A478">
        <f t="shared" si="8"/>
        <v>15</v>
      </c>
      <c r="B478" s="16">
        <v>2016</v>
      </c>
      <c r="C478" s="17" t="s">
        <v>440</v>
      </c>
      <c r="D478" s="17" t="s">
        <v>9</v>
      </c>
      <c r="E478" s="18" t="s">
        <v>7</v>
      </c>
      <c r="F478" s="19" t="s">
        <v>8</v>
      </c>
      <c r="H478" t="str">
        <f>TRIM(SUBSTITUTE(PROPER(C478)&amp;" "&amp;IF(OR(D478="County",D478="Township",D478="Village",D478="Charter Township"),D478,"")&amp;IF(D478="Township"," "&amp;"("&amp;VLOOKUP(A478,counties,3,0)&amp;")",""),"  "," "))</f>
        <v>Wilson Township (Charlevoix County)</v>
      </c>
    </row>
    <row r="479" spans="1:8" ht="16.5" thickTop="1" thickBot="1" x14ac:dyDescent="0.3">
      <c r="A479">
        <f t="shared" si="8"/>
        <v>16</v>
      </c>
      <c r="B479" s="5" t="s">
        <v>0</v>
      </c>
      <c r="C479" s="6" t="s">
        <v>1</v>
      </c>
      <c r="D479" s="6" t="s">
        <v>2</v>
      </c>
      <c r="E479" s="6" t="s">
        <v>3</v>
      </c>
      <c r="F479" s="7" t="s">
        <v>4</v>
      </c>
      <c r="H479" t="str">
        <f>TRIM(SUBSTITUTE(PROPER(C479)&amp;" "&amp;IF(OR(D479="County",D479="Township",D479="Village",D479="Charter Township"),D479,"")&amp;IF(D479="Township"," "&amp;"("&amp;VLOOKUP(A479,counties,3,0)&amp;")",""),"  "," "))</f>
        <v>Municipality</v>
      </c>
    </row>
    <row r="480" spans="1:8" ht="15.75" thickBot="1" x14ac:dyDescent="0.3">
      <c r="A480">
        <f t="shared" si="8"/>
        <v>16</v>
      </c>
      <c r="B480" s="8">
        <v>2016</v>
      </c>
      <c r="C480" s="1" t="s">
        <v>441</v>
      </c>
      <c r="D480" s="1" t="s">
        <v>9</v>
      </c>
      <c r="E480" s="2" t="s">
        <v>7</v>
      </c>
      <c r="F480" s="9" t="s">
        <v>8</v>
      </c>
      <c r="H480" t="str">
        <f>TRIM(SUBSTITUTE(PROPER(C480)&amp;" "&amp;IF(OR(D480="County",D480="Township",D480="Village",D480="Charter Township"),D480,"")&amp;IF(D480="Township"," "&amp;"("&amp;VLOOKUP(A480,counties,3,0)&amp;")",""),"  "," "))</f>
        <v>Aloha Township (Cheboygan County)</v>
      </c>
    </row>
    <row r="481" spans="1:8" ht="15.75" thickBot="1" x14ac:dyDescent="0.3">
      <c r="A481">
        <f t="shared" si="8"/>
        <v>16</v>
      </c>
      <c r="B481" s="10">
        <v>2016</v>
      </c>
      <c r="C481" s="3" t="s">
        <v>442</v>
      </c>
      <c r="D481" s="3" t="s">
        <v>9</v>
      </c>
      <c r="E481" s="4" t="s">
        <v>7</v>
      </c>
      <c r="F481" s="11" t="s">
        <v>8</v>
      </c>
      <c r="H481" t="str">
        <f>TRIM(SUBSTITUTE(PROPER(C481)&amp;" "&amp;IF(OR(D481="County",D481="Township",D481="Village",D481="Charter Township"),D481,"")&amp;IF(D481="Township"," "&amp;"("&amp;VLOOKUP(A481,counties,3,0)&amp;")",""),"  "," "))</f>
        <v>Beaugrand Township (Cheboygan County)</v>
      </c>
    </row>
    <row r="482" spans="1:8" ht="15.75" thickBot="1" x14ac:dyDescent="0.3">
      <c r="A482">
        <f t="shared" si="8"/>
        <v>16</v>
      </c>
      <c r="B482" s="8">
        <v>2016</v>
      </c>
      <c r="C482" s="1" t="s">
        <v>31</v>
      </c>
      <c r="D482" s="1" t="s">
        <v>9</v>
      </c>
      <c r="E482" s="2" t="s">
        <v>7</v>
      </c>
      <c r="F482" s="9" t="s">
        <v>8</v>
      </c>
      <c r="H482" t="str">
        <f>TRIM(SUBSTITUTE(PROPER(C482)&amp;" "&amp;IF(OR(D482="County",D482="Township",D482="Village",D482="Charter Township"),D482,"")&amp;IF(D482="Township"," "&amp;"("&amp;VLOOKUP(A482,counties,3,0)&amp;")",""),"  "," "))</f>
        <v>Burt Township (Cheboygan County)</v>
      </c>
    </row>
    <row r="483" spans="1:8" ht="15.75" thickBot="1" x14ac:dyDescent="0.3">
      <c r="A483">
        <f t="shared" si="8"/>
        <v>16</v>
      </c>
      <c r="B483" s="10">
        <v>2016</v>
      </c>
      <c r="C483" s="3" t="s">
        <v>443</v>
      </c>
      <c r="D483" s="3" t="s">
        <v>15</v>
      </c>
      <c r="E483" s="4" t="s">
        <v>7</v>
      </c>
      <c r="F483" s="11" t="s">
        <v>8</v>
      </c>
      <c r="H483" t="str">
        <f>TRIM(SUBSTITUTE(PROPER(C483)&amp;" "&amp;IF(OR(D483="County",D483="Township",D483="Village",D483="Charter Township"),D483,"")&amp;IF(D483="Township"," "&amp;"("&amp;VLOOKUP(A483,counties,3,0)&amp;")",""),"  "," "))</f>
        <v>Cheboygan</v>
      </c>
    </row>
    <row r="484" spans="1:8" ht="15.75" thickBot="1" x14ac:dyDescent="0.3">
      <c r="A484">
        <f t="shared" si="8"/>
        <v>16</v>
      </c>
      <c r="B484" s="8">
        <v>2016</v>
      </c>
      <c r="C484" s="1" t="s">
        <v>443</v>
      </c>
      <c r="D484" s="1" t="s">
        <v>6</v>
      </c>
      <c r="E484" s="2" t="s">
        <v>7</v>
      </c>
      <c r="F484" s="9" t="s">
        <v>8</v>
      </c>
      <c r="H484" t="str">
        <f>TRIM(SUBSTITUTE(PROPER(C484)&amp;" "&amp;IF(OR(D484="County",D484="Township",D484="Village",D484="Charter Township"),D484,"")&amp;IF(D484="Township"," "&amp;"("&amp;VLOOKUP(A484,counties,3,0)&amp;")",""),"  "," "))</f>
        <v>Cheboygan County</v>
      </c>
    </row>
    <row r="485" spans="1:8" ht="15.75" thickBot="1" x14ac:dyDescent="0.3">
      <c r="A485">
        <f t="shared" si="8"/>
        <v>16</v>
      </c>
      <c r="B485" s="10">
        <v>2016</v>
      </c>
      <c r="C485" s="3" t="s">
        <v>444</v>
      </c>
      <c r="D485" s="3" t="s">
        <v>42</v>
      </c>
      <c r="E485" s="4" t="s">
        <v>7</v>
      </c>
      <c r="F485" s="11" t="s">
        <v>8</v>
      </c>
      <c r="H485" t="str">
        <f>TRIM(SUBSTITUTE(PROPER(C485)&amp;" "&amp;IF(OR(D485="County",D485="Township",D485="Village",D485="Charter Township"),D485,"")&amp;IF(D485="Township"," "&amp;"("&amp;VLOOKUP(A485,counties,3,0)&amp;")",""),"  "," "))</f>
        <v>Cheboygan Area Public Library</v>
      </c>
    </row>
    <row r="486" spans="1:8" ht="15.75" thickBot="1" x14ac:dyDescent="0.3">
      <c r="A486">
        <f t="shared" si="8"/>
        <v>16</v>
      </c>
      <c r="B486" s="8">
        <v>2016</v>
      </c>
      <c r="C486" s="1" t="s">
        <v>445</v>
      </c>
      <c r="D486" s="1" t="s">
        <v>17</v>
      </c>
      <c r="E486" s="2" t="s">
        <v>7</v>
      </c>
      <c r="F486" s="9" t="s">
        <v>8</v>
      </c>
      <c r="H486" t="str">
        <f>TRIM(SUBSTITUTE(PROPER(C486)&amp;" "&amp;IF(OR(D486="County",D486="Township",D486="Village",D486="Charter Township"),D486,"")&amp;IF(D486="Township"," "&amp;"("&amp;VLOOKUP(A486,counties,3,0)&amp;")",""),"  "," "))</f>
        <v>Cheboygan City Housing Commission</v>
      </c>
    </row>
    <row r="487" spans="1:8" ht="15.75" thickBot="1" x14ac:dyDescent="0.3">
      <c r="A487">
        <f t="shared" si="8"/>
        <v>16</v>
      </c>
      <c r="B487" s="10">
        <v>2016</v>
      </c>
      <c r="C487" s="3" t="s">
        <v>446</v>
      </c>
      <c r="D487" s="3" t="s">
        <v>11</v>
      </c>
      <c r="E487" s="4" t="s">
        <v>7</v>
      </c>
      <c r="F487" s="11" t="s">
        <v>8</v>
      </c>
      <c r="H487" t="str">
        <f>TRIM(SUBSTITUTE(PROPER(C487)&amp;" "&amp;IF(OR(D487="County",D487="Township",D487="Village",D487="Charter Township"),D487,"")&amp;IF(D487="Township"," "&amp;"("&amp;VLOOKUP(A487,counties,3,0)&amp;")",""),"  "," "))</f>
        <v>Cheboygan County Road Commission</v>
      </c>
    </row>
    <row r="488" spans="1:8" ht="15.75" thickBot="1" x14ac:dyDescent="0.3">
      <c r="A488">
        <f t="shared" si="8"/>
        <v>16</v>
      </c>
      <c r="B488" s="8">
        <v>2016</v>
      </c>
      <c r="C488" s="1" t="s">
        <v>447</v>
      </c>
      <c r="D488" s="1" t="s">
        <v>9</v>
      </c>
      <c r="E488" s="2" t="s">
        <v>7</v>
      </c>
      <c r="F488" s="9" t="s">
        <v>8</v>
      </c>
      <c r="H488" t="str">
        <f>TRIM(SUBSTITUTE(PROPER(C488)&amp;" "&amp;IF(OR(D488="County",D488="Township",D488="Village",D488="Charter Township"),D488,"")&amp;IF(D488="Township"," "&amp;"("&amp;VLOOKUP(A488,counties,3,0)&amp;")",""),"  "," "))</f>
        <v>Ellis Township (Cheboygan County)</v>
      </c>
    </row>
    <row r="489" spans="1:8" ht="15.75" thickBot="1" x14ac:dyDescent="0.3">
      <c r="A489">
        <f t="shared" si="8"/>
        <v>16</v>
      </c>
      <c r="B489" s="10">
        <v>2016</v>
      </c>
      <c r="C489" s="3" t="s">
        <v>448</v>
      </c>
      <c r="D489" s="3" t="s">
        <v>17</v>
      </c>
      <c r="E489" s="4" t="s">
        <v>7</v>
      </c>
      <c r="F489" s="11" t="s">
        <v>8</v>
      </c>
      <c r="H489" t="str">
        <f>TRIM(SUBSTITUTE(PROPER(C489)&amp;" "&amp;IF(OR(D489="County",D489="Township",D489="Village",D489="Charter Township"),D489,"")&amp;IF(D489="Township"," "&amp;"("&amp;VLOOKUP(A489,counties,3,0)&amp;")",""),"  "," "))</f>
        <v>Forest-Waverly Township Fire Department</v>
      </c>
    </row>
    <row r="490" spans="1:8" ht="15.75" thickBot="1" x14ac:dyDescent="0.3">
      <c r="A490">
        <f t="shared" si="8"/>
        <v>16</v>
      </c>
      <c r="B490" s="8">
        <v>2016</v>
      </c>
      <c r="C490" s="1" t="s">
        <v>449</v>
      </c>
      <c r="D490" s="1" t="s">
        <v>9</v>
      </c>
      <c r="E490" s="2" t="s">
        <v>7</v>
      </c>
      <c r="F490" s="9" t="s">
        <v>19</v>
      </c>
      <c r="H490" t="str">
        <f>TRIM(SUBSTITUTE(PROPER(C490)&amp;" "&amp;IF(OR(D490="County",D490="Township",D490="Village",D490="Charter Township"),D490,"")&amp;IF(D490="Township"," "&amp;"("&amp;VLOOKUP(A490,counties,3,0)&amp;")",""),"  "," "))</f>
        <v>Grant Township (Cheboygan County)</v>
      </c>
    </row>
    <row r="491" spans="1:8" ht="15.75" thickBot="1" x14ac:dyDescent="0.3">
      <c r="A491">
        <f t="shared" si="8"/>
        <v>16</v>
      </c>
      <c r="B491" s="10">
        <v>2016</v>
      </c>
      <c r="C491" s="3" t="s">
        <v>450</v>
      </c>
      <c r="D491" s="3" t="s">
        <v>9</v>
      </c>
      <c r="E491" s="4" t="s">
        <v>7</v>
      </c>
      <c r="F491" s="11" t="s">
        <v>8</v>
      </c>
      <c r="H491" t="str">
        <f>TRIM(SUBSTITUTE(PROPER(C491)&amp;" "&amp;IF(OR(D491="County",D491="Township",D491="Village",D491="Charter Township"),D491,"")&amp;IF(D491="Township"," "&amp;"("&amp;VLOOKUP(A491,counties,3,0)&amp;")",""),"  "," "))</f>
        <v>Hebron Township (Cheboygan County)</v>
      </c>
    </row>
    <row r="492" spans="1:8" ht="15.75" thickBot="1" x14ac:dyDescent="0.3">
      <c r="A492">
        <f t="shared" si="8"/>
        <v>16</v>
      </c>
      <c r="B492" s="8">
        <v>2016</v>
      </c>
      <c r="C492" s="1" t="s">
        <v>451</v>
      </c>
      <c r="D492" s="1" t="s">
        <v>9</v>
      </c>
      <c r="E492" s="2" t="s">
        <v>7</v>
      </c>
      <c r="F492" s="9" t="s">
        <v>8</v>
      </c>
      <c r="H492" t="str">
        <f>TRIM(SUBSTITUTE(PROPER(C492)&amp;" "&amp;IF(OR(D492="County",D492="Township",D492="Village",D492="Charter Township"),D492,"")&amp;IF(D492="Township"," "&amp;"("&amp;VLOOKUP(A492,counties,3,0)&amp;")",""),"  "," "))</f>
        <v>Inverness Township (Cheboygan County)</v>
      </c>
    </row>
    <row r="493" spans="1:8" ht="15.75" thickBot="1" x14ac:dyDescent="0.3">
      <c r="A493">
        <f t="shared" si="8"/>
        <v>16</v>
      </c>
      <c r="B493" s="10">
        <v>2016</v>
      </c>
      <c r="C493" s="3" t="s">
        <v>452</v>
      </c>
      <c r="D493" s="3" t="s">
        <v>21</v>
      </c>
      <c r="E493" s="4" t="s">
        <v>7</v>
      </c>
      <c r="F493" s="11" t="s">
        <v>19</v>
      </c>
      <c r="H493" t="str">
        <f>TRIM(SUBSTITUTE(PROPER(C493)&amp;" "&amp;IF(OR(D493="County",D493="Township",D493="Village",D493="Charter Township"),D493,"")&amp;IF(D493="Township"," "&amp;"("&amp;VLOOKUP(A493,counties,3,0)&amp;")",""),"  "," "))</f>
        <v>Mackinaw City Village</v>
      </c>
    </row>
    <row r="494" spans="1:8" ht="15.75" thickBot="1" x14ac:dyDescent="0.3">
      <c r="A494">
        <f t="shared" si="8"/>
        <v>16</v>
      </c>
      <c r="B494" s="8">
        <v>2016</v>
      </c>
      <c r="C494" s="1" t="s">
        <v>453</v>
      </c>
      <c r="D494" s="1" t="s">
        <v>9</v>
      </c>
      <c r="E494" s="2" t="s">
        <v>7</v>
      </c>
      <c r="F494" s="9" t="s">
        <v>8</v>
      </c>
      <c r="H494" t="str">
        <f>TRIM(SUBSTITUTE(PROPER(C494)&amp;" "&amp;IF(OR(D494="County",D494="Township",D494="Village",D494="Charter Township"),D494,"")&amp;IF(D494="Township"," "&amp;"("&amp;VLOOKUP(A494,counties,3,0)&amp;")",""),"  "," "))</f>
        <v>Mentor Township (Cheboygan County)</v>
      </c>
    </row>
    <row r="495" spans="1:8" ht="15.75" thickBot="1" x14ac:dyDescent="0.3">
      <c r="A495">
        <f t="shared" si="8"/>
        <v>16</v>
      </c>
      <c r="B495" s="10">
        <v>2016</v>
      </c>
      <c r="C495" s="3" t="s">
        <v>454</v>
      </c>
      <c r="D495" s="3" t="s">
        <v>9</v>
      </c>
      <c r="E495" s="4" t="s">
        <v>7</v>
      </c>
      <c r="F495" s="11" t="s">
        <v>8</v>
      </c>
      <c r="H495" t="str">
        <f>TRIM(SUBSTITUTE(PROPER(C495)&amp;" "&amp;IF(OR(D495="County",D495="Township",D495="Village",D495="Charter Township"),D495,"")&amp;IF(D495="Township"," "&amp;"("&amp;VLOOKUP(A495,counties,3,0)&amp;")",""),"  "," "))</f>
        <v>Mullett Township (Cheboygan County)</v>
      </c>
    </row>
    <row r="496" spans="1:8" ht="15.75" thickBot="1" x14ac:dyDescent="0.3">
      <c r="A496">
        <f t="shared" si="8"/>
        <v>16</v>
      </c>
      <c r="B496" s="8">
        <v>2016</v>
      </c>
      <c r="C496" s="1" t="s">
        <v>455</v>
      </c>
      <c r="D496" s="1" t="s">
        <v>9</v>
      </c>
      <c r="E496" s="2" t="s">
        <v>7</v>
      </c>
      <c r="F496" s="9" t="s">
        <v>8</v>
      </c>
      <c r="H496" t="str">
        <f>TRIM(SUBSTITUTE(PROPER(C496)&amp;" "&amp;IF(OR(D496="County",D496="Township",D496="Village",D496="Charter Township"),D496,"")&amp;IF(D496="Township"," "&amp;"("&amp;VLOOKUP(A496,counties,3,0)&amp;")",""),"  "," "))</f>
        <v>Munro Township (Cheboygan County)</v>
      </c>
    </row>
    <row r="497" spans="1:8" ht="15.75" thickBot="1" x14ac:dyDescent="0.3">
      <c r="A497">
        <f t="shared" si="8"/>
        <v>16</v>
      </c>
      <c r="B497" s="10">
        <v>2016</v>
      </c>
      <c r="C497" s="3" t="s">
        <v>456</v>
      </c>
      <c r="D497" s="3" t="s">
        <v>9</v>
      </c>
      <c r="E497" s="4" t="s">
        <v>7</v>
      </c>
      <c r="F497" s="11" t="s">
        <v>8</v>
      </c>
      <c r="H497" t="str">
        <f>TRIM(SUBSTITUTE(PROPER(C497)&amp;" "&amp;IF(OR(D497="County",D497="Township",D497="Village",D497="Charter Township"),D497,"")&amp;IF(D497="Township"," "&amp;"("&amp;VLOOKUP(A497,counties,3,0)&amp;")",""),"  "," "))</f>
        <v>Nunda Township (Cheboygan County)</v>
      </c>
    </row>
    <row r="498" spans="1:8" ht="15.75" thickBot="1" x14ac:dyDescent="0.3">
      <c r="A498">
        <f t="shared" si="8"/>
        <v>16</v>
      </c>
      <c r="B498" s="8">
        <v>2016</v>
      </c>
      <c r="C498" s="1" t="s">
        <v>457</v>
      </c>
      <c r="D498" s="1" t="s">
        <v>17</v>
      </c>
      <c r="E498" s="2" t="s">
        <v>7</v>
      </c>
      <c r="F498" s="9" t="s">
        <v>8</v>
      </c>
      <c r="H498" t="str">
        <f>TRIM(SUBSTITUTE(PROPER(C498)&amp;" "&amp;IF(OR(D498="County",D498="Township",D498="Village",D498="Charter Township"),D498,"")&amp;IF(D498="Township"," "&amp;"("&amp;VLOOKUP(A498,counties,3,0)&amp;")",""),"  "," "))</f>
        <v>Straits Regional Ride</v>
      </c>
    </row>
    <row r="499" spans="1:8" ht="15.75" thickBot="1" x14ac:dyDescent="0.3">
      <c r="A499">
        <f t="shared" si="8"/>
        <v>16</v>
      </c>
      <c r="B499" s="10">
        <v>2016</v>
      </c>
      <c r="C499" s="3" t="s">
        <v>458</v>
      </c>
      <c r="D499" s="3" t="s">
        <v>9</v>
      </c>
      <c r="E499" s="4" t="s">
        <v>7</v>
      </c>
      <c r="F499" s="11" t="s">
        <v>8</v>
      </c>
      <c r="H499" t="str">
        <f>TRIM(SUBSTITUTE(PROPER(C499)&amp;" "&amp;IF(OR(D499="County",D499="Township",D499="Village",D499="Charter Township"),D499,"")&amp;IF(D499="Township"," "&amp;"("&amp;VLOOKUP(A499,counties,3,0)&amp;")",""),"  "," "))</f>
        <v>Tuscarora Township (Cheboygan County)</v>
      </c>
    </row>
    <row r="500" spans="1:8" ht="15.75" thickBot="1" x14ac:dyDescent="0.3">
      <c r="A500">
        <f t="shared" si="8"/>
        <v>16</v>
      </c>
      <c r="B500" s="8">
        <v>2016</v>
      </c>
      <c r="C500" s="1" t="s">
        <v>459</v>
      </c>
      <c r="D500" s="1" t="s">
        <v>9</v>
      </c>
      <c r="E500" s="2" t="s">
        <v>7</v>
      </c>
      <c r="F500" s="9" t="s">
        <v>8</v>
      </c>
      <c r="H500" t="str">
        <f>TRIM(SUBSTITUTE(PROPER(C500)&amp;" "&amp;IF(OR(D500="County",D500="Township",D500="Village",D500="Charter Township"),D500,"")&amp;IF(D500="Township"," "&amp;"("&amp;VLOOKUP(A500,counties,3,0)&amp;")",""),"  "," "))</f>
        <v>Walker Township (Cheboygan County)</v>
      </c>
    </row>
    <row r="501" spans="1:8" ht="15.75" thickBot="1" x14ac:dyDescent="0.3">
      <c r="A501">
        <f t="shared" si="8"/>
        <v>16</v>
      </c>
      <c r="B501" s="10">
        <v>2016</v>
      </c>
      <c r="C501" s="3" t="s">
        <v>460</v>
      </c>
      <c r="D501" s="3" t="s">
        <v>9</v>
      </c>
      <c r="E501" s="4" t="s">
        <v>7</v>
      </c>
      <c r="F501" s="11" t="s">
        <v>8</v>
      </c>
      <c r="H501" t="str">
        <f>TRIM(SUBSTITUTE(PROPER(C501)&amp;" "&amp;IF(OR(D501="County",D501="Township",D501="Village",D501="Charter Township"),D501,"")&amp;IF(D501="Township"," "&amp;"("&amp;VLOOKUP(A501,counties,3,0)&amp;")",""),"  "," "))</f>
        <v>Waverly Township (Cheboygan County)</v>
      </c>
    </row>
    <row r="502" spans="1:8" ht="15.75" thickBot="1" x14ac:dyDescent="0.3">
      <c r="A502">
        <f t="shared" si="8"/>
        <v>16</v>
      </c>
      <c r="B502" s="8">
        <v>2016</v>
      </c>
      <c r="C502" s="1" t="s">
        <v>461</v>
      </c>
      <c r="D502" s="1" t="s">
        <v>9</v>
      </c>
      <c r="E502" s="2" t="s">
        <v>7</v>
      </c>
      <c r="F502" s="9" t="s">
        <v>8</v>
      </c>
      <c r="H502" t="str">
        <f>TRIM(SUBSTITUTE(PROPER(C502)&amp;" "&amp;IF(OR(D502="County",D502="Township",D502="Village",D502="Charter Township"),D502,"")&amp;IF(D502="Township"," "&amp;"("&amp;VLOOKUP(A502,counties,3,0)&amp;")",""),"  "," "))</f>
        <v>Wilmot Township (Cheboygan County)</v>
      </c>
    </row>
    <row r="503" spans="1:8" ht="15.75" thickBot="1" x14ac:dyDescent="0.3">
      <c r="A503">
        <f t="shared" si="8"/>
        <v>16</v>
      </c>
      <c r="B503" s="10">
        <v>2016</v>
      </c>
      <c r="C503" s="3" t="s">
        <v>462</v>
      </c>
      <c r="D503" s="3" t="s">
        <v>21</v>
      </c>
      <c r="E503" s="4" t="s">
        <v>7</v>
      </c>
      <c r="F503" s="11" t="s">
        <v>8</v>
      </c>
      <c r="H503" t="str">
        <f>TRIM(SUBSTITUTE(PROPER(C503)&amp;" "&amp;IF(OR(D503="County",D503="Township",D503="Village",D503="Charter Township"),D503,"")&amp;IF(D503="Township"," "&amp;"("&amp;VLOOKUP(A503,counties,3,0)&amp;")",""),"  "," "))</f>
        <v>Wolverine Village</v>
      </c>
    </row>
    <row r="504" spans="1:8" ht="15.75" thickBot="1" x14ac:dyDescent="0.3">
      <c r="A504">
        <f t="shared" si="8"/>
        <v>16</v>
      </c>
      <c r="B504" s="16">
        <v>2016</v>
      </c>
      <c r="C504" s="17" t="s">
        <v>463</v>
      </c>
      <c r="D504" s="17" t="s">
        <v>17</v>
      </c>
      <c r="E504" s="18" t="s">
        <v>7</v>
      </c>
      <c r="F504" s="19" t="s">
        <v>19</v>
      </c>
      <c r="H504" t="str">
        <f>TRIM(SUBSTITUTE(PROPER(C504)&amp;" "&amp;IF(OR(D504="County",D504="Township",D504="Village",D504="Charter Township"),D504,"")&amp;IF(D504="Township"," "&amp;"("&amp;VLOOKUP(A504,counties,3,0)&amp;")",""),"  "," "))</f>
        <v>Wolverine Joint Fire Board</v>
      </c>
    </row>
    <row r="505" spans="1:8" ht="16.5" thickTop="1" thickBot="1" x14ac:dyDescent="0.3">
      <c r="A505">
        <f t="shared" si="8"/>
        <v>17</v>
      </c>
      <c r="B505" s="5" t="s">
        <v>0</v>
      </c>
      <c r="C505" s="6" t="s">
        <v>1</v>
      </c>
      <c r="D505" s="6" t="s">
        <v>2</v>
      </c>
      <c r="E505" s="6" t="s">
        <v>3</v>
      </c>
      <c r="F505" s="7" t="s">
        <v>4</v>
      </c>
      <c r="H505" t="str">
        <f>TRIM(SUBSTITUTE(PROPER(C505)&amp;" "&amp;IF(OR(D505="County",D505="Township",D505="Village",D505="Charter Township"),D505,"")&amp;IF(D505="Township"," "&amp;"("&amp;VLOOKUP(A505,counties,3,0)&amp;")",""),"  "," "))</f>
        <v>Municipality</v>
      </c>
    </row>
    <row r="506" spans="1:8" ht="15.75" thickBot="1" x14ac:dyDescent="0.3">
      <c r="A506">
        <f t="shared" si="8"/>
        <v>17</v>
      </c>
      <c r="B506" s="8">
        <v>2016</v>
      </c>
      <c r="C506" s="1" t="s">
        <v>464</v>
      </c>
      <c r="D506" s="1" t="s">
        <v>6</v>
      </c>
      <c r="E506" s="2" t="s">
        <v>7</v>
      </c>
      <c r="F506" s="9" t="s">
        <v>8</v>
      </c>
      <c r="H506" t="str">
        <f>TRIM(SUBSTITUTE(PROPER(C506)&amp;" "&amp;IF(OR(D506="County",D506="Township",D506="Village",D506="Charter Township"),D506,"")&amp;IF(D506="Township"," "&amp;"("&amp;VLOOKUP(A506,counties,3,0)&amp;")",""),"  "," "))</f>
        <v>Chippewa County</v>
      </c>
    </row>
    <row r="507" spans="1:8" ht="15.75" thickBot="1" x14ac:dyDescent="0.3">
      <c r="A507">
        <f t="shared" si="8"/>
        <v>17</v>
      </c>
      <c r="B507" s="10">
        <v>2016</v>
      </c>
      <c r="C507" s="3" t="s">
        <v>464</v>
      </c>
      <c r="D507" s="3" t="s">
        <v>9</v>
      </c>
      <c r="E507" s="4" t="s">
        <v>7</v>
      </c>
      <c r="F507" s="11" t="s">
        <v>8</v>
      </c>
      <c r="H507" t="str">
        <f>TRIM(SUBSTITUTE(PROPER(C507)&amp;" "&amp;IF(OR(D507="County",D507="Township",D507="Village",D507="Charter Township"),D507,"")&amp;IF(D507="Township"," "&amp;"("&amp;VLOOKUP(A507,counties,3,0)&amp;")",""),"  "," "))</f>
        <v>Chippewa Township (Chippewa County)</v>
      </c>
    </row>
    <row r="508" spans="1:8" ht="15.75" thickBot="1" x14ac:dyDescent="0.3">
      <c r="A508">
        <f t="shared" si="8"/>
        <v>17</v>
      </c>
      <c r="B508" s="8">
        <v>2016</v>
      </c>
      <c r="C508" s="1" t="s">
        <v>465</v>
      </c>
      <c r="D508" s="1" t="s">
        <v>11</v>
      </c>
      <c r="E508" s="2" t="s">
        <v>7</v>
      </c>
      <c r="F508" s="9" t="s">
        <v>8</v>
      </c>
      <c r="H508" t="str">
        <f>TRIM(SUBSTITUTE(PROPER(C508)&amp;" "&amp;IF(OR(D508="County",D508="Township",D508="Village",D508="Charter Township"),D508,"")&amp;IF(D508="Township"," "&amp;"("&amp;VLOOKUP(A508,counties,3,0)&amp;")",""),"  "," "))</f>
        <v>Chippewa Co Road Commission</v>
      </c>
    </row>
    <row r="509" spans="1:8" ht="15.75" thickBot="1" x14ac:dyDescent="0.3">
      <c r="A509">
        <f t="shared" si="8"/>
        <v>17</v>
      </c>
      <c r="B509" s="10">
        <v>2016</v>
      </c>
      <c r="C509" s="3" t="s">
        <v>466</v>
      </c>
      <c r="D509" s="3" t="s">
        <v>17</v>
      </c>
      <c r="E509" s="4" t="s">
        <v>7</v>
      </c>
      <c r="F509" s="11" t="s">
        <v>8</v>
      </c>
      <c r="H509" t="str">
        <f>TRIM(SUBSTITUTE(PROPER(C509)&amp;" "&amp;IF(OR(D509="County",D509="Township",D509="Village",D509="Charter Township"),D509,"")&amp;IF(D509="Township"," "&amp;"("&amp;VLOOKUP(A509,counties,3,0)&amp;")",""),"  "," "))</f>
        <v>Chippewa County Edc</v>
      </c>
    </row>
    <row r="510" spans="1:8" ht="15.75" thickBot="1" x14ac:dyDescent="0.3">
      <c r="A510">
        <f t="shared" si="8"/>
        <v>17</v>
      </c>
      <c r="B510" s="8">
        <v>2016</v>
      </c>
      <c r="C510" s="1" t="s">
        <v>467</v>
      </c>
      <c r="D510" s="1" t="s">
        <v>17</v>
      </c>
      <c r="E510" s="2" t="s">
        <v>7</v>
      </c>
      <c r="F510" s="9" t="s">
        <v>8</v>
      </c>
      <c r="H510" t="str">
        <f>TRIM(SUBSTITUTE(PROPER(C510)&amp;" "&amp;IF(OR(D510="County",D510="Township",D510="Village",D510="Charter Township"),D510,"")&amp;IF(D510="Township"," "&amp;"("&amp;VLOOKUP(A510,counties,3,0)&amp;")",""),"  "," "))</f>
        <v>Chippewa County Health Department</v>
      </c>
    </row>
    <row r="511" spans="1:8" ht="15.75" thickBot="1" x14ac:dyDescent="0.3">
      <c r="A511">
        <f t="shared" si="8"/>
        <v>17</v>
      </c>
      <c r="B511" s="10">
        <v>2016</v>
      </c>
      <c r="C511" s="3" t="s">
        <v>468</v>
      </c>
      <c r="D511" s="3" t="s">
        <v>9</v>
      </c>
      <c r="E511" s="4" t="s">
        <v>7</v>
      </c>
      <c r="F511" s="11" t="s">
        <v>8</v>
      </c>
      <c r="H511" t="str">
        <f>TRIM(SUBSTITUTE(PROPER(C511)&amp;" "&amp;IF(OR(D511="County",D511="Township",D511="Village",D511="Charter Township"),D511,"")&amp;IF(D511="Township"," "&amp;"("&amp;VLOOKUP(A511,counties,3,0)&amp;")",""),"  "," "))</f>
        <v>Dafter Township (Chippewa County)</v>
      </c>
    </row>
    <row r="512" spans="1:8" ht="15.75" thickBot="1" x14ac:dyDescent="0.3">
      <c r="A512">
        <f t="shared" si="8"/>
        <v>17</v>
      </c>
      <c r="B512" s="8">
        <v>2016</v>
      </c>
      <c r="C512" s="1" t="s">
        <v>469</v>
      </c>
      <c r="D512" s="1" t="s">
        <v>9</v>
      </c>
      <c r="E512" s="2" t="s">
        <v>7</v>
      </c>
      <c r="F512" s="9" t="s">
        <v>8</v>
      </c>
      <c r="H512" t="str">
        <f>TRIM(SUBSTITUTE(PROPER(C512)&amp;" "&amp;IF(OR(D512="County",D512="Township",D512="Village",D512="Charter Township"),D512,"")&amp;IF(D512="Township"," "&amp;"("&amp;VLOOKUP(A512,counties,3,0)&amp;")",""),"  "," "))</f>
        <v>Detour Township (Chippewa County)</v>
      </c>
    </row>
    <row r="513" spans="1:8" ht="15.75" thickBot="1" x14ac:dyDescent="0.3">
      <c r="A513">
        <f t="shared" si="8"/>
        <v>17</v>
      </c>
      <c r="B513" s="10">
        <v>2016</v>
      </c>
      <c r="C513" s="3" t="s">
        <v>470</v>
      </c>
      <c r="D513" s="3" t="s">
        <v>21</v>
      </c>
      <c r="E513" s="4" t="s">
        <v>7</v>
      </c>
      <c r="F513" s="11" t="s">
        <v>8</v>
      </c>
      <c r="H513" t="str">
        <f>TRIM(SUBSTITUTE(PROPER(C513)&amp;" "&amp;IF(OR(D513="County",D513="Township",D513="Village",D513="Charter Township"),D513,"")&amp;IF(D513="Township"," "&amp;"("&amp;VLOOKUP(A513,counties,3,0)&amp;")",""),"  "," "))</f>
        <v>Detour Village Village</v>
      </c>
    </row>
    <row r="514" spans="1:8" ht="15.75" thickBot="1" x14ac:dyDescent="0.3">
      <c r="A514">
        <f t="shared" si="8"/>
        <v>17</v>
      </c>
      <c r="B514" s="8">
        <v>2016</v>
      </c>
      <c r="C514" s="1" t="s">
        <v>471</v>
      </c>
      <c r="D514" s="1" t="s">
        <v>17</v>
      </c>
      <c r="E514" s="2" t="s">
        <v>7</v>
      </c>
      <c r="F514" s="9" t="s">
        <v>8</v>
      </c>
      <c r="H514" t="str">
        <f>TRIM(SUBSTITUTE(PROPER(C514)&amp;" "&amp;IF(OR(D514="County",D514="Township",D514="Village",D514="Charter Township"),D514,"")&amp;IF(D514="Township"," "&amp;"("&amp;VLOOKUP(A514,counties,3,0)&amp;")",""),"  "," "))</f>
        <v>Eastern Up Employment &amp; Training Consortium</v>
      </c>
    </row>
    <row r="515" spans="1:8" ht="15.75" thickBot="1" x14ac:dyDescent="0.3">
      <c r="A515">
        <f t="shared" ref="A515:A578" si="9">IF(B515="Year",A514+1,A514)</f>
        <v>17</v>
      </c>
      <c r="B515" s="10">
        <v>2016</v>
      </c>
      <c r="C515" s="3" t="s">
        <v>472</v>
      </c>
      <c r="D515" s="3" t="s">
        <v>17</v>
      </c>
      <c r="E515" s="4" t="s">
        <v>7</v>
      </c>
      <c r="F515" s="11" t="s">
        <v>8</v>
      </c>
      <c r="H515" t="str">
        <f>TRIM(SUBSTITUTE(PROPER(C515)&amp;" "&amp;IF(OR(D515="County",D515="Township",D515="Village",D515="Charter Township"),D515,"")&amp;IF(D515="Township"," "&amp;"("&amp;VLOOKUP(A515,counties,3,0)&amp;")",""),"  "," "))</f>
        <v>Eastern Up Regional Planning/Development Comm</v>
      </c>
    </row>
    <row r="516" spans="1:8" ht="15.75" thickBot="1" x14ac:dyDescent="0.3">
      <c r="A516">
        <f t="shared" si="9"/>
        <v>17</v>
      </c>
      <c r="B516" s="8">
        <v>2016</v>
      </c>
      <c r="C516" s="1" t="s">
        <v>473</v>
      </c>
      <c r="D516" s="1" t="s">
        <v>17</v>
      </c>
      <c r="E516" s="2" t="s">
        <v>7</v>
      </c>
      <c r="F516" s="9" t="s">
        <v>8</v>
      </c>
      <c r="H516" t="str">
        <f>TRIM(SUBSTITUTE(PROPER(C516)&amp;" "&amp;IF(OR(D516="County",D516="Township",D516="Village",D516="Charter Township"),D516,"")&amp;IF(D516="Township"," "&amp;"("&amp;VLOOKUP(A516,counties,3,0)&amp;")",""),"  "," "))</f>
        <v>Eastern Upper Peninsula Transportation Authority</v>
      </c>
    </row>
    <row r="517" spans="1:8" ht="15.75" thickBot="1" x14ac:dyDescent="0.3">
      <c r="A517">
        <f t="shared" si="9"/>
        <v>17</v>
      </c>
      <c r="B517" s="10">
        <v>2016</v>
      </c>
      <c r="C517" s="3" t="s">
        <v>474</v>
      </c>
      <c r="D517" s="3" t="s">
        <v>9</v>
      </c>
      <c r="E517" s="4" t="s">
        <v>7</v>
      </c>
      <c r="F517" s="11" t="s">
        <v>8</v>
      </c>
      <c r="H517" t="str">
        <f>TRIM(SUBSTITUTE(PROPER(C517)&amp;" "&amp;IF(OR(D517="County",D517="Township",D517="Village",D517="Charter Township"),D517,"")&amp;IF(D517="Township"," "&amp;"("&amp;VLOOKUP(A517,counties,3,0)&amp;")",""),"  "," "))</f>
        <v>Kinross Charter Township (Chippewa County)</v>
      </c>
    </row>
    <row r="518" spans="1:8" ht="15.75" thickBot="1" x14ac:dyDescent="0.3">
      <c r="A518">
        <f t="shared" si="9"/>
        <v>17</v>
      </c>
      <c r="B518" s="8">
        <v>2016</v>
      </c>
      <c r="C518" s="1" t="s">
        <v>475</v>
      </c>
      <c r="D518" s="1" t="s">
        <v>9</v>
      </c>
      <c r="E518" s="2" t="s">
        <v>7</v>
      </c>
      <c r="F518" s="9" t="s">
        <v>8</v>
      </c>
      <c r="H518" t="str">
        <f>TRIM(SUBSTITUTE(PROPER(C518)&amp;" "&amp;IF(OR(D518="County",D518="Township",D518="Village",D518="Charter Township"),D518,"")&amp;IF(D518="Township"," "&amp;"("&amp;VLOOKUP(A518,counties,3,0)&amp;")",""),"  "," "))</f>
        <v>Pickford Township (Chippewa County)</v>
      </c>
    </row>
    <row r="519" spans="1:8" ht="15.75" thickBot="1" x14ac:dyDescent="0.3">
      <c r="A519">
        <f t="shared" si="9"/>
        <v>17</v>
      </c>
      <c r="B519" s="10">
        <v>2016</v>
      </c>
      <c r="C519" s="3" t="s">
        <v>476</v>
      </c>
      <c r="D519" s="3" t="s">
        <v>9</v>
      </c>
      <c r="E519" s="4" t="s">
        <v>7</v>
      </c>
      <c r="F519" s="11" t="s">
        <v>8</v>
      </c>
      <c r="H519" t="str">
        <f>TRIM(SUBSTITUTE(PROPER(C519)&amp;" "&amp;IF(OR(D519="County",D519="Township",D519="Village",D519="Charter Township"),D519,"")&amp;IF(D519="Township"," "&amp;"("&amp;VLOOKUP(A519,counties,3,0)&amp;")",""),"  "," "))</f>
        <v>Raber Township (Chippewa County)</v>
      </c>
    </row>
    <row r="520" spans="1:8" ht="15.75" thickBot="1" x14ac:dyDescent="0.3">
      <c r="A520">
        <f t="shared" si="9"/>
        <v>17</v>
      </c>
      <c r="B520" s="8">
        <v>2016</v>
      </c>
      <c r="C520" s="1" t="s">
        <v>477</v>
      </c>
      <c r="D520" s="1" t="s">
        <v>15</v>
      </c>
      <c r="E520" s="2" t="s">
        <v>7</v>
      </c>
      <c r="F520" s="9" t="s">
        <v>8</v>
      </c>
      <c r="H520" t="str">
        <f>TRIM(SUBSTITUTE(PROPER(C520)&amp;" "&amp;IF(OR(D520="County",D520="Township",D520="Village",D520="Charter Township"),D520,"")&amp;IF(D520="Township"," "&amp;"("&amp;VLOOKUP(A520,counties,3,0)&amp;")",""),"  "," "))</f>
        <v>Sault Ste Marie</v>
      </c>
    </row>
    <row r="521" spans="1:8" ht="15.75" thickBot="1" x14ac:dyDescent="0.3">
      <c r="A521">
        <f t="shared" si="9"/>
        <v>17</v>
      </c>
      <c r="B521" s="10">
        <v>2016</v>
      </c>
      <c r="C521" s="3" t="s">
        <v>478</v>
      </c>
      <c r="D521" s="3" t="s">
        <v>17</v>
      </c>
      <c r="E521" s="4" t="s">
        <v>7</v>
      </c>
      <c r="F521" s="11" t="s">
        <v>8</v>
      </c>
      <c r="H521" t="str">
        <f>TRIM(SUBSTITUTE(PROPER(C521)&amp;" "&amp;IF(OR(D521="County",D521="Township",D521="Village",D521="Charter Township"),D521,"")&amp;IF(D521="Township"," "&amp;"("&amp;VLOOKUP(A521,counties,3,0)&amp;")",""),"  "," "))</f>
        <v>Sault Ste Marie City Edc</v>
      </c>
    </row>
    <row r="522" spans="1:8" ht="15.75" thickBot="1" x14ac:dyDescent="0.3">
      <c r="A522">
        <f t="shared" si="9"/>
        <v>17</v>
      </c>
      <c r="B522" s="8">
        <v>2016</v>
      </c>
      <c r="C522" s="1" t="s">
        <v>479</v>
      </c>
      <c r="D522" s="1" t="s">
        <v>17</v>
      </c>
      <c r="E522" s="2" t="s">
        <v>7</v>
      </c>
      <c r="F522" s="9" t="s">
        <v>8</v>
      </c>
      <c r="H522" t="str">
        <f>TRIM(SUBSTITUTE(PROPER(C522)&amp;" "&amp;IF(OR(D522="County",D522="Township",D522="Village",D522="Charter Township"),D522,"")&amp;IF(D522="Township"," "&amp;"("&amp;VLOOKUP(A522,counties,3,0)&amp;")",""),"  "," "))</f>
        <v>Sault Ste Marie City Housing Commission</v>
      </c>
    </row>
    <row r="523" spans="1:8" ht="15.75" thickBot="1" x14ac:dyDescent="0.3">
      <c r="A523">
        <f t="shared" si="9"/>
        <v>17</v>
      </c>
      <c r="B523" s="10">
        <v>2016</v>
      </c>
      <c r="C523" s="3" t="s">
        <v>480</v>
      </c>
      <c r="D523" s="3" t="s">
        <v>9</v>
      </c>
      <c r="E523" s="4" t="s">
        <v>7</v>
      </c>
      <c r="F523" s="11" t="s">
        <v>8</v>
      </c>
      <c r="H523" t="str">
        <f>TRIM(SUBSTITUTE(PROPER(C523)&amp;" "&amp;IF(OR(D523="County",D523="Township",D523="Village",D523="Charter Township"),D523,"")&amp;IF(D523="Township"," "&amp;"("&amp;VLOOKUP(A523,counties,3,0)&amp;")",""),"  "," "))</f>
        <v>Soo Township (Chippewa County)</v>
      </c>
    </row>
    <row r="524" spans="1:8" ht="15.75" thickBot="1" x14ac:dyDescent="0.3">
      <c r="A524">
        <f t="shared" si="9"/>
        <v>17</v>
      </c>
      <c r="B524" s="8">
        <v>2016</v>
      </c>
      <c r="C524" s="1" t="s">
        <v>481</v>
      </c>
      <c r="D524" s="1" t="s">
        <v>42</v>
      </c>
      <c r="E524" s="2" t="s">
        <v>7</v>
      </c>
      <c r="F524" s="9" t="s">
        <v>8</v>
      </c>
      <c r="H524" t="str">
        <f>TRIM(SUBSTITUTE(PROPER(C524)&amp;" "&amp;IF(OR(D524="County",D524="Township",D524="Village",D524="Charter Township"),D524,"")&amp;IF(D524="Township"," "&amp;"("&amp;VLOOKUP(A524,counties,3,0)&amp;")",""),"  "," "))</f>
        <v>Superior District Library</v>
      </c>
    </row>
    <row r="525" spans="1:8" ht="15.75" thickBot="1" x14ac:dyDescent="0.3">
      <c r="A525">
        <f t="shared" si="9"/>
        <v>17</v>
      </c>
      <c r="B525" s="12">
        <v>2016</v>
      </c>
      <c r="C525" s="13" t="s">
        <v>482</v>
      </c>
      <c r="D525" s="13" t="s">
        <v>9</v>
      </c>
      <c r="E525" s="14" t="s">
        <v>7</v>
      </c>
      <c r="F525" s="15" t="s">
        <v>8</v>
      </c>
      <c r="H525" t="str">
        <f>TRIM(SUBSTITUTE(PROPER(C525)&amp;" "&amp;IF(OR(D525="County",D525="Township",D525="Village",D525="Charter Township"),D525,"")&amp;IF(D525="Township"," "&amp;"("&amp;VLOOKUP(A525,counties,3,0)&amp;")",""),"  "," "))</f>
        <v>Whitefish Township (Chippewa County)</v>
      </c>
    </row>
    <row r="526" spans="1:8" ht="16.5" thickTop="1" thickBot="1" x14ac:dyDescent="0.3">
      <c r="A526">
        <f t="shared" si="9"/>
        <v>18</v>
      </c>
      <c r="B526" s="5" t="s">
        <v>0</v>
      </c>
      <c r="C526" s="6" t="s">
        <v>1</v>
      </c>
      <c r="D526" s="6" t="s">
        <v>2</v>
      </c>
      <c r="E526" s="6" t="s">
        <v>3</v>
      </c>
      <c r="F526" s="7" t="s">
        <v>4</v>
      </c>
      <c r="H526" t="str">
        <f>TRIM(SUBSTITUTE(PROPER(C526)&amp;" "&amp;IF(OR(D526="County",D526="Township",D526="Village",D526="Charter Township"),D526,"")&amp;IF(D526="Township"," "&amp;"("&amp;VLOOKUP(A526,counties,3,0)&amp;")",""),"  "," "))</f>
        <v>Municipality</v>
      </c>
    </row>
    <row r="527" spans="1:8" ht="15.75" thickBot="1" x14ac:dyDescent="0.3">
      <c r="A527">
        <f t="shared" si="9"/>
        <v>18</v>
      </c>
      <c r="B527" s="8">
        <v>2016</v>
      </c>
      <c r="C527" s="1" t="s">
        <v>483</v>
      </c>
      <c r="D527" s="1" t="s">
        <v>9</v>
      </c>
      <c r="E527" s="2" t="s">
        <v>7</v>
      </c>
      <c r="F527" s="9" t="s">
        <v>8</v>
      </c>
      <c r="H527" t="str">
        <f>TRIM(SUBSTITUTE(PROPER(C527)&amp;" "&amp;IF(OR(D527="County",D527="Township",D527="Village",D527="Charter Township"),D527,"")&amp;IF(D527="Township"," "&amp;"("&amp;VLOOKUP(A527,counties,3,0)&amp;")",""),"  "," "))</f>
        <v>Arthur Township (Clare County)</v>
      </c>
    </row>
    <row r="528" spans="1:8" ht="15.75" thickBot="1" x14ac:dyDescent="0.3">
      <c r="A528">
        <f t="shared" si="9"/>
        <v>18</v>
      </c>
      <c r="B528" s="10">
        <v>2016</v>
      </c>
      <c r="C528" s="3" t="s">
        <v>484</v>
      </c>
      <c r="D528" s="3" t="s">
        <v>15</v>
      </c>
      <c r="E528" s="4" t="s">
        <v>7</v>
      </c>
      <c r="F528" s="11" t="s">
        <v>8</v>
      </c>
      <c r="H528" t="str">
        <f>TRIM(SUBSTITUTE(PROPER(C528)&amp;" "&amp;IF(OR(D528="County",D528="Township",D528="Village",D528="Charter Township"),D528,"")&amp;IF(D528="Township"," "&amp;"("&amp;VLOOKUP(A528,counties,3,0)&amp;")",""),"  "," "))</f>
        <v>Clare</v>
      </c>
    </row>
    <row r="529" spans="1:8" ht="15.75" thickBot="1" x14ac:dyDescent="0.3">
      <c r="A529">
        <f t="shared" si="9"/>
        <v>18</v>
      </c>
      <c r="B529" s="8">
        <v>2016</v>
      </c>
      <c r="C529" s="1" t="s">
        <v>484</v>
      </c>
      <c r="D529" s="1" t="s">
        <v>6</v>
      </c>
      <c r="E529" s="2" t="s">
        <v>7</v>
      </c>
      <c r="F529" s="9" t="s">
        <v>8</v>
      </c>
      <c r="H529" t="str">
        <f>TRIM(SUBSTITUTE(PROPER(C529)&amp;" "&amp;IF(OR(D529="County",D529="Township",D529="Village",D529="Charter Township"),D529,"")&amp;IF(D529="Township"," "&amp;"("&amp;VLOOKUP(A529,counties,3,0)&amp;")",""),"  "," "))</f>
        <v>Clare County</v>
      </c>
    </row>
    <row r="530" spans="1:8" ht="15.75" thickBot="1" x14ac:dyDescent="0.3">
      <c r="A530">
        <f t="shared" si="9"/>
        <v>18</v>
      </c>
      <c r="B530" s="10">
        <v>2016</v>
      </c>
      <c r="C530" s="3" t="s">
        <v>485</v>
      </c>
      <c r="D530" s="3" t="s">
        <v>11</v>
      </c>
      <c r="E530" s="4" t="s">
        <v>7</v>
      </c>
      <c r="F530" s="11" t="s">
        <v>8</v>
      </c>
      <c r="H530" t="str">
        <f>TRIM(SUBSTITUTE(PROPER(C530)&amp;" "&amp;IF(OR(D530="County",D530="Township",D530="Village",D530="Charter Township"),D530,"")&amp;IF(D530="Township"," "&amp;"("&amp;VLOOKUP(A530,counties,3,0)&amp;")",""),"  "," "))</f>
        <v>Clare County Road Commission</v>
      </c>
    </row>
    <row r="531" spans="1:8" ht="15.75" thickBot="1" x14ac:dyDescent="0.3">
      <c r="A531">
        <f t="shared" si="9"/>
        <v>18</v>
      </c>
      <c r="B531" s="8">
        <v>2016</v>
      </c>
      <c r="C531" s="1" t="s">
        <v>486</v>
      </c>
      <c r="D531" s="1" t="s">
        <v>17</v>
      </c>
      <c r="E531" s="2" t="s">
        <v>7</v>
      </c>
      <c r="F531" s="9" t="s">
        <v>8</v>
      </c>
      <c r="H531" t="str">
        <f>TRIM(SUBSTITUTE(PROPER(C531)&amp;" "&amp;IF(OR(D531="County",D531="Township",D531="Village",D531="Charter Township"),D531,"")&amp;IF(D531="Township"," "&amp;"("&amp;VLOOKUP(A531,counties,3,0)&amp;")",""),"  "," "))</f>
        <v>Clare County Transit Corporation</v>
      </c>
    </row>
    <row r="532" spans="1:8" ht="15.75" thickBot="1" x14ac:dyDescent="0.3">
      <c r="A532">
        <f t="shared" si="9"/>
        <v>18</v>
      </c>
      <c r="B532" s="10">
        <v>2016</v>
      </c>
      <c r="C532" s="3" t="s">
        <v>487</v>
      </c>
      <c r="D532" s="3" t="s">
        <v>21</v>
      </c>
      <c r="E532" s="4" t="s">
        <v>7</v>
      </c>
      <c r="F532" s="11" t="s">
        <v>19</v>
      </c>
      <c r="H532" t="str">
        <f>TRIM(SUBSTITUTE(PROPER(C532)&amp;" "&amp;IF(OR(D532="County",D532="Township",D532="Village",D532="Charter Township"),D532,"")&amp;IF(D532="Township"," "&amp;"("&amp;VLOOKUP(A532,counties,3,0)&amp;")",""),"  "," "))</f>
        <v>Farwell Village</v>
      </c>
    </row>
    <row r="533" spans="1:8" ht="15.75" thickBot="1" x14ac:dyDescent="0.3">
      <c r="A533">
        <f t="shared" si="9"/>
        <v>18</v>
      </c>
      <c r="B533" s="8">
        <v>2016</v>
      </c>
      <c r="C533" s="1" t="s">
        <v>488</v>
      </c>
      <c r="D533" s="1" t="s">
        <v>17</v>
      </c>
      <c r="E533" s="2" t="s">
        <v>7</v>
      </c>
      <c r="F533" s="9" t="s">
        <v>19</v>
      </c>
      <c r="H533" t="str">
        <f>TRIM(SUBSTITUTE(PROPER(C533)&amp;" "&amp;IF(OR(D533="County",D533="Township",D533="Village",D533="Charter Township"),D533,"")&amp;IF(D533="Township"," "&amp;"("&amp;VLOOKUP(A533,counties,3,0)&amp;")",""),"  "," "))</f>
        <v>Farwell Village Ldfa</v>
      </c>
    </row>
    <row r="534" spans="1:8" ht="15.75" thickBot="1" x14ac:dyDescent="0.3">
      <c r="A534">
        <f t="shared" si="9"/>
        <v>18</v>
      </c>
      <c r="B534" s="10">
        <v>2016</v>
      </c>
      <c r="C534" s="3" t="s">
        <v>489</v>
      </c>
      <c r="D534" s="3" t="s">
        <v>9</v>
      </c>
      <c r="E534" s="4" t="s">
        <v>7</v>
      </c>
      <c r="F534" s="11" t="s">
        <v>8</v>
      </c>
      <c r="H534" t="str">
        <f>TRIM(SUBSTITUTE(PROPER(C534)&amp;" "&amp;IF(OR(D534="County",D534="Township",D534="Village",D534="Charter Township"),D534,"")&amp;IF(D534="Township"," "&amp;"("&amp;VLOOKUP(A534,counties,3,0)&amp;")",""),"  "," "))</f>
        <v>Franklin Township (Clare County)</v>
      </c>
    </row>
    <row r="535" spans="1:8" ht="15.75" thickBot="1" x14ac:dyDescent="0.3">
      <c r="A535">
        <f t="shared" si="9"/>
        <v>18</v>
      </c>
      <c r="B535" s="8">
        <v>2016</v>
      </c>
      <c r="C535" s="1" t="s">
        <v>490</v>
      </c>
      <c r="D535" s="1" t="s">
        <v>9</v>
      </c>
      <c r="E535" s="2" t="s">
        <v>7</v>
      </c>
      <c r="F535" s="9" t="s">
        <v>19</v>
      </c>
      <c r="H535" t="str">
        <f>TRIM(SUBSTITUTE(PROPER(C535)&amp;" "&amp;IF(OR(D535="County",D535="Township",D535="Village",D535="Charter Township"),D535,"")&amp;IF(D535="Township"," "&amp;"("&amp;VLOOKUP(A535,counties,3,0)&amp;")",""),"  "," "))</f>
        <v>Freeman Township (Clare County)</v>
      </c>
    </row>
    <row r="536" spans="1:8" ht="15.75" thickBot="1" x14ac:dyDescent="0.3">
      <c r="A536">
        <f t="shared" si="9"/>
        <v>18</v>
      </c>
      <c r="B536" s="10">
        <v>2016</v>
      </c>
      <c r="C536" s="3" t="s">
        <v>491</v>
      </c>
      <c r="D536" s="3" t="s">
        <v>9</v>
      </c>
      <c r="E536" s="4" t="s">
        <v>7</v>
      </c>
      <c r="F536" s="11" t="s">
        <v>19</v>
      </c>
      <c r="H536" t="str">
        <f>TRIM(SUBSTITUTE(PROPER(C536)&amp;" "&amp;IF(OR(D536="County",D536="Township",D536="Village",D536="Charter Township"),D536,"")&amp;IF(D536="Township"," "&amp;"("&amp;VLOOKUP(A536,counties,3,0)&amp;")",""),"  "," "))</f>
        <v>Frost Township (Clare County)</v>
      </c>
    </row>
    <row r="537" spans="1:8" ht="15.75" thickBot="1" x14ac:dyDescent="0.3">
      <c r="A537">
        <f t="shared" si="9"/>
        <v>18</v>
      </c>
      <c r="B537" s="8">
        <v>2016</v>
      </c>
      <c r="C537" s="1" t="s">
        <v>492</v>
      </c>
      <c r="D537" s="1" t="s">
        <v>9</v>
      </c>
      <c r="E537" s="2" t="s">
        <v>7</v>
      </c>
      <c r="F537" s="9" t="s">
        <v>8</v>
      </c>
      <c r="H537" t="str">
        <f>TRIM(SUBSTITUTE(PROPER(C537)&amp;" "&amp;IF(OR(D537="County",D537="Township",D537="Village",D537="Charter Township"),D537,"")&amp;IF(D537="Township"," "&amp;"("&amp;VLOOKUP(A537,counties,3,0)&amp;")",""),"  "," "))</f>
        <v>Garfield Township (Clare County)</v>
      </c>
    </row>
    <row r="538" spans="1:8" ht="15.75" thickBot="1" x14ac:dyDescent="0.3">
      <c r="A538">
        <f t="shared" si="9"/>
        <v>18</v>
      </c>
      <c r="B538" s="10">
        <v>2016</v>
      </c>
      <c r="C538" s="3" t="s">
        <v>449</v>
      </c>
      <c r="D538" s="3" t="s">
        <v>9</v>
      </c>
      <c r="E538" s="4" t="s">
        <v>7</v>
      </c>
      <c r="F538" s="11" t="s">
        <v>19</v>
      </c>
      <c r="H538" t="str">
        <f>TRIM(SUBSTITUTE(PROPER(C538)&amp;" "&amp;IF(OR(D538="County",D538="Township",D538="Village",D538="Charter Township"),D538,"")&amp;IF(D538="Township"," "&amp;"("&amp;VLOOKUP(A538,counties,3,0)&amp;")",""),"  "," "))</f>
        <v>Grant Township (Clare County)</v>
      </c>
    </row>
    <row r="539" spans="1:8" ht="15.75" thickBot="1" x14ac:dyDescent="0.3">
      <c r="A539">
        <f t="shared" si="9"/>
        <v>18</v>
      </c>
      <c r="B539" s="8">
        <v>2016</v>
      </c>
      <c r="C539" s="1" t="s">
        <v>493</v>
      </c>
      <c r="D539" s="1" t="s">
        <v>9</v>
      </c>
      <c r="E539" s="2" t="s">
        <v>7</v>
      </c>
      <c r="F539" s="9" t="s">
        <v>19</v>
      </c>
      <c r="H539" t="str">
        <f>TRIM(SUBSTITUTE(PROPER(C539)&amp;" "&amp;IF(OR(D539="County",D539="Township",D539="Village",D539="Charter Township"),D539,"")&amp;IF(D539="Township"," "&amp;"("&amp;VLOOKUP(A539,counties,3,0)&amp;")",""),"  "," "))</f>
        <v>Greenwood Township (Clare County)</v>
      </c>
    </row>
    <row r="540" spans="1:8" ht="15.75" thickBot="1" x14ac:dyDescent="0.3">
      <c r="A540">
        <f t="shared" si="9"/>
        <v>18</v>
      </c>
      <c r="B540" s="10">
        <v>2016</v>
      </c>
      <c r="C540" s="3" t="s">
        <v>494</v>
      </c>
      <c r="D540" s="3" t="s">
        <v>15</v>
      </c>
      <c r="E540" s="4" t="s">
        <v>7</v>
      </c>
      <c r="F540" s="11" t="s">
        <v>8</v>
      </c>
      <c r="H540" t="str">
        <f>TRIM(SUBSTITUTE(PROPER(C540)&amp;" "&amp;IF(OR(D540="County",D540="Township",D540="Village",D540="Charter Township"),D540,"")&amp;IF(D540="Township"," "&amp;"("&amp;VLOOKUP(A540,counties,3,0)&amp;")",""),"  "," "))</f>
        <v>Harrison</v>
      </c>
    </row>
    <row r="541" spans="1:8" ht="15.75" thickBot="1" x14ac:dyDescent="0.3">
      <c r="A541">
        <f t="shared" si="9"/>
        <v>18</v>
      </c>
      <c r="B541" s="8">
        <v>2016</v>
      </c>
      <c r="C541" s="1" t="s">
        <v>495</v>
      </c>
      <c r="D541" s="1" t="s">
        <v>17</v>
      </c>
      <c r="E541" s="2" t="s">
        <v>7</v>
      </c>
      <c r="F541" s="9" t="s">
        <v>8</v>
      </c>
      <c r="H541" t="str">
        <f>TRIM(SUBSTITUTE(PROPER(C541)&amp;" "&amp;IF(OR(D541="County",D541="Township",D541="Village",D541="Charter Township"),D541,"")&amp;IF(D541="Township"," "&amp;"("&amp;VLOOKUP(A541,counties,3,0)&amp;")",""),"  "," "))</f>
        <v>Harrison City Downtown Development Authority</v>
      </c>
    </row>
    <row r="542" spans="1:8" ht="15.75" thickBot="1" x14ac:dyDescent="0.3">
      <c r="A542">
        <f t="shared" si="9"/>
        <v>18</v>
      </c>
      <c r="B542" s="10">
        <v>2016</v>
      </c>
      <c r="C542" s="3" t="s">
        <v>496</v>
      </c>
      <c r="D542" s="3" t="s">
        <v>42</v>
      </c>
      <c r="E542" s="4" t="s">
        <v>7</v>
      </c>
      <c r="F542" s="11" t="s">
        <v>8</v>
      </c>
      <c r="H542" t="str">
        <f>TRIM(SUBSTITUTE(PROPER(C542)&amp;" "&amp;IF(OR(D542="County",D542="Township",D542="Village",D542="Charter Township"),D542,"")&amp;IF(D542="Township"," "&amp;"("&amp;VLOOKUP(A542,counties,3,0)&amp;")",""),"  "," "))</f>
        <v>Harrison District Library</v>
      </c>
    </row>
    <row r="543" spans="1:8" ht="15.75" thickBot="1" x14ac:dyDescent="0.3">
      <c r="A543">
        <f t="shared" si="9"/>
        <v>18</v>
      </c>
      <c r="B543" s="8">
        <v>2016</v>
      </c>
      <c r="C543" s="1" t="s">
        <v>497</v>
      </c>
      <c r="D543" s="1" t="s">
        <v>9</v>
      </c>
      <c r="E543" s="2" t="s">
        <v>7</v>
      </c>
      <c r="F543" s="9" t="s">
        <v>8</v>
      </c>
      <c r="H543" t="str">
        <f>TRIM(SUBSTITUTE(PROPER(C543)&amp;" "&amp;IF(OR(D543="County",D543="Township",D543="Village",D543="Charter Township"),D543,"")&amp;IF(D543="Township"," "&amp;"("&amp;VLOOKUP(A543,counties,3,0)&amp;")",""),"  "," "))</f>
        <v>Hatton Township (Clare County)</v>
      </c>
    </row>
    <row r="544" spans="1:8" ht="15.75" thickBot="1" x14ac:dyDescent="0.3">
      <c r="A544">
        <f t="shared" si="9"/>
        <v>18</v>
      </c>
      <c r="B544" s="10">
        <v>2016</v>
      </c>
      <c r="C544" s="3" t="s">
        <v>431</v>
      </c>
      <c r="D544" s="3" t="s">
        <v>9</v>
      </c>
      <c r="E544" s="4" t="s">
        <v>7</v>
      </c>
      <c r="F544" s="11" t="s">
        <v>8</v>
      </c>
      <c r="H544" t="str">
        <f>TRIM(SUBSTITUTE(PROPER(C544)&amp;" "&amp;IF(OR(D544="County",D544="Township",D544="Village",D544="Charter Township"),D544,"")&amp;IF(D544="Township"," "&amp;"("&amp;VLOOKUP(A544,counties,3,0)&amp;")",""),"  "," "))</f>
        <v>Hayes Township (Clare County)</v>
      </c>
    </row>
    <row r="545" spans="1:8" ht="15.75" thickBot="1" x14ac:dyDescent="0.3">
      <c r="A545">
        <f t="shared" si="9"/>
        <v>18</v>
      </c>
      <c r="B545" s="8">
        <v>2016</v>
      </c>
      <c r="C545" s="1" t="s">
        <v>20</v>
      </c>
      <c r="D545" s="1" t="s">
        <v>9</v>
      </c>
      <c r="E545" s="2" t="s">
        <v>7</v>
      </c>
      <c r="F545" s="9" t="s">
        <v>8</v>
      </c>
      <c r="H545" t="str">
        <f>TRIM(SUBSTITUTE(PROPER(C545)&amp;" "&amp;IF(OR(D545="County",D545="Township",D545="Village",D545="Charter Township"),D545,"")&amp;IF(D545="Township"," "&amp;"("&amp;VLOOKUP(A545,counties,3,0)&amp;")",""),"  "," "))</f>
        <v>Lincoln Township (Clare County)</v>
      </c>
    </row>
    <row r="546" spans="1:8" ht="15.75" thickBot="1" x14ac:dyDescent="0.3">
      <c r="A546">
        <f t="shared" si="9"/>
        <v>18</v>
      </c>
      <c r="B546" s="10">
        <v>2016</v>
      </c>
      <c r="C546" s="3" t="s">
        <v>498</v>
      </c>
      <c r="D546" s="3" t="s">
        <v>17</v>
      </c>
      <c r="E546" s="4" t="s">
        <v>7</v>
      </c>
      <c r="F546" s="11" t="s">
        <v>8</v>
      </c>
      <c r="H546" t="str">
        <f>TRIM(SUBSTITUTE(PROPER(C546)&amp;" "&amp;IF(OR(D546="County",D546="Township",D546="Village",D546="Charter Township"),D546,"")&amp;IF(D546="Township"," "&amp;"("&amp;VLOOKUP(A546,counties,3,0)&amp;")",""),"  "," "))</f>
        <v>Mi Works!--Region 7B Consortium</v>
      </c>
    </row>
    <row r="547" spans="1:8" ht="15.75" thickBot="1" x14ac:dyDescent="0.3">
      <c r="A547">
        <f t="shared" si="9"/>
        <v>18</v>
      </c>
      <c r="B547" s="8">
        <v>2016</v>
      </c>
      <c r="C547" s="1" t="s">
        <v>499</v>
      </c>
      <c r="D547" s="1" t="s">
        <v>42</v>
      </c>
      <c r="E547" s="2" t="s">
        <v>7</v>
      </c>
      <c r="F547" s="9" t="s">
        <v>8</v>
      </c>
      <c r="H547" t="str">
        <f>TRIM(SUBSTITUTE(PROPER(C547)&amp;" "&amp;IF(OR(D547="County",D547="Township",D547="Village",D547="Charter Township"),D547,"")&amp;IF(D547="Township"," "&amp;"("&amp;VLOOKUP(A547,counties,3,0)&amp;")",""),"  "," "))</f>
        <v>Pere Marquette District Library</v>
      </c>
    </row>
    <row r="548" spans="1:8" ht="15.75" thickBot="1" x14ac:dyDescent="0.3">
      <c r="A548">
        <f t="shared" si="9"/>
        <v>18</v>
      </c>
      <c r="B548" s="10">
        <v>2016</v>
      </c>
      <c r="C548" s="3" t="s">
        <v>500</v>
      </c>
      <c r="D548" s="3" t="s">
        <v>9</v>
      </c>
      <c r="E548" s="4" t="s">
        <v>7</v>
      </c>
      <c r="F548" s="11" t="s">
        <v>8</v>
      </c>
      <c r="H548" t="str">
        <f>TRIM(SUBSTITUTE(PROPER(C548)&amp;" "&amp;IF(OR(D548="County",D548="Township",D548="Village",D548="Charter Township"),D548,"")&amp;IF(D548="Township"," "&amp;"("&amp;VLOOKUP(A548,counties,3,0)&amp;")",""),"  "," "))</f>
        <v>Redding Township (Clare County)</v>
      </c>
    </row>
    <row r="549" spans="1:8" ht="15.75" thickBot="1" x14ac:dyDescent="0.3">
      <c r="A549">
        <f t="shared" si="9"/>
        <v>18</v>
      </c>
      <c r="B549" s="8">
        <v>2016</v>
      </c>
      <c r="C549" s="1" t="s">
        <v>374</v>
      </c>
      <c r="D549" s="1" t="s">
        <v>9</v>
      </c>
      <c r="E549" s="2" t="s">
        <v>7</v>
      </c>
      <c r="F549" s="9" t="s">
        <v>8</v>
      </c>
      <c r="H549" t="str">
        <f>TRIM(SUBSTITUTE(PROPER(C549)&amp;" "&amp;IF(OR(D549="County",D549="Township",D549="Village",D549="Charter Township"),D549,"")&amp;IF(D549="Township"," "&amp;"("&amp;VLOOKUP(A549,counties,3,0)&amp;")",""),"  "," "))</f>
        <v>Sheridan Township (Clare County)</v>
      </c>
    </row>
    <row r="550" spans="1:8" ht="15.75" thickBot="1" x14ac:dyDescent="0.3">
      <c r="A550">
        <f t="shared" si="9"/>
        <v>18</v>
      </c>
      <c r="B550" s="10">
        <v>2016</v>
      </c>
      <c r="C550" s="3" t="s">
        <v>501</v>
      </c>
      <c r="D550" s="3" t="s">
        <v>9</v>
      </c>
      <c r="E550" s="4" t="s">
        <v>7</v>
      </c>
      <c r="F550" s="11" t="s">
        <v>8</v>
      </c>
      <c r="H550" t="str">
        <f>TRIM(SUBSTITUTE(PROPER(C550)&amp;" "&amp;IF(OR(D550="County",D550="Township",D550="Village",D550="Charter Township"),D550,"")&amp;IF(D550="Township"," "&amp;"("&amp;VLOOKUP(A550,counties,3,0)&amp;")",""),"  "," "))</f>
        <v>Summerfield Township (Clare County)</v>
      </c>
    </row>
    <row r="551" spans="1:8" ht="15.75" thickBot="1" x14ac:dyDescent="0.3">
      <c r="A551">
        <f t="shared" si="9"/>
        <v>18</v>
      </c>
      <c r="B551" s="8">
        <v>2016</v>
      </c>
      <c r="C551" s="1" t="s">
        <v>502</v>
      </c>
      <c r="D551" s="1" t="s">
        <v>9</v>
      </c>
      <c r="E551" s="2" t="s">
        <v>7</v>
      </c>
      <c r="F551" s="9" t="s">
        <v>8</v>
      </c>
      <c r="H551" t="str">
        <f>TRIM(SUBSTITUTE(PROPER(C551)&amp;" "&amp;IF(OR(D551="County",D551="Township",D551="Village",D551="Charter Township"),D551,"")&amp;IF(D551="Township"," "&amp;"("&amp;VLOOKUP(A551,counties,3,0)&amp;")",""),"  "," "))</f>
        <v>Surrey Township (Clare County)</v>
      </c>
    </row>
    <row r="552" spans="1:8" ht="15.75" thickBot="1" x14ac:dyDescent="0.3">
      <c r="A552">
        <f t="shared" si="9"/>
        <v>18</v>
      </c>
      <c r="B552" s="12">
        <v>2016</v>
      </c>
      <c r="C552" s="13" t="s">
        <v>503</v>
      </c>
      <c r="D552" s="13" t="s">
        <v>9</v>
      </c>
      <c r="E552" s="14" t="s">
        <v>7</v>
      </c>
      <c r="F552" s="15" t="s">
        <v>8</v>
      </c>
      <c r="H552" t="str">
        <f>TRIM(SUBSTITUTE(PROPER(C552)&amp;" "&amp;IF(OR(D552="County",D552="Township",D552="Village",D552="Charter Township"),D552,"")&amp;IF(D552="Township"," "&amp;"("&amp;VLOOKUP(A552,counties,3,0)&amp;")",""),"  "," "))</f>
        <v>Winterfield Township (Clare County)</v>
      </c>
    </row>
    <row r="553" spans="1:8" ht="16.5" thickTop="1" thickBot="1" x14ac:dyDescent="0.3">
      <c r="A553">
        <f t="shared" si="9"/>
        <v>19</v>
      </c>
      <c r="B553" s="5" t="s">
        <v>0</v>
      </c>
      <c r="C553" s="6" t="s">
        <v>1</v>
      </c>
      <c r="D553" s="6" t="s">
        <v>2</v>
      </c>
      <c r="E553" s="6" t="s">
        <v>3</v>
      </c>
      <c r="F553" s="7" t="s">
        <v>4</v>
      </c>
      <c r="H553" t="str">
        <f>TRIM(SUBSTITUTE(PROPER(C553)&amp;" "&amp;IF(OR(D553="County",D553="Township",D553="Village",D553="Charter Township"),D553,"")&amp;IF(D553="Township"," "&amp;"("&amp;VLOOKUP(A553,counties,3,0)&amp;")",""),"  "," "))</f>
        <v>Municipality</v>
      </c>
    </row>
    <row r="554" spans="1:8" ht="15.75" thickBot="1" x14ac:dyDescent="0.3">
      <c r="A554">
        <f t="shared" si="9"/>
        <v>19</v>
      </c>
      <c r="B554" s="8">
        <v>2016</v>
      </c>
      <c r="C554" s="1" t="s">
        <v>504</v>
      </c>
      <c r="D554" s="1" t="s">
        <v>9</v>
      </c>
      <c r="E554" s="2" t="s">
        <v>7</v>
      </c>
      <c r="F554" s="9" t="s">
        <v>8</v>
      </c>
      <c r="H554" t="str">
        <f>TRIM(SUBSTITUTE(PROPER(C554)&amp;" "&amp;IF(OR(D554="County",D554="Township",D554="Village",D554="Charter Township"),D554,"")&amp;IF(D554="Township"," "&amp;"("&amp;VLOOKUP(A554,counties,3,0)&amp;")",""),"  "," "))</f>
        <v>Bath Charter Township (Clinton County)</v>
      </c>
    </row>
    <row r="555" spans="1:8" ht="15.75" thickBot="1" x14ac:dyDescent="0.3">
      <c r="A555">
        <f t="shared" si="9"/>
        <v>19</v>
      </c>
      <c r="B555" s="10">
        <v>2016</v>
      </c>
      <c r="C555" s="3" t="s">
        <v>505</v>
      </c>
      <c r="D555" s="3" t="s">
        <v>17</v>
      </c>
      <c r="E555" s="4" t="s">
        <v>7</v>
      </c>
      <c r="F555" s="11" t="s">
        <v>8</v>
      </c>
      <c r="H555" t="str">
        <f>TRIM(SUBSTITUTE(PROPER(C555)&amp;" "&amp;IF(OR(D555="County",D555="Township",D555="Village",D555="Charter Township"),D555,"")&amp;IF(D555="Township"," "&amp;"("&amp;VLOOKUP(A555,counties,3,0)&amp;")",""),"  "," "))</f>
        <v>Bath Charter Township Housing Commission</v>
      </c>
    </row>
    <row r="556" spans="1:8" ht="15.75" thickBot="1" x14ac:dyDescent="0.3">
      <c r="A556">
        <f t="shared" si="9"/>
        <v>19</v>
      </c>
      <c r="B556" s="8">
        <v>2016</v>
      </c>
      <c r="C556" s="1" t="s">
        <v>506</v>
      </c>
      <c r="D556" s="1" t="s">
        <v>9</v>
      </c>
      <c r="E556" s="2" t="s">
        <v>7</v>
      </c>
      <c r="F556" s="9" t="s">
        <v>8</v>
      </c>
      <c r="H556" t="str">
        <f>TRIM(SUBSTITUTE(PROPER(C556)&amp;" "&amp;IF(OR(D556="County",D556="Township",D556="Village",D556="Charter Township"),D556,"")&amp;IF(D556="Township"," "&amp;"("&amp;VLOOKUP(A556,counties,3,0)&amp;")",""),"  "," "))</f>
        <v>Bengal Township (Clinton County)</v>
      </c>
    </row>
    <row r="557" spans="1:8" ht="15.75" thickBot="1" x14ac:dyDescent="0.3">
      <c r="A557">
        <f t="shared" si="9"/>
        <v>19</v>
      </c>
      <c r="B557" s="10">
        <v>2016</v>
      </c>
      <c r="C557" s="3" t="s">
        <v>507</v>
      </c>
      <c r="D557" s="3" t="s">
        <v>9</v>
      </c>
      <c r="E557" s="4" t="s">
        <v>7</v>
      </c>
      <c r="F557" s="11" t="s">
        <v>8</v>
      </c>
      <c r="H557" t="str">
        <f>TRIM(SUBSTITUTE(PROPER(C557)&amp;" "&amp;IF(OR(D557="County",D557="Township",D557="Village",D557="Charter Township"),D557,"")&amp;IF(D557="Township"," "&amp;"("&amp;VLOOKUP(A557,counties,3,0)&amp;")",""),"  "," "))</f>
        <v>Bingham Township (Clinton County)</v>
      </c>
    </row>
    <row r="558" spans="1:8" ht="15.75" thickBot="1" x14ac:dyDescent="0.3">
      <c r="A558">
        <f t="shared" si="9"/>
        <v>19</v>
      </c>
      <c r="B558" s="8">
        <v>2016</v>
      </c>
      <c r="C558" s="1" t="s">
        <v>508</v>
      </c>
      <c r="D558" s="1" t="s">
        <v>42</v>
      </c>
      <c r="E558" s="2" t="s">
        <v>7</v>
      </c>
      <c r="F558" s="9" t="s">
        <v>8</v>
      </c>
      <c r="H558" t="str">
        <f>TRIM(SUBSTITUTE(PROPER(C558)&amp;" "&amp;IF(OR(D558="County",D558="Township",D558="Village",D558="Charter Township"),D558,"")&amp;IF(D558="Township"," "&amp;"("&amp;VLOOKUP(A558,counties,3,0)&amp;")",""),"  "," "))</f>
        <v>Briggs District Library</v>
      </c>
    </row>
    <row r="559" spans="1:8" ht="15.75" thickBot="1" x14ac:dyDescent="0.3">
      <c r="A559">
        <f t="shared" si="9"/>
        <v>19</v>
      </c>
      <c r="B559" s="10">
        <v>2016</v>
      </c>
      <c r="C559" s="3" t="s">
        <v>509</v>
      </c>
      <c r="D559" s="3" t="s">
        <v>6</v>
      </c>
      <c r="E559" s="4" t="s">
        <v>7</v>
      </c>
      <c r="F559" s="11" t="s">
        <v>8</v>
      </c>
      <c r="H559" t="str">
        <f>TRIM(SUBSTITUTE(PROPER(C559)&amp;" "&amp;IF(OR(D559="County",D559="Township",D559="Village",D559="Charter Township"),D559,"")&amp;IF(D559="Township"," "&amp;"("&amp;VLOOKUP(A559,counties,3,0)&amp;")",""),"  "," "))</f>
        <v>Clinton County</v>
      </c>
    </row>
    <row r="560" spans="1:8" ht="15.75" thickBot="1" x14ac:dyDescent="0.3">
      <c r="A560">
        <f t="shared" si="9"/>
        <v>19</v>
      </c>
      <c r="B560" s="8">
        <v>2016</v>
      </c>
      <c r="C560" s="1" t="s">
        <v>510</v>
      </c>
      <c r="D560" s="1" t="s">
        <v>17</v>
      </c>
      <c r="E560" s="2" t="s">
        <v>7</v>
      </c>
      <c r="F560" s="9" t="s">
        <v>8</v>
      </c>
      <c r="H560" t="str">
        <f>TRIM(SUBSTITUTE(PROPER(C560)&amp;" "&amp;IF(OR(D560="County",D560="Township",D560="Village",D560="Charter Township"),D560,"")&amp;IF(D560="Township"," "&amp;"("&amp;VLOOKUP(A560,counties,3,0)&amp;")",""),"  "," "))</f>
        <v>Clinton Area Ambulance Service Authority</v>
      </c>
    </row>
    <row r="561" spans="1:8" ht="15.75" thickBot="1" x14ac:dyDescent="0.3">
      <c r="A561">
        <f t="shared" si="9"/>
        <v>19</v>
      </c>
      <c r="B561" s="10">
        <v>2016</v>
      </c>
      <c r="C561" s="3" t="s">
        <v>511</v>
      </c>
      <c r="D561" s="3" t="s">
        <v>17</v>
      </c>
      <c r="E561" s="4" t="s">
        <v>7</v>
      </c>
      <c r="F561" s="11" t="s">
        <v>8</v>
      </c>
      <c r="H561" t="str">
        <f>TRIM(SUBSTITUTE(PROPER(C561)&amp;" "&amp;IF(OR(D561="County",D561="Township",D561="Village",D561="Charter Township"),D561,"")&amp;IF(D561="Township"," "&amp;"("&amp;VLOOKUP(A561,counties,3,0)&amp;")",""),"  "," "))</f>
        <v>Clinton Area Fire And Rescue</v>
      </c>
    </row>
    <row r="562" spans="1:8" ht="15.75" thickBot="1" x14ac:dyDescent="0.3">
      <c r="A562">
        <f t="shared" si="9"/>
        <v>19</v>
      </c>
      <c r="B562" s="8">
        <v>2016</v>
      </c>
      <c r="C562" s="1" t="s">
        <v>512</v>
      </c>
      <c r="D562" s="1" t="s">
        <v>17</v>
      </c>
      <c r="E562" s="2" t="s">
        <v>7</v>
      </c>
      <c r="F562" s="9" t="s">
        <v>8</v>
      </c>
      <c r="H562" t="str">
        <f>TRIM(SUBSTITUTE(PROPER(C562)&amp;" "&amp;IF(OR(D562="County",D562="Township",D562="Village",D562="Charter Township"),D562,"")&amp;IF(D562="Township"," "&amp;"("&amp;VLOOKUP(A562,counties,3,0)&amp;")",""),"  "," "))</f>
        <v>Clinton Area Transit System</v>
      </c>
    </row>
    <row r="563" spans="1:8" ht="15.75" thickBot="1" x14ac:dyDescent="0.3">
      <c r="A563">
        <f t="shared" si="9"/>
        <v>19</v>
      </c>
      <c r="B563" s="10">
        <v>2016</v>
      </c>
      <c r="C563" s="3" t="s">
        <v>513</v>
      </c>
      <c r="D563" s="3" t="s">
        <v>17</v>
      </c>
      <c r="E563" s="4" t="s">
        <v>7</v>
      </c>
      <c r="F563" s="11" t="s">
        <v>8</v>
      </c>
      <c r="H563" t="str">
        <f>TRIM(SUBSTITUTE(PROPER(C563)&amp;" "&amp;IF(OR(D563="County",D563="Township",D563="Village",D563="Charter Township"),D563,"")&amp;IF(D563="Township"," "&amp;"("&amp;VLOOKUP(A563,counties,3,0)&amp;")",""),"  "," "))</f>
        <v>Clinton Conservation District</v>
      </c>
    </row>
    <row r="564" spans="1:8" ht="15.75" thickBot="1" x14ac:dyDescent="0.3">
      <c r="A564">
        <f t="shared" si="9"/>
        <v>19</v>
      </c>
      <c r="B564" s="8">
        <v>2016</v>
      </c>
      <c r="C564" s="1" t="s">
        <v>514</v>
      </c>
      <c r="D564" s="1" t="s">
        <v>11</v>
      </c>
      <c r="E564" s="2" t="s">
        <v>7</v>
      </c>
      <c r="F564" s="9" t="s">
        <v>8</v>
      </c>
      <c r="H564" t="str">
        <f>TRIM(SUBSTITUTE(PROPER(C564)&amp;" "&amp;IF(OR(D564="County",D564="Township",D564="Village",D564="Charter Township"),D564,"")&amp;IF(D564="Township"," "&amp;"("&amp;VLOOKUP(A564,counties,3,0)&amp;")",""),"  "," "))</f>
        <v>Clinton County Road Commission</v>
      </c>
    </row>
    <row r="565" spans="1:8" ht="15.75" thickBot="1" x14ac:dyDescent="0.3">
      <c r="A565">
        <f t="shared" si="9"/>
        <v>19</v>
      </c>
      <c r="B565" s="10">
        <v>2016</v>
      </c>
      <c r="C565" s="3" t="s">
        <v>515</v>
      </c>
      <c r="D565" s="3" t="s">
        <v>9</v>
      </c>
      <c r="E565" s="4" t="s">
        <v>7</v>
      </c>
      <c r="F565" s="11" t="s">
        <v>8</v>
      </c>
      <c r="H565" t="str">
        <f>TRIM(SUBSTITUTE(PROPER(C565)&amp;" "&amp;IF(OR(D565="County",D565="Township",D565="Village",D565="Charter Township"),D565,"")&amp;IF(D565="Township"," "&amp;"("&amp;VLOOKUP(A565,counties,3,0)&amp;")",""),"  "," "))</f>
        <v>Dallas Township (Clinton County)</v>
      </c>
    </row>
    <row r="566" spans="1:8" ht="15.75" thickBot="1" x14ac:dyDescent="0.3">
      <c r="A566">
        <f t="shared" si="9"/>
        <v>19</v>
      </c>
      <c r="B566" s="8">
        <v>2016</v>
      </c>
      <c r="C566" s="1" t="s">
        <v>516</v>
      </c>
      <c r="D566" s="1" t="s">
        <v>15</v>
      </c>
      <c r="E566" s="2" t="s">
        <v>7</v>
      </c>
      <c r="F566" s="9" t="s">
        <v>8</v>
      </c>
      <c r="H566" t="str">
        <f>TRIM(SUBSTITUTE(PROPER(C566)&amp;" "&amp;IF(OR(D566="County",D566="Township",D566="Village",D566="Charter Township"),D566,"")&amp;IF(D566="Township"," "&amp;"("&amp;VLOOKUP(A566,counties,3,0)&amp;")",""),"  "," "))</f>
        <v>Dewitt</v>
      </c>
    </row>
    <row r="567" spans="1:8" ht="15.75" thickBot="1" x14ac:dyDescent="0.3">
      <c r="A567">
        <f t="shared" si="9"/>
        <v>19</v>
      </c>
      <c r="B567" s="10">
        <v>2016</v>
      </c>
      <c r="C567" s="3" t="s">
        <v>517</v>
      </c>
      <c r="D567" s="3" t="s">
        <v>17</v>
      </c>
      <c r="E567" s="4" t="s">
        <v>7</v>
      </c>
      <c r="F567" s="11" t="s">
        <v>8</v>
      </c>
      <c r="H567" t="str">
        <f>TRIM(SUBSTITUTE(PROPER(C567)&amp;" "&amp;IF(OR(D567="County",D567="Township",D567="Village",D567="Charter Township"),D567,"")&amp;IF(D567="Township"," "&amp;"("&amp;VLOOKUP(A567,counties,3,0)&amp;")",""),"  "," "))</f>
        <v>Dewitt Area Emergency Services Authority</v>
      </c>
    </row>
    <row r="568" spans="1:8" ht="15.75" thickBot="1" x14ac:dyDescent="0.3">
      <c r="A568">
        <f t="shared" si="9"/>
        <v>19</v>
      </c>
      <c r="B568" s="8">
        <v>2016</v>
      </c>
      <c r="C568" s="1" t="s">
        <v>518</v>
      </c>
      <c r="D568" s="1" t="s">
        <v>17</v>
      </c>
      <c r="E568" s="2" t="s">
        <v>7</v>
      </c>
      <c r="F568" s="9" t="s">
        <v>8</v>
      </c>
      <c r="H568" t="str">
        <f>TRIM(SUBSTITUTE(PROPER(C568)&amp;" "&amp;IF(OR(D568="County",D568="Township",D568="Village",D568="Charter Township"),D568,"")&amp;IF(D568="Township"," "&amp;"("&amp;VLOOKUP(A568,counties,3,0)&amp;")",""),"  "," "))</f>
        <v>Dewitt Area Recreation Authority</v>
      </c>
    </row>
    <row r="569" spans="1:8" ht="15.75" thickBot="1" x14ac:dyDescent="0.3">
      <c r="A569">
        <f t="shared" si="9"/>
        <v>19</v>
      </c>
      <c r="B569" s="10">
        <v>2016</v>
      </c>
      <c r="C569" s="3" t="s">
        <v>519</v>
      </c>
      <c r="D569" s="3" t="s">
        <v>9</v>
      </c>
      <c r="E569" s="4" t="s">
        <v>7</v>
      </c>
      <c r="F569" s="11" t="s">
        <v>8</v>
      </c>
      <c r="H569" t="str">
        <f>TRIM(SUBSTITUTE(PROPER(C569)&amp;" "&amp;IF(OR(D569="County",D569="Township",D569="Village",D569="Charter Township"),D569,"")&amp;IF(D569="Township"," "&amp;"("&amp;VLOOKUP(A569,counties,3,0)&amp;")",""),"  "," "))</f>
        <v>Dewitt Charter Township (Clinton County)</v>
      </c>
    </row>
    <row r="570" spans="1:8" ht="15.75" thickBot="1" x14ac:dyDescent="0.3">
      <c r="A570">
        <f t="shared" si="9"/>
        <v>19</v>
      </c>
      <c r="B570" s="8">
        <v>2016</v>
      </c>
      <c r="C570" s="1" t="s">
        <v>520</v>
      </c>
      <c r="D570" s="1" t="s">
        <v>17</v>
      </c>
      <c r="E570" s="2" t="s">
        <v>7</v>
      </c>
      <c r="F570" s="9" t="s">
        <v>8</v>
      </c>
      <c r="H570" t="str">
        <f>TRIM(SUBSTITUTE(PROPER(C570)&amp;" "&amp;IF(OR(D570="County",D570="Township",D570="Village",D570="Charter Township"),D570,"")&amp;IF(D570="Township"," "&amp;"("&amp;VLOOKUP(A570,counties,3,0)&amp;")",""),"  "," "))</f>
        <v>Dewitt City Downtown Development Authority</v>
      </c>
    </row>
    <row r="571" spans="1:8" ht="15.75" thickBot="1" x14ac:dyDescent="0.3">
      <c r="A571">
        <f t="shared" si="9"/>
        <v>19</v>
      </c>
      <c r="B571" s="10">
        <v>2016</v>
      </c>
      <c r="C571" s="3" t="s">
        <v>521</v>
      </c>
      <c r="D571" s="3" t="s">
        <v>42</v>
      </c>
      <c r="E571" s="4" t="s">
        <v>7</v>
      </c>
      <c r="F571" s="11" t="s">
        <v>8</v>
      </c>
      <c r="H571" t="str">
        <f>TRIM(SUBSTITUTE(PROPER(C571)&amp;" "&amp;IF(OR(D571="County",D571="Township",D571="Village",D571="Charter Township"),D571,"")&amp;IF(D571="Township"," "&amp;"("&amp;VLOOKUP(A571,counties,3,0)&amp;")",""),"  "," "))</f>
        <v>Dewitt Public Library</v>
      </c>
    </row>
    <row r="572" spans="1:8" ht="15.75" thickBot="1" x14ac:dyDescent="0.3">
      <c r="A572">
        <f t="shared" si="9"/>
        <v>19</v>
      </c>
      <c r="B572" s="8">
        <v>2016</v>
      </c>
      <c r="C572" s="1" t="s">
        <v>522</v>
      </c>
      <c r="D572" s="1" t="s">
        <v>9</v>
      </c>
      <c r="E572" s="2" t="s">
        <v>7</v>
      </c>
      <c r="F572" s="9" t="s">
        <v>8</v>
      </c>
      <c r="H572" t="str">
        <f>TRIM(SUBSTITUTE(PROPER(C572)&amp;" "&amp;IF(OR(D572="County",D572="Township",D572="Village",D572="Charter Township"),D572,"")&amp;IF(D572="Township"," "&amp;"("&amp;VLOOKUP(A572,counties,3,0)&amp;")",""),"  "," "))</f>
        <v>Duplain Township (Clinton County)</v>
      </c>
    </row>
    <row r="573" spans="1:8" ht="15.75" thickBot="1" x14ac:dyDescent="0.3">
      <c r="A573">
        <f t="shared" si="9"/>
        <v>19</v>
      </c>
      <c r="B573" s="10">
        <v>2016</v>
      </c>
      <c r="C573" s="3" t="s">
        <v>523</v>
      </c>
      <c r="D573" s="3" t="s">
        <v>9</v>
      </c>
      <c r="E573" s="4" t="s">
        <v>7</v>
      </c>
      <c r="F573" s="11" t="s">
        <v>8</v>
      </c>
      <c r="H573" t="str">
        <f>TRIM(SUBSTITUTE(PROPER(C573)&amp;" "&amp;IF(OR(D573="County",D573="Township",D573="Village",D573="Charter Township"),D573,"")&amp;IF(D573="Township"," "&amp;"("&amp;VLOOKUP(A573,counties,3,0)&amp;")",""),"  "," "))</f>
        <v>Eagle Township (Clinton County)</v>
      </c>
    </row>
    <row r="574" spans="1:8" ht="15.75" thickBot="1" x14ac:dyDescent="0.3">
      <c r="A574">
        <f t="shared" si="9"/>
        <v>19</v>
      </c>
      <c r="B574" s="8">
        <v>2016</v>
      </c>
      <c r="C574" s="1" t="s">
        <v>524</v>
      </c>
      <c r="D574" s="1" t="s">
        <v>21</v>
      </c>
      <c r="E574" s="2" t="s">
        <v>7</v>
      </c>
      <c r="F574" s="9" t="s">
        <v>8</v>
      </c>
      <c r="H574" t="str">
        <f>TRIM(SUBSTITUTE(PROPER(C574)&amp;" "&amp;IF(OR(D574="County",D574="Township",D574="Village",D574="Charter Township"),D574,"")&amp;IF(D574="Township"," "&amp;"("&amp;VLOOKUP(A574,counties,3,0)&amp;")",""),"  "," "))</f>
        <v>Elsie Village</v>
      </c>
    </row>
    <row r="575" spans="1:8" ht="15.75" thickBot="1" x14ac:dyDescent="0.3">
      <c r="A575">
        <f t="shared" si="9"/>
        <v>19</v>
      </c>
      <c r="B575" s="10">
        <v>2016</v>
      </c>
      <c r="C575" s="3" t="s">
        <v>525</v>
      </c>
      <c r="D575" s="3" t="s">
        <v>17</v>
      </c>
      <c r="E575" s="4" t="s">
        <v>7</v>
      </c>
      <c r="F575" s="11" t="s">
        <v>8</v>
      </c>
      <c r="H575" t="str">
        <f>TRIM(SUBSTITUTE(PROPER(C575)&amp;" "&amp;IF(OR(D575="County",D575="Township",D575="Village",D575="Charter Township"),D575,"")&amp;IF(D575="Township"," "&amp;"("&amp;VLOOKUP(A575,counties,3,0)&amp;")",""),"  "," "))</f>
        <v>Elsie Area Fire Association</v>
      </c>
    </row>
    <row r="576" spans="1:8" ht="15.75" thickBot="1" x14ac:dyDescent="0.3">
      <c r="A576">
        <f t="shared" si="9"/>
        <v>19</v>
      </c>
      <c r="B576" s="8">
        <v>2016</v>
      </c>
      <c r="C576" s="1" t="s">
        <v>526</v>
      </c>
      <c r="D576" s="1" t="s">
        <v>42</v>
      </c>
      <c r="E576" s="2" t="s">
        <v>7</v>
      </c>
      <c r="F576" s="9" t="s">
        <v>19</v>
      </c>
      <c r="H576" t="str">
        <f>TRIM(SUBSTITUTE(PROPER(C576)&amp;" "&amp;IF(OR(D576="County",D576="Township",D576="Village",D576="Charter Township"),D576,"")&amp;IF(D576="Township"," "&amp;"("&amp;VLOOKUP(A576,counties,3,0)&amp;")",""),"  "," "))</f>
        <v>Elsie Public Library</v>
      </c>
    </row>
    <row r="577" spans="1:8" ht="15.75" thickBot="1" x14ac:dyDescent="0.3">
      <c r="A577">
        <f t="shared" si="9"/>
        <v>19</v>
      </c>
      <c r="B577" s="10">
        <v>2016</v>
      </c>
      <c r="C577" s="3" t="s">
        <v>527</v>
      </c>
      <c r="D577" s="3" t="s">
        <v>9</v>
      </c>
      <c r="E577" s="4" t="s">
        <v>7</v>
      </c>
      <c r="F577" s="11" t="s">
        <v>8</v>
      </c>
      <c r="H577" t="str">
        <f>TRIM(SUBSTITUTE(PROPER(C577)&amp;" "&amp;IF(OR(D577="County",D577="Township",D577="Village",D577="Charter Township"),D577,"")&amp;IF(D577="Township"," "&amp;"("&amp;VLOOKUP(A577,counties,3,0)&amp;")",""),"  "," "))</f>
        <v>Essex Township (Clinton County)</v>
      </c>
    </row>
    <row r="578" spans="1:8" ht="15.75" thickBot="1" x14ac:dyDescent="0.3">
      <c r="A578">
        <f t="shared" si="9"/>
        <v>19</v>
      </c>
      <c r="B578" s="8">
        <v>2016</v>
      </c>
      <c r="C578" s="1" t="s">
        <v>528</v>
      </c>
      <c r="D578" s="1" t="s">
        <v>9</v>
      </c>
      <c r="E578" s="2" t="s">
        <v>7</v>
      </c>
      <c r="F578" s="9" t="s">
        <v>8</v>
      </c>
      <c r="H578" t="str">
        <f>TRIM(SUBSTITUTE(PROPER(C578)&amp;" "&amp;IF(OR(D578="County",D578="Township",D578="Village",D578="Charter Township"),D578,"")&amp;IF(D578="Township"," "&amp;"("&amp;VLOOKUP(A578,counties,3,0)&amp;")",""),"  "," "))</f>
        <v>Greenbush Township (Clinton County)</v>
      </c>
    </row>
    <row r="579" spans="1:8" ht="15.75" thickBot="1" x14ac:dyDescent="0.3">
      <c r="A579">
        <f t="shared" ref="A579:A642" si="10">IF(B579="Year",A578+1,A578)</f>
        <v>19</v>
      </c>
      <c r="B579" s="10">
        <v>2016</v>
      </c>
      <c r="C579" s="3" t="s">
        <v>529</v>
      </c>
      <c r="D579" s="3" t="s">
        <v>9</v>
      </c>
      <c r="E579" s="4" t="s">
        <v>7</v>
      </c>
      <c r="F579" s="11" t="s">
        <v>8</v>
      </c>
      <c r="H579" t="str">
        <f>TRIM(SUBSTITUTE(PROPER(C579)&amp;" "&amp;IF(OR(D579="County",D579="Township",D579="Village",D579="Charter Township"),D579,"")&amp;IF(D579="Township"," "&amp;"("&amp;VLOOKUP(A579,counties,3,0)&amp;")",""),"  "," "))</f>
        <v>Lebanon Township (Clinton County)</v>
      </c>
    </row>
    <row r="580" spans="1:8" ht="15.75" thickBot="1" x14ac:dyDescent="0.3">
      <c r="A580">
        <f t="shared" si="10"/>
        <v>19</v>
      </c>
      <c r="B580" s="8">
        <v>2016</v>
      </c>
      <c r="C580" s="1" t="s">
        <v>530</v>
      </c>
      <c r="D580" s="1" t="s">
        <v>17</v>
      </c>
      <c r="E580" s="2" t="s">
        <v>7</v>
      </c>
      <c r="F580" s="9" t="s">
        <v>8</v>
      </c>
      <c r="H580" t="str">
        <f>TRIM(SUBSTITUTE(PROPER(C580)&amp;" "&amp;IF(OR(D580="County",D580="Township",D580="Village",D580="Charter Township"),D580,"")&amp;IF(D580="Township"," "&amp;"("&amp;VLOOKUP(A580,counties,3,0)&amp;")",""),"  "," "))</f>
        <v>Looking Glass Regional Fire Authority</v>
      </c>
    </row>
    <row r="581" spans="1:8" ht="15.75" thickBot="1" x14ac:dyDescent="0.3">
      <c r="A581">
        <f t="shared" si="10"/>
        <v>19</v>
      </c>
      <c r="B581" s="10">
        <v>2016</v>
      </c>
      <c r="C581" s="3" t="s">
        <v>531</v>
      </c>
      <c r="D581" s="3" t="s">
        <v>21</v>
      </c>
      <c r="E581" s="4" t="s">
        <v>7</v>
      </c>
      <c r="F581" s="11" t="s">
        <v>8</v>
      </c>
      <c r="H581" t="str">
        <f>TRIM(SUBSTITUTE(PROPER(C581)&amp;" "&amp;IF(OR(D581="County",D581="Township",D581="Village",D581="Charter Township"),D581,"")&amp;IF(D581="Township"," "&amp;"("&amp;VLOOKUP(A581,counties,3,0)&amp;")",""),"  "," "))</f>
        <v>Maple Rapids Village</v>
      </c>
    </row>
    <row r="582" spans="1:8" ht="15.75" thickBot="1" x14ac:dyDescent="0.3">
      <c r="A582">
        <f t="shared" si="10"/>
        <v>19</v>
      </c>
      <c r="B582" s="8">
        <v>2016</v>
      </c>
      <c r="C582" s="1" t="s">
        <v>332</v>
      </c>
      <c r="D582" s="1" t="s">
        <v>15</v>
      </c>
      <c r="E582" s="2" t="s">
        <v>7</v>
      </c>
      <c r="F582" s="9" t="s">
        <v>8</v>
      </c>
      <c r="H582" t="str">
        <f>TRIM(SUBSTITUTE(PROPER(C582)&amp;" "&amp;IF(OR(D582="County",D582="Township",D582="Village",D582="Charter Township"),D582,"")&amp;IF(D582="Township"," "&amp;"("&amp;VLOOKUP(A582,counties,3,0)&amp;")",""),"  "," "))</f>
        <v>Ovid</v>
      </c>
    </row>
    <row r="583" spans="1:8" ht="15.75" thickBot="1" x14ac:dyDescent="0.3">
      <c r="A583">
        <f t="shared" si="10"/>
        <v>19</v>
      </c>
      <c r="B583" s="10">
        <v>2016</v>
      </c>
      <c r="C583" s="3" t="s">
        <v>332</v>
      </c>
      <c r="D583" s="3" t="s">
        <v>9</v>
      </c>
      <c r="E583" s="4" t="s">
        <v>7</v>
      </c>
      <c r="F583" s="11" t="s">
        <v>8</v>
      </c>
      <c r="H583" t="str">
        <f>TRIM(SUBSTITUTE(PROPER(C583)&amp;" "&amp;IF(OR(D583="County",D583="Township",D583="Village",D583="Charter Township"),D583,"")&amp;IF(D583="Township"," "&amp;"("&amp;VLOOKUP(A583,counties,3,0)&amp;")",""),"  "," "))</f>
        <v>Ovid Township (Clinton County)</v>
      </c>
    </row>
    <row r="584" spans="1:8" ht="15.75" thickBot="1" x14ac:dyDescent="0.3">
      <c r="A584">
        <f t="shared" si="10"/>
        <v>19</v>
      </c>
      <c r="B584" s="8">
        <v>2016</v>
      </c>
      <c r="C584" s="1" t="s">
        <v>532</v>
      </c>
      <c r="D584" s="1" t="s">
        <v>42</v>
      </c>
      <c r="E584" s="2" t="s">
        <v>7</v>
      </c>
      <c r="F584" s="9" t="s">
        <v>8</v>
      </c>
      <c r="H584" t="str">
        <f>TRIM(SUBSTITUTE(PROPER(C584)&amp;" "&amp;IF(OR(D584="County",D584="Township",D584="Village",D584="Charter Township"),D584,"")&amp;IF(D584="Township"," "&amp;"("&amp;VLOOKUP(A584,counties,3,0)&amp;")",""),"  "," "))</f>
        <v>Ovid Public Library</v>
      </c>
    </row>
    <row r="585" spans="1:8" ht="15.75" thickBot="1" x14ac:dyDescent="0.3">
      <c r="A585">
        <f t="shared" si="10"/>
        <v>19</v>
      </c>
      <c r="B585" s="10">
        <v>2016</v>
      </c>
      <c r="C585" s="3" t="s">
        <v>533</v>
      </c>
      <c r="D585" s="3" t="s">
        <v>17</v>
      </c>
      <c r="E585" s="4" t="s">
        <v>7</v>
      </c>
      <c r="F585" s="11" t="s">
        <v>8</v>
      </c>
      <c r="H585" t="str">
        <f>TRIM(SUBSTITUTE(PROPER(C585)&amp;" "&amp;IF(OR(D585="County",D585="Township",D585="Village",D585="Charter Township"),D585,"")&amp;IF(D585="Township"," "&amp;"("&amp;VLOOKUP(A585,counties,3,0)&amp;")",""),"  "," "))</f>
        <v>Ovid-Middlebury Emergency Services Authority</v>
      </c>
    </row>
    <row r="586" spans="1:8" ht="15.75" thickBot="1" x14ac:dyDescent="0.3">
      <c r="A586">
        <f t="shared" si="10"/>
        <v>19</v>
      </c>
      <c r="B586" s="8">
        <v>2016</v>
      </c>
      <c r="C586" s="1" t="s">
        <v>534</v>
      </c>
      <c r="D586" s="1" t="s">
        <v>17</v>
      </c>
      <c r="E586" s="2" t="s">
        <v>7</v>
      </c>
      <c r="F586" s="9" t="s">
        <v>8</v>
      </c>
      <c r="H586" t="str">
        <f>TRIM(SUBSTITUTE(PROPER(C586)&amp;" "&amp;IF(OR(D586="County",D586="Township",D586="Village",D586="Charter Township"),D586,"")&amp;IF(D586="Township"," "&amp;"("&amp;VLOOKUP(A586,counties,3,0)&amp;")",""),"  "," "))</f>
        <v>Southern Clinton Co Municipal Utilities Authority</v>
      </c>
    </row>
    <row r="587" spans="1:8" ht="15.75" thickBot="1" x14ac:dyDescent="0.3">
      <c r="A587">
        <f t="shared" si="10"/>
        <v>19</v>
      </c>
      <c r="B587" s="10">
        <v>2016</v>
      </c>
      <c r="C587" s="3" t="s">
        <v>535</v>
      </c>
      <c r="D587" s="3" t="s">
        <v>15</v>
      </c>
      <c r="E587" s="4" t="s">
        <v>7</v>
      </c>
      <c r="F587" s="11" t="s">
        <v>8</v>
      </c>
      <c r="H587" t="str">
        <f>TRIM(SUBSTITUTE(PROPER(C587)&amp;" "&amp;IF(OR(D587="County",D587="Township",D587="Village",D587="Charter Township"),D587,"")&amp;IF(D587="Township"," "&amp;"("&amp;VLOOKUP(A587,counties,3,0)&amp;")",""),"  "," "))</f>
        <v>St Johns</v>
      </c>
    </row>
    <row r="588" spans="1:8" ht="15.75" thickBot="1" x14ac:dyDescent="0.3">
      <c r="A588">
        <f t="shared" si="10"/>
        <v>19</v>
      </c>
      <c r="B588" s="8">
        <v>2016</v>
      </c>
      <c r="C588" s="1" t="s">
        <v>536</v>
      </c>
      <c r="D588" s="1" t="s">
        <v>9</v>
      </c>
      <c r="E588" s="2" t="s">
        <v>7</v>
      </c>
      <c r="F588" s="9" t="s">
        <v>8</v>
      </c>
      <c r="H588" t="str">
        <f>TRIM(SUBSTITUTE(PROPER(C588)&amp;" "&amp;IF(OR(D588="County",D588="Township",D588="Village",D588="Charter Township"),D588,"")&amp;IF(D588="Township"," "&amp;"("&amp;VLOOKUP(A588,counties,3,0)&amp;")",""),"  "," "))</f>
        <v>Victor Township (Clinton County)</v>
      </c>
    </row>
    <row r="589" spans="1:8" ht="15.75" thickBot="1" x14ac:dyDescent="0.3">
      <c r="A589">
        <f t="shared" si="10"/>
        <v>19</v>
      </c>
      <c r="B589" s="10">
        <v>2016</v>
      </c>
      <c r="C589" s="3" t="s">
        <v>537</v>
      </c>
      <c r="D589" s="3" t="s">
        <v>9</v>
      </c>
      <c r="E589" s="4" t="s">
        <v>7</v>
      </c>
      <c r="F589" s="11" t="s">
        <v>8</v>
      </c>
      <c r="H589" t="str">
        <f>TRIM(SUBSTITUTE(PROPER(C589)&amp;" "&amp;IF(OR(D589="County",D589="Township",D589="Village",D589="Charter Township"),D589,"")&amp;IF(D589="Township"," "&amp;"("&amp;VLOOKUP(A589,counties,3,0)&amp;")",""),"  "," "))</f>
        <v>Watertown Charter Township (Clinton County)</v>
      </c>
    </row>
    <row r="590" spans="1:8" ht="15.75" thickBot="1" x14ac:dyDescent="0.3">
      <c r="A590">
        <f t="shared" si="10"/>
        <v>19</v>
      </c>
      <c r="B590" s="8">
        <v>2016</v>
      </c>
      <c r="C590" s="1" t="s">
        <v>538</v>
      </c>
      <c r="D590" s="1" t="s">
        <v>9</v>
      </c>
      <c r="E590" s="2" t="s">
        <v>7</v>
      </c>
      <c r="F590" s="9" t="s">
        <v>8</v>
      </c>
      <c r="H590" t="str">
        <f>TRIM(SUBSTITUTE(PROPER(C590)&amp;" "&amp;IF(OR(D590="County",D590="Township",D590="Village",D590="Charter Township"),D590,"")&amp;IF(D590="Township"," "&amp;"("&amp;VLOOKUP(A590,counties,3,0)&amp;")",""),"  "," "))</f>
        <v>Westphalia Township (Clinton County)</v>
      </c>
    </row>
    <row r="591" spans="1:8" ht="15.75" thickBot="1" x14ac:dyDescent="0.3">
      <c r="A591">
        <f t="shared" si="10"/>
        <v>19</v>
      </c>
      <c r="B591" s="12">
        <v>2016</v>
      </c>
      <c r="C591" s="13" t="s">
        <v>538</v>
      </c>
      <c r="D591" s="13" t="s">
        <v>21</v>
      </c>
      <c r="E591" s="14" t="s">
        <v>7</v>
      </c>
      <c r="F591" s="15" t="s">
        <v>8</v>
      </c>
      <c r="H591" t="str">
        <f>TRIM(SUBSTITUTE(PROPER(C591)&amp;" "&amp;IF(OR(D591="County",D591="Township",D591="Village",D591="Charter Township"),D591,"")&amp;IF(D591="Township"," "&amp;"("&amp;VLOOKUP(A591,counties,3,0)&amp;")",""),"  "," "))</f>
        <v>Westphalia Village</v>
      </c>
    </row>
    <row r="592" spans="1:8" ht="16.5" thickTop="1" thickBot="1" x14ac:dyDescent="0.3">
      <c r="A592">
        <f t="shared" si="10"/>
        <v>20</v>
      </c>
      <c r="B592" s="5" t="s">
        <v>0</v>
      </c>
      <c r="C592" s="6" t="s">
        <v>1</v>
      </c>
      <c r="D592" s="6" t="s">
        <v>2</v>
      </c>
      <c r="E592" s="6" t="s">
        <v>3</v>
      </c>
      <c r="F592" s="7" t="s">
        <v>4</v>
      </c>
      <c r="H592" t="str">
        <f>TRIM(SUBSTITUTE(PROPER(C592)&amp;" "&amp;IF(OR(D592="County",D592="Township",D592="Village",D592="Charter Township"),D592,"")&amp;IF(D592="Township"," "&amp;"("&amp;VLOOKUP(A592,counties,3,0)&amp;")",""),"  "," "))</f>
        <v>Municipality</v>
      </c>
    </row>
    <row r="593" spans="1:8" ht="15.75" thickBot="1" x14ac:dyDescent="0.3">
      <c r="A593">
        <f t="shared" si="10"/>
        <v>20</v>
      </c>
      <c r="B593" s="8">
        <v>2016</v>
      </c>
      <c r="C593" s="1" t="s">
        <v>539</v>
      </c>
      <c r="D593" s="1" t="s">
        <v>9</v>
      </c>
      <c r="E593" s="2" t="s">
        <v>7</v>
      </c>
      <c r="F593" s="9" t="s">
        <v>8</v>
      </c>
      <c r="H593" t="str">
        <f>TRIM(SUBSTITUTE(PROPER(C593)&amp;" "&amp;IF(OR(D593="County",D593="Township",D593="Village",D593="Charter Township"),D593,"")&amp;IF(D593="Township"," "&amp;"("&amp;VLOOKUP(A593,counties,3,0)&amp;")",""),"  "," "))</f>
        <v>Beaver Creek Township (Crawford County)</v>
      </c>
    </row>
    <row r="594" spans="1:8" ht="15.75" thickBot="1" x14ac:dyDescent="0.3">
      <c r="A594">
        <f t="shared" si="10"/>
        <v>20</v>
      </c>
      <c r="B594" s="10">
        <v>2016</v>
      </c>
      <c r="C594" s="3" t="s">
        <v>540</v>
      </c>
      <c r="D594" s="3" t="s">
        <v>6</v>
      </c>
      <c r="E594" s="4" t="s">
        <v>7</v>
      </c>
      <c r="F594" s="11" t="s">
        <v>8</v>
      </c>
      <c r="H594" t="str">
        <f>TRIM(SUBSTITUTE(PROPER(C594)&amp;" "&amp;IF(OR(D594="County",D594="Township",D594="Village",D594="Charter Township"),D594,"")&amp;IF(D594="Township"," "&amp;"("&amp;VLOOKUP(A594,counties,3,0)&amp;")",""),"  "," "))</f>
        <v>Crawford County</v>
      </c>
    </row>
    <row r="595" spans="1:8" ht="15.75" thickBot="1" x14ac:dyDescent="0.3">
      <c r="A595">
        <f t="shared" si="10"/>
        <v>20</v>
      </c>
      <c r="B595" s="8">
        <v>2016</v>
      </c>
      <c r="C595" s="1" t="s">
        <v>541</v>
      </c>
      <c r="D595" s="1" t="s">
        <v>11</v>
      </c>
      <c r="E595" s="2" t="s">
        <v>7</v>
      </c>
      <c r="F595" s="9" t="s">
        <v>8</v>
      </c>
      <c r="H595" t="str">
        <f>TRIM(SUBSTITUTE(PROPER(C595)&amp;" "&amp;IF(OR(D595="County",D595="Township",D595="Village",D595="Charter Township"),D595,"")&amp;IF(D595="Township"," "&amp;"("&amp;VLOOKUP(A595,counties,3,0)&amp;")",""),"  "," "))</f>
        <v>Crawford Co Road Commission</v>
      </c>
    </row>
    <row r="596" spans="1:8" ht="15.75" thickBot="1" x14ac:dyDescent="0.3">
      <c r="A596">
        <f t="shared" si="10"/>
        <v>20</v>
      </c>
      <c r="B596" s="10">
        <v>2016</v>
      </c>
      <c r="C596" s="3" t="s">
        <v>542</v>
      </c>
      <c r="D596" s="3" t="s">
        <v>17</v>
      </c>
      <c r="E596" s="4" t="s">
        <v>7</v>
      </c>
      <c r="F596" s="11" t="s">
        <v>8</v>
      </c>
      <c r="H596" t="str">
        <f>TRIM(SUBSTITUTE(PROPER(C596)&amp;" "&amp;IF(OR(D596="County",D596="Township",D596="Village",D596="Charter Township"),D596,"")&amp;IF(D596="Township"," "&amp;"("&amp;VLOOKUP(A596,counties,3,0)&amp;")",""),"  "," "))</f>
        <v>Crawford County Transportation Authority</v>
      </c>
    </row>
    <row r="597" spans="1:8" ht="15.75" thickBot="1" x14ac:dyDescent="0.3">
      <c r="A597">
        <f t="shared" si="10"/>
        <v>20</v>
      </c>
      <c r="B597" s="8">
        <v>2016</v>
      </c>
      <c r="C597" s="1" t="s">
        <v>543</v>
      </c>
      <c r="D597" s="1" t="s">
        <v>9</v>
      </c>
      <c r="E597" s="2" t="s">
        <v>7</v>
      </c>
      <c r="F597" s="9" t="s">
        <v>8</v>
      </c>
      <c r="H597" t="str">
        <f>TRIM(SUBSTITUTE(PROPER(C597)&amp;" "&amp;IF(OR(D597="County",D597="Township",D597="Village",D597="Charter Township"),D597,"")&amp;IF(D597="Township"," "&amp;"("&amp;VLOOKUP(A597,counties,3,0)&amp;")",""),"  "," "))</f>
        <v>Frederic Township (Crawford County)</v>
      </c>
    </row>
    <row r="598" spans="1:8" ht="15.75" thickBot="1" x14ac:dyDescent="0.3">
      <c r="A598">
        <f t="shared" si="10"/>
        <v>20</v>
      </c>
      <c r="B598" s="10">
        <v>2016</v>
      </c>
      <c r="C598" s="3" t="s">
        <v>544</v>
      </c>
      <c r="D598" s="3" t="s">
        <v>15</v>
      </c>
      <c r="E598" s="4" t="s">
        <v>7</v>
      </c>
      <c r="F598" s="11" t="s">
        <v>8</v>
      </c>
      <c r="H598" t="str">
        <f>TRIM(SUBSTITUTE(PROPER(C598)&amp;" "&amp;IF(OR(D598="County",D598="Township",D598="Village",D598="Charter Township"),D598,"")&amp;IF(D598="Township"," "&amp;"("&amp;VLOOKUP(A598,counties,3,0)&amp;")",""),"  "," "))</f>
        <v>Grayling</v>
      </c>
    </row>
    <row r="599" spans="1:8" ht="15.75" thickBot="1" x14ac:dyDescent="0.3">
      <c r="A599">
        <f t="shared" si="10"/>
        <v>20</v>
      </c>
      <c r="B599" s="8">
        <v>2016</v>
      </c>
      <c r="C599" s="1" t="s">
        <v>544</v>
      </c>
      <c r="D599" s="1" t="s">
        <v>9</v>
      </c>
      <c r="E599" s="2" t="s">
        <v>7</v>
      </c>
      <c r="F599" s="9" t="s">
        <v>8</v>
      </c>
      <c r="H599" t="str">
        <f>TRIM(SUBSTITUTE(PROPER(C599)&amp;" "&amp;IF(OR(D599="County",D599="Township",D599="Village",D599="Charter Township"),D599,"")&amp;IF(D599="Township"," "&amp;"("&amp;VLOOKUP(A599,counties,3,0)&amp;")",""),"  "," "))</f>
        <v>Grayling Township (Crawford County)</v>
      </c>
    </row>
    <row r="600" spans="1:8" ht="15.75" thickBot="1" x14ac:dyDescent="0.3">
      <c r="A600">
        <f t="shared" si="10"/>
        <v>20</v>
      </c>
      <c r="B600" s="10">
        <v>2016</v>
      </c>
      <c r="C600" s="3" t="s">
        <v>545</v>
      </c>
      <c r="D600" s="3" t="s">
        <v>17</v>
      </c>
      <c r="E600" s="4" t="s">
        <v>7</v>
      </c>
      <c r="F600" s="11" t="s">
        <v>8</v>
      </c>
      <c r="H600" t="str">
        <f>TRIM(SUBSTITUTE(PROPER(C600)&amp;" "&amp;IF(OR(D600="County",D600="Township",D600="Village",D600="Charter Township"),D600,"")&amp;IF(D600="Township"," "&amp;"("&amp;VLOOKUP(A600,counties,3,0)&amp;")",""),"  "," "))</f>
        <v>Grayling City Housing Commission</v>
      </c>
    </row>
    <row r="601" spans="1:8" ht="15.75" thickBot="1" x14ac:dyDescent="0.3">
      <c r="A601">
        <f t="shared" si="10"/>
        <v>20</v>
      </c>
      <c r="B601" s="8">
        <v>2016</v>
      </c>
      <c r="C601" s="1" t="s">
        <v>546</v>
      </c>
      <c r="D601" s="1" t="s">
        <v>17</v>
      </c>
      <c r="E601" s="2" t="s">
        <v>7</v>
      </c>
      <c r="F601" s="9" t="s">
        <v>8</v>
      </c>
      <c r="H601" t="str">
        <f>TRIM(SUBSTITUTE(PROPER(C601)&amp;" "&amp;IF(OR(D601="County",D601="Township",D601="Village",D601="Charter Township"),D601,"")&amp;IF(D601="Township"," "&amp;"("&amp;VLOOKUP(A601,counties,3,0)&amp;")",""),"  "," "))</f>
        <v>Grayling Recreation Authority</v>
      </c>
    </row>
    <row r="602" spans="1:8" ht="15.75" thickBot="1" x14ac:dyDescent="0.3">
      <c r="A602">
        <f t="shared" si="10"/>
        <v>20</v>
      </c>
      <c r="B602" s="10">
        <v>2016</v>
      </c>
      <c r="C602" s="3" t="s">
        <v>547</v>
      </c>
      <c r="D602" s="3" t="s">
        <v>9</v>
      </c>
      <c r="E602" s="4" t="s">
        <v>7</v>
      </c>
      <c r="F602" s="11" t="s">
        <v>8</v>
      </c>
      <c r="H602" t="str">
        <f>TRIM(SUBSTITUTE(PROPER(C602)&amp;" "&amp;IF(OR(D602="County",D602="Township",D602="Village",D602="Charter Township"),D602,"")&amp;IF(D602="Township"," "&amp;"("&amp;VLOOKUP(A602,counties,3,0)&amp;")",""),"  "," "))</f>
        <v>Lovells Township (Crawford County)</v>
      </c>
    </row>
    <row r="603" spans="1:8" ht="15.75" thickBot="1" x14ac:dyDescent="0.3">
      <c r="A603">
        <f t="shared" si="10"/>
        <v>20</v>
      </c>
      <c r="B603" s="8">
        <v>2016</v>
      </c>
      <c r="C603" s="1" t="s">
        <v>548</v>
      </c>
      <c r="D603" s="1" t="s">
        <v>9</v>
      </c>
      <c r="E603" s="2" t="s">
        <v>7</v>
      </c>
      <c r="F603" s="9" t="s">
        <v>8</v>
      </c>
      <c r="H603" t="str">
        <f>TRIM(SUBSTITUTE(PROPER(C603)&amp;" "&amp;IF(OR(D603="County",D603="Township",D603="Village",D603="Charter Township"),D603,"")&amp;IF(D603="Township"," "&amp;"("&amp;VLOOKUP(A603,counties,3,0)&amp;")",""),"  "," "))</f>
        <v>Maple Forest Township (Crawford County)</v>
      </c>
    </row>
    <row r="604" spans="1:8" ht="15.75" thickBot="1" x14ac:dyDescent="0.3">
      <c r="A604">
        <f t="shared" si="10"/>
        <v>20</v>
      </c>
      <c r="B604" s="12">
        <v>2016</v>
      </c>
      <c r="C604" s="13" t="s">
        <v>549</v>
      </c>
      <c r="D604" s="13" t="s">
        <v>9</v>
      </c>
      <c r="E604" s="14" t="s">
        <v>7</v>
      </c>
      <c r="F604" s="15" t="s">
        <v>8</v>
      </c>
      <c r="H604" t="str">
        <f>TRIM(SUBSTITUTE(PROPER(C604)&amp;" "&amp;IF(OR(D604="County",D604="Township",D604="Village",D604="Charter Township"),D604,"")&amp;IF(D604="Township"," "&amp;"("&amp;VLOOKUP(A604,counties,3,0)&amp;")",""),"  "," "))</f>
        <v>South Branch Township (Crawford County)</v>
      </c>
    </row>
    <row r="605" spans="1:8" ht="16.5" thickTop="1" thickBot="1" x14ac:dyDescent="0.3">
      <c r="A605">
        <f t="shared" si="10"/>
        <v>21</v>
      </c>
      <c r="B605" s="5" t="s">
        <v>0</v>
      </c>
      <c r="C605" s="6" t="s">
        <v>1</v>
      </c>
      <c r="D605" s="6" t="s">
        <v>2</v>
      </c>
      <c r="E605" s="6" t="s">
        <v>3</v>
      </c>
      <c r="F605" s="7" t="s">
        <v>4</v>
      </c>
      <c r="H605" t="str">
        <f>TRIM(SUBSTITUTE(PROPER(C605)&amp;" "&amp;IF(OR(D605="County",D605="Township",D605="Village",D605="Charter Township"),D605,"")&amp;IF(D605="Township"," "&amp;"("&amp;VLOOKUP(A605,counties,3,0)&amp;")",""),"  "," "))</f>
        <v>Municipality</v>
      </c>
    </row>
    <row r="606" spans="1:8" ht="15.75" thickBot="1" x14ac:dyDescent="0.3">
      <c r="A606">
        <f t="shared" si="10"/>
        <v>21</v>
      </c>
      <c r="B606" s="8">
        <v>2016</v>
      </c>
      <c r="C606" s="1" t="s">
        <v>550</v>
      </c>
      <c r="D606" s="1" t="s">
        <v>9</v>
      </c>
      <c r="E606" s="2" t="s">
        <v>7</v>
      </c>
      <c r="F606" s="9" t="s">
        <v>19</v>
      </c>
      <c r="H606" t="str">
        <f>TRIM(SUBSTITUTE(PROPER(C606)&amp;" "&amp;IF(OR(D606="County",D606="Township",D606="Village",D606="Charter Township"),D606,"")&amp;IF(D606="Township"," "&amp;"("&amp;VLOOKUP(A606,counties,3,0)&amp;")",""),"  "," "))</f>
        <v>Baldwin Township (Delta County)</v>
      </c>
    </row>
    <row r="607" spans="1:8" ht="15.75" thickBot="1" x14ac:dyDescent="0.3">
      <c r="A607">
        <f t="shared" si="10"/>
        <v>21</v>
      </c>
      <c r="B607" s="10">
        <v>2016</v>
      </c>
      <c r="C607" s="3" t="s">
        <v>551</v>
      </c>
      <c r="D607" s="3" t="s">
        <v>9</v>
      </c>
      <c r="E607" s="4" t="s">
        <v>7</v>
      </c>
      <c r="F607" s="11" t="s">
        <v>552</v>
      </c>
      <c r="H607" t="str">
        <f>TRIM(SUBSTITUTE(PROPER(C607)&amp;" "&amp;IF(OR(D607="County",D607="Township",D607="Village",D607="Charter Township"),D607,"")&amp;IF(D607="Township"," "&amp;"("&amp;VLOOKUP(A607,counties,3,0)&amp;")",""),"  "," "))</f>
        <v>Bay De Noc Township (Delta County)</v>
      </c>
    </row>
    <row r="608" spans="1:8" ht="15.75" thickBot="1" x14ac:dyDescent="0.3">
      <c r="A608">
        <f t="shared" si="10"/>
        <v>21</v>
      </c>
      <c r="B608" s="8">
        <v>2016</v>
      </c>
      <c r="C608" s="1" t="s">
        <v>553</v>
      </c>
      <c r="D608" s="1" t="s">
        <v>88</v>
      </c>
      <c r="E608" s="2" t="s">
        <v>7</v>
      </c>
      <c r="F608" s="9" t="s">
        <v>8</v>
      </c>
      <c r="H608" t="str">
        <f>TRIM(SUBSTITUTE(PROPER(C608)&amp;" "&amp;IF(OR(D608="County",D608="Township",D608="Village",D608="Charter Township"),D608,"")&amp;IF(D608="Township"," "&amp;"("&amp;VLOOKUP(A608,counties,3,0)&amp;")",""),"  "," "))</f>
        <v>Bay De Noc Community College</v>
      </c>
    </row>
    <row r="609" spans="1:8" ht="15.75" thickBot="1" x14ac:dyDescent="0.3">
      <c r="A609">
        <f t="shared" si="10"/>
        <v>21</v>
      </c>
      <c r="B609" s="10">
        <v>2016</v>
      </c>
      <c r="C609" s="3" t="s">
        <v>554</v>
      </c>
      <c r="D609" s="3" t="s">
        <v>9</v>
      </c>
      <c r="E609" s="4" t="s">
        <v>7</v>
      </c>
      <c r="F609" s="11" t="s">
        <v>8</v>
      </c>
      <c r="H609" t="str">
        <f>TRIM(SUBSTITUTE(PROPER(C609)&amp;" "&amp;IF(OR(D609="County",D609="Township",D609="Village",D609="Charter Township"),D609,"")&amp;IF(D609="Township"," "&amp;"("&amp;VLOOKUP(A609,counties,3,0)&amp;")",""),"  "," "))</f>
        <v>Brampton Township (Delta County)</v>
      </c>
    </row>
    <row r="610" spans="1:8" ht="15.75" thickBot="1" x14ac:dyDescent="0.3">
      <c r="A610">
        <f t="shared" si="10"/>
        <v>21</v>
      </c>
      <c r="B610" s="8">
        <v>2016</v>
      </c>
      <c r="C610" s="1" t="s">
        <v>555</v>
      </c>
      <c r="D610" s="1" t="s">
        <v>9</v>
      </c>
      <c r="E610" s="2" t="s">
        <v>7</v>
      </c>
      <c r="F610" s="9" t="s">
        <v>8</v>
      </c>
      <c r="H610" t="str">
        <f>TRIM(SUBSTITUTE(PROPER(C610)&amp;" "&amp;IF(OR(D610="County",D610="Township",D610="Village",D610="Charter Township"),D610,"")&amp;IF(D610="Township"," "&amp;"("&amp;VLOOKUP(A610,counties,3,0)&amp;")",""),"  "," "))</f>
        <v>Cornell Township (Delta County)</v>
      </c>
    </row>
    <row r="611" spans="1:8" ht="15.75" thickBot="1" x14ac:dyDescent="0.3">
      <c r="A611">
        <f t="shared" si="10"/>
        <v>21</v>
      </c>
      <c r="B611" s="10">
        <v>2016</v>
      </c>
      <c r="C611" s="3" t="s">
        <v>556</v>
      </c>
      <c r="D611" s="3" t="s">
        <v>6</v>
      </c>
      <c r="E611" s="4" t="s">
        <v>7</v>
      </c>
      <c r="F611" s="11" t="s">
        <v>8</v>
      </c>
      <c r="H611" t="str">
        <f>TRIM(SUBSTITUTE(PROPER(C611)&amp;" "&amp;IF(OR(D611="County",D611="Township",D611="Village",D611="Charter Township"),D611,"")&amp;IF(D611="Township"," "&amp;"("&amp;VLOOKUP(A611,counties,3,0)&amp;")",""),"  "," "))</f>
        <v>Delta County</v>
      </c>
    </row>
    <row r="612" spans="1:8" ht="15.75" thickBot="1" x14ac:dyDescent="0.3">
      <c r="A612">
        <f t="shared" si="10"/>
        <v>21</v>
      </c>
      <c r="B612" s="8">
        <v>2016</v>
      </c>
      <c r="C612" s="1" t="s">
        <v>557</v>
      </c>
      <c r="D612" s="1" t="s">
        <v>17</v>
      </c>
      <c r="E612" s="2" t="s">
        <v>7</v>
      </c>
      <c r="F612" s="9" t="s">
        <v>8</v>
      </c>
      <c r="H612" t="str">
        <f>TRIM(SUBSTITUTE(PROPER(C612)&amp;" "&amp;IF(OR(D612="County",D612="Township",D612="Village",D612="Charter Township"),D612,"")&amp;IF(D612="Township"," "&amp;"("&amp;VLOOKUP(A612,counties,3,0)&amp;")",""),"  "," "))</f>
        <v>Delta Area Transit Authority</v>
      </c>
    </row>
    <row r="613" spans="1:8" ht="15.75" thickBot="1" x14ac:dyDescent="0.3">
      <c r="A613">
        <f t="shared" si="10"/>
        <v>21</v>
      </c>
      <c r="B613" s="10">
        <v>2016</v>
      </c>
      <c r="C613" s="3" t="s">
        <v>558</v>
      </c>
      <c r="D613" s="3" t="s">
        <v>17</v>
      </c>
      <c r="E613" s="4" t="s">
        <v>7</v>
      </c>
      <c r="F613" s="11" t="s">
        <v>8</v>
      </c>
      <c r="H613" t="str">
        <f>TRIM(SUBSTITUTE(PROPER(C613)&amp;" "&amp;IF(OR(D613="County",D613="Township",D613="Village",D613="Charter Township"),D613,"")&amp;IF(D613="Township"," "&amp;"("&amp;VLOOKUP(A613,counties,3,0)&amp;")",""),"  "," "))</f>
        <v>Delta County Central Dispatch Authority</v>
      </c>
    </row>
    <row r="614" spans="1:8" ht="15.75" thickBot="1" x14ac:dyDescent="0.3">
      <c r="A614">
        <f t="shared" si="10"/>
        <v>21</v>
      </c>
      <c r="B614" s="8">
        <v>2016</v>
      </c>
      <c r="C614" s="1" t="s">
        <v>559</v>
      </c>
      <c r="D614" s="1" t="s">
        <v>11</v>
      </c>
      <c r="E614" s="2" t="s">
        <v>7</v>
      </c>
      <c r="F614" s="9" t="s">
        <v>8</v>
      </c>
      <c r="H614" t="str">
        <f>TRIM(SUBSTITUTE(PROPER(C614)&amp;" "&amp;IF(OR(D614="County",D614="Township",D614="Village",D614="Charter Township"),D614,"")&amp;IF(D614="Township"," "&amp;"("&amp;VLOOKUP(A614,counties,3,0)&amp;")",""),"  "," "))</f>
        <v>Delta County Road Commission</v>
      </c>
    </row>
    <row r="615" spans="1:8" ht="15.75" thickBot="1" x14ac:dyDescent="0.3">
      <c r="A615">
        <f t="shared" si="10"/>
        <v>21</v>
      </c>
      <c r="B615" s="10">
        <v>2016</v>
      </c>
      <c r="C615" s="3" t="s">
        <v>560</v>
      </c>
      <c r="D615" s="3" t="s">
        <v>17</v>
      </c>
      <c r="E615" s="4" t="s">
        <v>7</v>
      </c>
      <c r="F615" s="11" t="s">
        <v>8</v>
      </c>
      <c r="H615" t="str">
        <f>TRIM(SUBSTITUTE(PROPER(C615)&amp;" "&amp;IF(OR(D615="County",D615="Township",D615="Village",D615="Charter Township"),D615,"")&amp;IF(D615="Township"," "&amp;"("&amp;VLOOKUP(A615,counties,3,0)&amp;")",""),"  "," "))</f>
        <v>Delta Solid Waste Management Authority</v>
      </c>
    </row>
    <row r="616" spans="1:8" ht="15.75" thickBot="1" x14ac:dyDescent="0.3">
      <c r="A616">
        <f t="shared" si="10"/>
        <v>21</v>
      </c>
      <c r="B616" s="8">
        <v>2016</v>
      </c>
      <c r="C616" s="1" t="s">
        <v>561</v>
      </c>
      <c r="D616" s="1" t="s">
        <v>15</v>
      </c>
      <c r="E616" s="2" t="s">
        <v>7</v>
      </c>
      <c r="F616" s="9" t="s">
        <v>8</v>
      </c>
      <c r="H616" t="str">
        <f>TRIM(SUBSTITUTE(PROPER(C616)&amp;" "&amp;IF(OR(D616="County",D616="Township",D616="Village",D616="Charter Township"),D616,"")&amp;IF(D616="Township"," "&amp;"("&amp;VLOOKUP(A616,counties,3,0)&amp;")",""),"  "," "))</f>
        <v>Escanaba</v>
      </c>
    </row>
    <row r="617" spans="1:8" ht="15.75" thickBot="1" x14ac:dyDescent="0.3">
      <c r="A617">
        <f t="shared" si="10"/>
        <v>21</v>
      </c>
      <c r="B617" s="10">
        <v>2016</v>
      </c>
      <c r="C617" s="3" t="s">
        <v>562</v>
      </c>
      <c r="D617" s="3" t="s">
        <v>17</v>
      </c>
      <c r="E617" s="4" t="s">
        <v>7</v>
      </c>
      <c r="F617" s="11" t="s">
        <v>8</v>
      </c>
      <c r="H617" t="str">
        <f>TRIM(SUBSTITUTE(PROPER(C617)&amp;" "&amp;IF(OR(D617="County",D617="Township",D617="Village",D617="Charter Township"),D617,"")&amp;IF(D617="Township"," "&amp;"("&amp;VLOOKUP(A617,counties,3,0)&amp;")",""),"  "," "))</f>
        <v>Escanaba City Housing Commission</v>
      </c>
    </row>
    <row r="618" spans="1:8" ht="15.75" thickBot="1" x14ac:dyDescent="0.3">
      <c r="A618">
        <f t="shared" si="10"/>
        <v>21</v>
      </c>
      <c r="B618" s="8">
        <v>2016</v>
      </c>
      <c r="C618" s="1" t="s">
        <v>563</v>
      </c>
      <c r="D618" s="1" t="s">
        <v>9</v>
      </c>
      <c r="E618" s="2" t="s">
        <v>7</v>
      </c>
      <c r="F618" s="9" t="s">
        <v>8</v>
      </c>
      <c r="H618" t="str">
        <f>TRIM(SUBSTITUTE(PROPER(C618)&amp;" "&amp;IF(OR(D618="County",D618="Township",D618="Village",D618="Charter Township"),D618,"")&amp;IF(D618="Township"," "&amp;"("&amp;VLOOKUP(A618,counties,3,0)&amp;")",""),"  "," "))</f>
        <v>Fairbanks Township (Delta County)</v>
      </c>
    </row>
    <row r="619" spans="1:8" ht="15.75" thickBot="1" x14ac:dyDescent="0.3">
      <c r="A619">
        <f t="shared" si="10"/>
        <v>21</v>
      </c>
      <c r="B619" s="10">
        <v>2016</v>
      </c>
      <c r="C619" s="3" t="s">
        <v>564</v>
      </c>
      <c r="D619" s="3" t="s">
        <v>9</v>
      </c>
      <c r="E619" s="4" t="s">
        <v>7</v>
      </c>
      <c r="F619" s="11" t="s">
        <v>19</v>
      </c>
      <c r="H619" t="str">
        <f>TRIM(SUBSTITUTE(PROPER(C619)&amp;" "&amp;IF(OR(D619="County",D619="Township",D619="Village",D619="Charter Township"),D619,"")&amp;IF(D619="Township"," "&amp;"("&amp;VLOOKUP(A619,counties,3,0)&amp;")",""),"  "," "))</f>
        <v>Ford River Township (Delta County)</v>
      </c>
    </row>
    <row r="620" spans="1:8" ht="15.75" thickBot="1" x14ac:dyDescent="0.3">
      <c r="A620">
        <f t="shared" si="10"/>
        <v>21</v>
      </c>
      <c r="B620" s="8">
        <v>2016</v>
      </c>
      <c r="C620" s="1" t="s">
        <v>565</v>
      </c>
      <c r="D620" s="1" t="s">
        <v>17</v>
      </c>
      <c r="E620" s="2" t="s">
        <v>7</v>
      </c>
      <c r="F620" s="9" t="s">
        <v>19</v>
      </c>
      <c r="H620" t="str">
        <f>TRIM(SUBSTITUTE(PROPER(C620)&amp;" "&amp;IF(OR(D620="County",D620="Township",D620="Village",D620="Charter Township"),D620,"")&amp;IF(D620="Township"," "&amp;"("&amp;VLOOKUP(A620,counties,3,0)&amp;")",""),"  "," "))</f>
        <v>Ford River Twp Water Supply System</v>
      </c>
    </row>
    <row r="621" spans="1:8" ht="15.75" thickBot="1" x14ac:dyDescent="0.3">
      <c r="A621">
        <f t="shared" si="10"/>
        <v>21</v>
      </c>
      <c r="B621" s="10">
        <v>2016</v>
      </c>
      <c r="C621" s="3" t="s">
        <v>566</v>
      </c>
      <c r="D621" s="3" t="s">
        <v>9</v>
      </c>
      <c r="E621" s="4" t="s">
        <v>7</v>
      </c>
      <c r="F621" s="11" t="s">
        <v>8</v>
      </c>
      <c r="H621" t="str">
        <f>TRIM(SUBSTITUTE(PROPER(C621)&amp;" "&amp;IF(OR(D621="County",D621="Township",D621="Village",D621="Charter Township"),D621,"")&amp;IF(D621="Township"," "&amp;"("&amp;VLOOKUP(A621,counties,3,0)&amp;")",""),"  "," "))</f>
        <v>Garden Township (Delta County)</v>
      </c>
    </row>
    <row r="622" spans="1:8" ht="15.75" thickBot="1" x14ac:dyDescent="0.3">
      <c r="A622">
        <f t="shared" si="10"/>
        <v>21</v>
      </c>
      <c r="B622" s="8">
        <v>2016</v>
      </c>
      <c r="C622" s="1" t="s">
        <v>567</v>
      </c>
      <c r="D622" s="1" t="s">
        <v>15</v>
      </c>
      <c r="E622" s="2" t="s">
        <v>7</v>
      </c>
      <c r="F622" s="9" t="s">
        <v>8</v>
      </c>
      <c r="H622" t="str">
        <f>TRIM(SUBSTITUTE(PROPER(C622)&amp;" "&amp;IF(OR(D622="County",D622="Township",D622="Village",D622="Charter Township"),D622,"")&amp;IF(D622="Township"," "&amp;"("&amp;VLOOKUP(A622,counties,3,0)&amp;")",""),"  "," "))</f>
        <v>Gladstone</v>
      </c>
    </row>
    <row r="623" spans="1:8" ht="15.75" thickBot="1" x14ac:dyDescent="0.3">
      <c r="A623">
        <f t="shared" si="10"/>
        <v>21</v>
      </c>
      <c r="B623" s="10">
        <v>2016</v>
      </c>
      <c r="C623" s="3" t="s">
        <v>568</v>
      </c>
      <c r="D623" s="3" t="s">
        <v>17</v>
      </c>
      <c r="E623" s="4" t="s">
        <v>7</v>
      </c>
      <c r="F623" s="11" t="s">
        <v>8</v>
      </c>
      <c r="H623" t="str">
        <f>TRIM(SUBSTITUTE(PROPER(C623)&amp;" "&amp;IF(OR(D623="County",D623="Township",D623="Village",D623="Charter Township"),D623,"")&amp;IF(D623="Township"," "&amp;"("&amp;VLOOKUP(A623,counties,3,0)&amp;")",""),"  "," "))</f>
        <v>Gladstone City Housing Commission</v>
      </c>
    </row>
    <row r="624" spans="1:8" ht="15.75" thickBot="1" x14ac:dyDescent="0.3">
      <c r="A624">
        <f t="shared" si="10"/>
        <v>21</v>
      </c>
      <c r="B624" s="8">
        <v>2016</v>
      </c>
      <c r="C624" s="1" t="s">
        <v>569</v>
      </c>
      <c r="D624" s="1" t="s">
        <v>9</v>
      </c>
      <c r="E624" s="2" t="s">
        <v>7</v>
      </c>
      <c r="F624" s="9" t="s">
        <v>8</v>
      </c>
      <c r="H624" t="str">
        <f>TRIM(SUBSTITUTE(PROPER(C624)&amp;" "&amp;IF(OR(D624="County",D624="Township",D624="Village",D624="Charter Township"),D624,"")&amp;IF(D624="Township"," "&amp;"("&amp;VLOOKUP(A624,counties,3,0)&amp;")",""),"  "," "))</f>
        <v>Masonville Township (Delta County)</v>
      </c>
    </row>
    <row r="625" spans="1:8" ht="15.75" thickBot="1" x14ac:dyDescent="0.3">
      <c r="A625">
        <f t="shared" si="10"/>
        <v>21</v>
      </c>
      <c r="B625" s="10">
        <v>2016</v>
      </c>
      <c r="C625" s="3" t="s">
        <v>570</v>
      </c>
      <c r="D625" s="3" t="s">
        <v>9</v>
      </c>
      <c r="E625" s="4" t="s">
        <v>7</v>
      </c>
      <c r="F625" s="11" t="s">
        <v>8</v>
      </c>
      <c r="H625" t="str">
        <f>TRIM(SUBSTITUTE(PROPER(C625)&amp;" "&amp;IF(OR(D625="County",D625="Township",D625="Village",D625="Charter Township"),D625,"")&amp;IF(D625="Township"," "&amp;"("&amp;VLOOKUP(A625,counties,3,0)&amp;")",""),"  "," "))</f>
        <v>Nahma Township (Delta County)</v>
      </c>
    </row>
    <row r="626" spans="1:8" ht="15.75" thickBot="1" x14ac:dyDescent="0.3">
      <c r="A626">
        <f t="shared" si="10"/>
        <v>21</v>
      </c>
      <c r="B626" s="8">
        <v>2016</v>
      </c>
      <c r="C626" s="1" t="s">
        <v>571</v>
      </c>
      <c r="D626" s="1" t="s">
        <v>17</v>
      </c>
      <c r="E626" s="2" t="s">
        <v>7</v>
      </c>
      <c r="F626" s="9" t="s">
        <v>8</v>
      </c>
      <c r="H626" t="str">
        <f>TRIM(SUBSTITUTE(PROPER(C626)&amp;" "&amp;IF(OR(D626="County",D626="Township",D626="Village",D626="Charter Township"),D626,"")&amp;IF(D626="Township"," "&amp;"("&amp;VLOOKUP(A626,counties,3,0)&amp;")",""),"  "," "))</f>
        <v>Nahma Twp Water Supply System</v>
      </c>
    </row>
    <row r="627" spans="1:8" ht="15.75" thickBot="1" x14ac:dyDescent="0.3">
      <c r="A627">
        <f t="shared" si="10"/>
        <v>21</v>
      </c>
      <c r="B627" s="10">
        <v>2016</v>
      </c>
      <c r="C627" s="3" t="s">
        <v>572</v>
      </c>
      <c r="D627" s="3" t="s">
        <v>17</v>
      </c>
      <c r="E627" s="4" t="s">
        <v>7</v>
      </c>
      <c r="F627" s="11" t="s">
        <v>8</v>
      </c>
      <c r="H627" t="str">
        <f>TRIM(SUBSTITUTE(PROPER(C627)&amp;" "&amp;IF(OR(D627="County",D627="Township",D627="Village",D627="Charter Township"),D627,"")&amp;IF(D627="Township"," "&amp;"("&amp;VLOOKUP(A627,counties,3,0)&amp;")",""),"  "," "))</f>
        <v>Public Health, Delta And Menominee County</v>
      </c>
    </row>
    <row r="628" spans="1:8" ht="15.75" thickBot="1" x14ac:dyDescent="0.3">
      <c r="A628">
        <f t="shared" si="10"/>
        <v>21</v>
      </c>
      <c r="B628" s="8">
        <v>2016</v>
      </c>
      <c r="C628" s="1" t="s">
        <v>573</v>
      </c>
      <c r="D628" s="1" t="s">
        <v>17</v>
      </c>
      <c r="E628" s="2" t="s">
        <v>7</v>
      </c>
      <c r="F628" s="9" t="s">
        <v>8</v>
      </c>
      <c r="H628" t="str">
        <f>TRIM(SUBSTITUTE(PROPER(C628)&amp;" "&amp;IF(OR(D628="County",D628="Township",D628="Village",D628="Charter Township"),D628,"")&amp;IF(D628="Township"," "&amp;"("&amp;VLOOKUP(A628,counties,3,0)&amp;")",""),"  "," "))</f>
        <v>Rapid River Housing Commission</v>
      </c>
    </row>
    <row r="629" spans="1:8" ht="15.75" thickBot="1" x14ac:dyDescent="0.3">
      <c r="A629">
        <f t="shared" si="10"/>
        <v>21</v>
      </c>
      <c r="B629" s="10">
        <v>2016</v>
      </c>
      <c r="C629" s="3" t="s">
        <v>574</v>
      </c>
      <c r="D629" s="3" t="s">
        <v>17</v>
      </c>
      <c r="E629" s="4" t="s">
        <v>7</v>
      </c>
      <c r="F629" s="11" t="s">
        <v>8</v>
      </c>
      <c r="H629" t="str">
        <f>TRIM(SUBSTITUTE(PROPER(C629)&amp;" "&amp;IF(OR(D629="County",D629="Township",D629="Village",D629="Charter Township"),D629,"")&amp;IF(D629="Township"," "&amp;"("&amp;VLOOKUP(A629,counties,3,0)&amp;")",""),"  "," "))</f>
        <v>Up State Fair Authority</v>
      </c>
    </row>
    <row r="630" spans="1:8" ht="15.75" thickBot="1" x14ac:dyDescent="0.3">
      <c r="A630">
        <f t="shared" si="10"/>
        <v>21</v>
      </c>
      <c r="B630" s="8">
        <v>2016</v>
      </c>
      <c r="C630" s="1" t="s">
        <v>575</v>
      </c>
      <c r="D630" s="1" t="s">
        <v>17</v>
      </c>
      <c r="E630" s="2" t="s">
        <v>7</v>
      </c>
      <c r="F630" s="9" t="s">
        <v>8</v>
      </c>
      <c r="H630" t="str">
        <f>TRIM(SUBSTITUTE(PROPER(C630)&amp;" "&amp;IF(OR(D630="County",D630="Township",D630="Village",D630="Charter Township"),D630,"")&amp;IF(D630="Township"," "&amp;"("&amp;VLOOKUP(A630,counties,3,0)&amp;")",""),"  "," "))</f>
        <v>Upper Peninsula 911 Authority</v>
      </c>
    </row>
    <row r="631" spans="1:8" ht="15.75" thickBot="1" x14ac:dyDescent="0.3">
      <c r="A631">
        <f t="shared" si="10"/>
        <v>21</v>
      </c>
      <c r="B631" s="10">
        <v>2016</v>
      </c>
      <c r="C631" s="3" t="s">
        <v>576</v>
      </c>
      <c r="D631" s="3" t="s">
        <v>17</v>
      </c>
      <c r="E631" s="4" t="s">
        <v>7</v>
      </c>
      <c r="F631" s="11" t="s">
        <v>8</v>
      </c>
      <c r="H631" t="str">
        <f>TRIM(SUBSTITUTE(PROPER(C631)&amp;" "&amp;IF(OR(D631="County",D631="Township",D631="Village",D631="Charter Township"),D631,"")&amp;IF(D631="Township"," "&amp;"("&amp;VLOOKUP(A631,counties,3,0)&amp;")",""),"  "," "))</f>
        <v>Upward Talent Council</v>
      </c>
    </row>
    <row r="632" spans="1:8" ht="15.75" thickBot="1" x14ac:dyDescent="0.3">
      <c r="A632">
        <f t="shared" si="10"/>
        <v>21</v>
      </c>
      <c r="B632" s="16">
        <v>2016</v>
      </c>
      <c r="C632" s="17" t="s">
        <v>577</v>
      </c>
      <c r="D632" s="17" t="s">
        <v>9</v>
      </c>
      <c r="E632" s="18" t="s">
        <v>7</v>
      </c>
      <c r="F632" s="19" t="s">
        <v>19</v>
      </c>
      <c r="H632" t="str">
        <f>TRIM(SUBSTITUTE(PROPER(C632)&amp;" "&amp;IF(OR(D632="County",D632="Township",D632="Village",D632="Charter Township"),D632,"")&amp;IF(D632="Township"," "&amp;"("&amp;VLOOKUP(A632,counties,3,0)&amp;")",""),"  "," "))</f>
        <v>Wells Township (Delta County)</v>
      </c>
    </row>
    <row r="633" spans="1:8" ht="16.5" thickTop="1" thickBot="1" x14ac:dyDescent="0.3">
      <c r="A633">
        <f t="shared" si="10"/>
        <v>22</v>
      </c>
      <c r="B633" s="5" t="s">
        <v>0</v>
      </c>
      <c r="C633" s="6" t="s">
        <v>1</v>
      </c>
      <c r="D633" s="6" t="s">
        <v>2</v>
      </c>
      <c r="E633" s="6" t="s">
        <v>3</v>
      </c>
      <c r="F633" s="7" t="s">
        <v>4</v>
      </c>
      <c r="H633" t="str">
        <f>TRIM(SUBSTITUTE(PROPER(C633)&amp;" "&amp;IF(OR(D633="County",D633="Township",D633="Village",D633="Charter Township"),D633,"")&amp;IF(D633="Township"," "&amp;"("&amp;VLOOKUP(A633,counties,3,0)&amp;")",""),"  "," "))</f>
        <v>Municipality</v>
      </c>
    </row>
    <row r="634" spans="1:8" ht="15.75" thickBot="1" x14ac:dyDescent="0.3">
      <c r="A634">
        <f t="shared" si="10"/>
        <v>22</v>
      </c>
      <c r="B634" s="8">
        <v>2016</v>
      </c>
      <c r="C634" s="1" t="s">
        <v>578</v>
      </c>
      <c r="D634" s="1" t="s">
        <v>9</v>
      </c>
      <c r="E634" s="2" t="s">
        <v>7</v>
      </c>
      <c r="F634" s="9" t="s">
        <v>8</v>
      </c>
      <c r="H634" t="str">
        <f>TRIM(SUBSTITUTE(PROPER(C634)&amp;" "&amp;IF(OR(D634="County",D634="Township",D634="Village",D634="Charter Township"),D634,"")&amp;IF(D634="Township"," "&amp;"("&amp;VLOOKUP(A634,counties,3,0)&amp;")",""),"  "," "))</f>
        <v>Breen Township (Dickinson County)</v>
      </c>
    </row>
    <row r="635" spans="1:8" ht="15.75" thickBot="1" x14ac:dyDescent="0.3">
      <c r="A635">
        <f t="shared" si="10"/>
        <v>22</v>
      </c>
      <c r="B635" s="10">
        <v>2016</v>
      </c>
      <c r="C635" s="3" t="s">
        <v>579</v>
      </c>
      <c r="D635" s="3" t="s">
        <v>9</v>
      </c>
      <c r="E635" s="4" t="s">
        <v>7</v>
      </c>
      <c r="F635" s="11" t="s">
        <v>8</v>
      </c>
      <c r="H635" t="str">
        <f>TRIM(SUBSTITUTE(PROPER(C635)&amp;" "&amp;IF(OR(D635="County",D635="Township",D635="Village",D635="Charter Township"),D635,"")&amp;IF(D635="Township"," "&amp;"("&amp;VLOOKUP(A635,counties,3,0)&amp;")",""),"  "," "))</f>
        <v>Breitung Charter Township (Dickinson County)</v>
      </c>
    </row>
    <row r="636" spans="1:8" ht="15.75" thickBot="1" x14ac:dyDescent="0.3">
      <c r="A636">
        <f t="shared" si="10"/>
        <v>22</v>
      </c>
      <c r="B636" s="8">
        <v>2016</v>
      </c>
      <c r="C636" s="1" t="s">
        <v>580</v>
      </c>
      <c r="D636" s="1" t="s">
        <v>17</v>
      </c>
      <c r="E636" s="2" t="s">
        <v>7</v>
      </c>
      <c r="F636" s="9" t="s">
        <v>8</v>
      </c>
      <c r="H636" t="str">
        <f>TRIM(SUBSTITUTE(PROPER(C636)&amp;" "&amp;IF(OR(D636="County",D636="Township",D636="Village",D636="Charter Township"),D636,"")&amp;IF(D636="Township"," "&amp;"("&amp;VLOOKUP(A636,counties,3,0)&amp;")",""),"  "," "))</f>
        <v>Central Landfill Authority</v>
      </c>
    </row>
    <row r="637" spans="1:8" ht="15.75" thickBot="1" x14ac:dyDescent="0.3">
      <c r="A637">
        <f t="shared" si="10"/>
        <v>22</v>
      </c>
      <c r="B637" s="10">
        <v>2016</v>
      </c>
      <c r="C637" s="3" t="s">
        <v>581</v>
      </c>
      <c r="D637" s="3" t="s">
        <v>6</v>
      </c>
      <c r="E637" s="4" t="s">
        <v>7</v>
      </c>
      <c r="F637" s="11" t="s">
        <v>8</v>
      </c>
      <c r="H637" t="str">
        <f>TRIM(SUBSTITUTE(PROPER(C637)&amp;" "&amp;IF(OR(D637="County",D637="Township",D637="Village",D637="Charter Township"),D637,"")&amp;IF(D637="Township"," "&amp;"("&amp;VLOOKUP(A637,counties,3,0)&amp;")",""),"  "," "))</f>
        <v>Dickinson County</v>
      </c>
    </row>
    <row r="638" spans="1:8" ht="15.75" thickBot="1" x14ac:dyDescent="0.3">
      <c r="A638">
        <f t="shared" si="10"/>
        <v>22</v>
      </c>
      <c r="B638" s="8">
        <v>2016</v>
      </c>
      <c r="C638" s="1" t="s">
        <v>582</v>
      </c>
      <c r="D638" s="1" t="s">
        <v>17</v>
      </c>
      <c r="E638" s="2" t="s">
        <v>7</v>
      </c>
      <c r="F638" s="9" t="s">
        <v>8</v>
      </c>
      <c r="H638" t="str">
        <f>TRIM(SUBSTITUTE(PROPER(C638)&amp;" "&amp;IF(OR(D638="County",D638="Township",D638="Village",D638="Charter Township"),D638,"")&amp;IF(D638="Township"," "&amp;"("&amp;VLOOKUP(A638,counties,3,0)&amp;")",""),"  "," "))</f>
        <v>Dickinson Co Solid Waste Mgmt Authority</v>
      </c>
    </row>
    <row r="639" spans="1:8" ht="15.75" thickBot="1" x14ac:dyDescent="0.3">
      <c r="A639">
        <f t="shared" si="10"/>
        <v>22</v>
      </c>
      <c r="B639" s="10">
        <v>2016</v>
      </c>
      <c r="C639" s="3" t="s">
        <v>583</v>
      </c>
      <c r="D639" s="3" t="s">
        <v>17</v>
      </c>
      <c r="E639" s="4" t="s">
        <v>7</v>
      </c>
      <c r="F639" s="11" t="s">
        <v>8</v>
      </c>
      <c r="H639" t="str">
        <f>TRIM(SUBSTITUTE(PROPER(C639)&amp;" "&amp;IF(OR(D639="County",D639="Township",D639="Village",D639="Charter Township"),D639,"")&amp;IF(D639="Township"," "&amp;"("&amp;VLOOKUP(A639,counties,3,0)&amp;")",""),"  "," "))</f>
        <v>Dickinson County Healthcare System</v>
      </c>
    </row>
    <row r="640" spans="1:8" ht="21.75" thickBot="1" x14ac:dyDescent="0.3">
      <c r="A640">
        <f t="shared" si="10"/>
        <v>22</v>
      </c>
      <c r="B640" s="8">
        <v>2016</v>
      </c>
      <c r="C640" s="1" t="s">
        <v>584</v>
      </c>
      <c r="D640" s="1" t="s">
        <v>17</v>
      </c>
      <c r="E640" s="2" t="s">
        <v>7</v>
      </c>
      <c r="F640" s="9" t="s">
        <v>8</v>
      </c>
      <c r="H640" t="str">
        <f>TRIM(SUBSTITUTE(PROPER(C640)&amp;" "&amp;IF(OR(D640="County",D640="Township",D640="Village",D640="Charter Township"),D640,"")&amp;IF(D640="Township"," "&amp;"("&amp;VLOOKUP(A640,counties,3,0)&amp;")",""),"  "," "))</f>
        <v>Dickinson County Healthcare System Retirement Plan</v>
      </c>
    </row>
    <row r="641" spans="1:8" ht="15.75" thickBot="1" x14ac:dyDescent="0.3">
      <c r="A641">
        <f t="shared" si="10"/>
        <v>22</v>
      </c>
      <c r="B641" s="10">
        <v>2016</v>
      </c>
      <c r="C641" s="3" t="s">
        <v>585</v>
      </c>
      <c r="D641" s="3" t="s">
        <v>11</v>
      </c>
      <c r="E641" s="4" t="s">
        <v>7</v>
      </c>
      <c r="F641" s="11" t="s">
        <v>8</v>
      </c>
      <c r="H641" t="str">
        <f>TRIM(SUBSTITUTE(PROPER(C641)&amp;" "&amp;IF(OR(D641="County",D641="Township",D641="Village",D641="Charter Township"),D641,"")&amp;IF(D641="Township"," "&amp;"("&amp;VLOOKUP(A641,counties,3,0)&amp;")",""),"  "," "))</f>
        <v>Dickinson County Road Commission</v>
      </c>
    </row>
    <row r="642" spans="1:8" ht="15.75" thickBot="1" x14ac:dyDescent="0.3">
      <c r="A642">
        <f t="shared" si="10"/>
        <v>22</v>
      </c>
      <c r="B642" s="8">
        <v>2016</v>
      </c>
      <c r="C642" s="1" t="s">
        <v>586</v>
      </c>
      <c r="D642" s="1" t="s">
        <v>9</v>
      </c>
      <c r="E642" s="2" t="s">
        <v>7</v>
      </c>
      <c r="F642" s="9" t="s">
        <v>8</v>
      </c>
      <c r="H642" t="str">
        <f>TRIM(SUBSTITUTE(PROPER(C642)&amp;" "&amp;IF(OR(D642="County",D642="Township",D642="Village",D642="Charter Township"),D642,"")&amp;IF(D642="Township"," "&amp;"("&amp;VLOOKUP(A642,counties,3,0)&amp;")",""),"  "," "))</f>
        <v>Felch Township (Dickinson County)</v>
      </c>
    </row>
    <row r="643" spans="1:8" ht="15.75" thickBot="1" x14ac:dyDescent="0.3">
      <c r="A643">
        <f t="shared" ref="A643:A706" si="11">IF(B643="Year",A642+1,A642)</f>
        <v>22</v>
      </c>
      <c r="B643" s="10">
        <v>2016</v>
      </c>
      <c r="C643" s="3" t="s">
        <v>587</v>
      </c>
      <c r="D643" s="3" t="s">
        <v>15</v>
      </c>
      <c r="E643" s="4" t="s">
        <v>7</v>
      </c>
      <c r="F643" s="11" t="s">
        <v>8</v>
      </c>
      <c r="H643" t="str">
        <f>TRIM(SUBSTITUTE(PROPER(C643)&amp;" "&amp;IF(OR(D643="County",D643="Township",D643="Village",D643="Charter Township"),D643,"")&amp;IF(D643="Township"," "&amp;"("&amp;VLOOKUP(A643,counties,3,0)&amp;")",""),"  "," "))</f>
        <v>Iron Mountain</v>
      </c>
    </row>
    <row r="644" spans="1:8" ht="15.75" thickBot="1" x14ac:dyDescent="0.3">
      <c r="A644">
        <f t="shared" si="11"/>
        <v>22</v>
      </c>
      <c r="B644" s="8">
        <v>2016</v>
      </c>
      <c r="C644" s="1" t="s">
        <v>588</v>
      </c>
      <c r="D644" s="1" t="s">
        <v>17</v>
      </c>
      <c r="E644" s="2" t="s">
        <v>7</v>
      </c>
      <c r="F644" s="9" t="s">
        <v>8</v>
      </c>
      <c r="H644" t="str">
        <f>TRIM(SUBSTITUTE(PROPER(C644)&amp;" "&amp;IF(OR(D644="County",D644="Township",D644="Village",D644="Charter Township"),D644,"")&amp;IF(D644="Township"," "&amp;"("&amp;VLOOKUP(A644,counties,3,0)&amp;")",""),"  "," "))</f>
        <v>Iron Mountain City Housing Commission</v>
      </c>
    </row>
    <row r="645" spans="1:8" ht="15.75" thickBot="1" x14ac:dyDescent="0.3">
      <c r="A645">
        <f t="shared" si="11"/>
        <v>22</v>
      </c>
      <c r="B645" s="10">
        <v>2016</v>
      </c>
      <c r="C645" s="3" t="s">
        <v>589</v>
      </c>
      <c r="D645" s="3" t="s">
        <v>17</v>
      </c>
      <c r="E645" s="4" t="s">
        <v>7</v>
      </c>
      <c r="F645" s="11" t="s">
        <v>8</v>
      </c>
      <c r="H645" t="str">
        <f>TRIM(SUBSTITUTE(PROPER(C645)&amp;" "&amp;IF(OR(D645="County",D645="Township",D645="Village",D645="Charter Township"),D645,"")&amp;IF(D645="Township"," "&amp;"("&amp;VLOOKUP(A645,counties,3,0)&amp;")",""),"  "," "))</f>
        <v>Iron Mountain-Kingsford Joint Sewage Authority</v>
      </c>
    </row>
    <row r="646" spans="1:8" ht="15.75" thickBot="1" x14ac:dyDescent="0.3">
      <c r="A646">
        <f t="shared" si="11"/>
        <v>22</v>
      </c>
      <c r="B646" s="8">
        <v>2016</v>
      </c>
      <c r="C646" s="1" t="s">
        <v>590</v>
      </c>
      <c r="D646" s="1" t="s">
        <v>15</v>
      </c>
      <c r="E646" s="2" t="s">
        <v>7</v>
      </c>
      <c r="F646" s="9" t="s">
        <v>8</v>
      </c>
      <c r="H646" t="str">
        <f>TRIM(SUBSTITUTE(PROPER(C646)&amp;" "&amp;IF(OR(D646="County",D646="Township",D646="Village",D646="Charter Township"),D646,"")&amp;IF(D646="Township"," "&amp;"("&amp;VLOOKUP(A646,counties,3,0)&amp;")",""),"  "," "))</f>
        <v>Kingsford</v>
      </c>
    </row>
    <row r="647" spans="1:8" ht="15.75" thickBot="1" x14ac:dyDescent="0.3">
      <c r="A647">
        <f t="shared" si="11"/>
        <v>22</v>
      </c>
      <c r="B647" s="10">
        <v>2016</v>
      </c>
      <c r="C647" s="3" t="s">
        <v>591</v>
      </c>
      <c r="D647" s="3" t="s">
        <v>17</v>
      </c>
      <c r="E647" s="4" t="s">
        <v>7</v>
      </c>
      <c r="F647" s="11" t="s">
        <v>8</v>
      </c>
      <c r="H647" t="str">
        <f>TRIM(SUBSTITUTE(PROPER(C647)&amp;" "&amp;IF(OR(D647="County",D647="Township",D647="Village",D647="Charter Township"),D647,"")&amp;IF(D647="Township"," "&amp;"("&amp;VLOOKUP(A647,counties,3,0)&amp;")",""),"  "," "))</f>
        <v>Kingsford City Housing Commission</v>
      </c>
    </row>
    <row r="648" spans="1:8" ht="15.75" thickBot="1" x14ac:dyDescent="0.3">
      <c r="A648">
        <f t="shared" si="11"/>
        <v>22</v>
      </c>
      <c r="B648" s="8">
        <v>2016</v>
      </c>
      <c r="C648" s="1" t="s">
        <v>592</v>
      </c>
      <c r="D648" s="1" t="s">
        <v>17</v>
      </c>
      <c r="E648" s="2" t="s">
        <v>7</v>
      </c>
      <c r="F648" s="9" t="s">
        <v>8</v>
      </c>
      <c r="H648" t="str">
        <f>TRIM(SUBSTITUTE(PROPER(C648)&amp;" "&amp;IF(OR(D648="County",D648="Township",D648="Village",D648="Charter Township"),D648,"")&amp;IF(D648="Township"," "&amp;"("&amp;VLOOKUP(A648,counties,3,0)&amp;")",""),"  "," "))</f>
        <v>Northpointe Behavioral Healthcare Systems</v>
      </c>
    </row>
    <row r="649" spans="1:8" ht="15.75" thickBot="1" x14ac:dyDescent="0.3">
      <c r="A649">
        <f t="shared" si="11"/>
        <v>22</v>
      </c>
      <c r="B649" s="10">
        <v>2016</v>
      </c>
      <c r="C649" s="3" t="s">
        <v>593</v>
      </c>
      <c r="D649" s="3" t="s">
        <v>15</v>
      </c>
      <c r="E649" s="4" t="s">
        <v>7</v>
      </c>
      <c r="F649" s="11" t="s">
        <v>8</v>
      </c>
      <c r="H649" t="str">
        <f>TRIM(SUBSTITUTE(PROPER(C649)&amp;" "&amp;IF(OR(D649="County",D649="Township",D649="Village",D649="Charter Township"),D649,"")&amp;IF(D649="Township"," "&amp;"("&amp;VLOOKUP(A649,counties,3,0)&amp;")",""),"  "," "))</f>
        <v>Norway</v>
      </c>
    </row>
    <row r="650" spans="1:8" ht="15.75" thickBot="1" x14ac:dyDescent="0.3">
      <c r="A650">
        <f t="shared" si="11"/>
        <v>22</v>
      </c>
      <c r="B650" s="8">
        <v>2016</v>
      </c>
      <c r="C650" s="1" t="s">
        <v>593</v>
      </c>
      <c r="D650" s="1" t="s">
        <v>9</v>
      </c>
      <c r="E650" s="2" t="s">
        <v>7</v>
      </c>
      <c r="F650" s="9" t="s">
        <v>19</v>
      </c>
      <c r="H650" t="str">
        <f>TRIM(SUBSTITUTE(PROPER(C650)&amp;" "&amp;IF(OR(D650="County",D650="Township",D650="Village",D650="Charter Township"),D650,"")&amp;IF(D650="Township"," "&amp;"("&amp;VLOOKUP(A650,counties,3,0)&amp;")",""),"  "," "))</f>
        <v>Norway Township (Dickinson County)</v>
      </c>
    </row>
    <row r="651" spans="1:8" ht="15.75" thickBot="1" x14ac:dyDescent="0.3">
      <c r="A651">
        <f t="shared" si="11"/>
        <v>22</v>
      </c>
      <c r="B651" s="12">
        <v>2016</v>
      </c>
      <c r="C651" s="13" t="s">
        <v>594</v>
      </c>
      <c r="D651" s="13" t="s">
        <v>9</v>
      </c>
      <c r="E651" s="14" t="s">
        <v>7</v>
      </c>
      <c r="F651" s="15" t="s">
        <v>8</v>
      </c>
      <c r="H651" t="str">
        <f>TRIM(SUBSTITUTE(PROPER(C651)&amp;" "&amp;IF(OR(D651="County",D651="Township",D651="Village",D651="Charter Township"),D651,"")&amp;IF(D651="Township"," "&amp;"("&amp;VLOOKUP(A651,counties,3,0)&amp;")",""),"  "," "))</f>
        <v>Sagola Township (Dickinson County)</v>
      </c>
    </row>
    <row r="652" spans="1:8" ht="16.5" thickTop="1" thickBot="1" x14ac:dyDescent="0.3">
      <c r="A652">
        <f t="shared" si="11"/>
        <v>23</v>
      </c>
      <c r="B652" s="5" t="s">
        <v>0</v>
      </c>
      <c r="C652" s="6" t="s">
        <v>1</v>
      </c>
      <c r="D652" s="6" t="s">
        <v>2</v>
      </c>
      <c r="E652" s="6" t="s">
        <v>3</v>
      </c>
      <c r="F652" s="7" t="s">
        <v>4</v>
      </c>
      <c r="H652" t="str">
        <f>TRIM(SUBSTITUTE(PROPER(C652)&amp;" "&amp;IF(OR(D652="County",D652="Township",D652="Village",D652="Charter Township"),D652,"")&amp;IF(D652="Township"," "&amp;"("&amp;VLOOKUP(A652,counties,3,0)&amp;")",""),"  "," "))</f>
        <v>Municipality</v>
      </c>
    </row>
    <row r="653" spans="1:8" ht="15.75" thickBot="1" x14ac:dyDescent="0.3">
      <c r="A653">
        <f t="shared" si="11"/>
        <v>23</v>
      </c>
      <c r="B653" s="8">
        <v>2016</v>
      </c>
      <c r="C653" s="1" t="s">
        <v>595</v>
      </c>
      <c r="D653" s="1" t="s">
        <v>17</v>
      </c>
      <c r="E653" s="2" t="s">
        <v>7</v>
      </c>
      <c r="F653" s="9" t="s">
        <v>8</v>
      </c>
      <c r="H653" t="str">
        <f>TRIM(SUBSTITUTE(PROPER(C653)&amp;" "&amp;IF(OR(D653="County",D653="Township",D653="Village",D653="Charter Township"),D653,"")&amp;IF(D653="Township"," "&amp;"("&amp;VLOOKUP(A653,counties,3,0)&amp;")",""),"  "," "))</f>
        <v>Bellevue Community Fire Control Board</v>
      </c>
    </row>
    <row r="654" spans="1:8" ht="15.75" thickBot="1" x14ac:dyDescent="0.3">
      <c r="A654">
        <f t="shared" si="11"/>
        <v>23</v>
      </c>
      <c r="B654" s="10">
        <v>2016</v>
      </c>
      <c r="C654" s="3" t="s">
        <v>596</v>
      </c>
      <c r="D654" s="3" t="s">
        <v>9</v>
      </c>
      <c r="E654" s="4" t="s">
        <v>7</v>
      </c>
      <c r="F654" s="11" t="s">
        <v>8</v>
      </c>
      <c r="H654" t="str">
        <f>TRIM(SUBSTITUTE(PROPER(C654)&amp;" "&amp;IF(OR(D654="County",D654="Township",D654="Village",D654="Charter Township"),D654,"")&amp;IF(D654="Township"," "&amp;"("&amp;VLOOKUP(A654,counties,3,0)&amp;")",""),"  "," "))</f>
        <v>Benton Township (Eaton County)</v>
      </c>
    </row>
    <row r="655" spans="1:8" ht="15.75" thickBot="1" x14ac:dyDescent="0.3">
      <c r="A655">
        <f t="shared" si="11"/>
        <v>23</v>
      </c>
      <c r="B655" s="8">
        <v>2016</v>
      </c>
      <c r="C655" s="1" t="s">
        <v>597</v>
      </c>
      <c r="D655" s="1" t="s">
        <v>9</v>
      </c>
      <c r="E655" s="2" t="s">
        <v>7</v>
      </c>
      <c r="F655" s="9" t="s">
        <v>19</v>
      </c>
      <c r="H655" t="str">
        <f>TRIM(SUBSTITUTE(PROPER(C655)&amp;" "&amp;IF(OR(D655="County",D655="Township",D655="Village",D655="Charter Township"),D655,"")&amp;IF(D655="Township"," "&amp;"("&amp;VLOOKUP(A655,counties,3,0)&amp;")",""),"  "," "))</f>
        <v>Brookfield Township (Eaton County)</v>
      </c>
    </row>
    <row r="656" spans="1:8" ht="15.75" thickBot="1" x14ac:dyDescent="0.3">
      <c r="A656">
        <f t="shared" si="11"/>
        <v>23</v>
      </c>
      <c r="B656" s="10">
        <v>2016</v>
      </c>
      <c r="C656" s="3" t="s">
        <v>598</v>
      </c>
      <c r="D656" s="3" t="s">
        <v>9</v>
      </c>
      <c r="E656" s="4" t="s">
        <v>7</v>
      </c>
      <c r="F656" s="11" t="s">
        <v>8</v>
      </c>
      <c r="H656" t="str">
        <f>TRIM(SUBSTITUTE(PROPER(C656)&amp;" "&amp;IF(OR(D656="County",D656="Township",D656="Village",D656="Charter Township"),D656,"")&amp;IF(D656="Township"," "&amp;"("&amp;VLOOKUP(A656,counties,3,0)&amp;")",""),"  "," "))</f>
        <v>Carmel Township (Eaton County)</v>
      </c>
    </row>
    <row r="657" spans="1:8" ht="15.75" thickBot="1" x14ac:dyDescent="0.3">
      <c r="A657">
        <f t="shared" si="11"/>
        <v>23</v>
      </c>
      <c r="B657" s="8">
        <v>2016</v>
      </c>
      <c r="C657" s="1" t="s">
        <v>599</v>
      </c>
      <c r="D657" s="1" t="s">
        <v>15</v>
      </c>
      <c r="E657" s="2" t="s">
        <v>7</v>
      </c>
      <c r="F657" s="9" t="s">
        <v>8</v>
      </c>
      <c r="H657" t="str">
        <f>TRIM(SUBSTITUTE(PROPER(C657)&amp;" "&amp;IF(OR(D657="County",D657="Township",D657="Village",D657="Charter Township"),D657,"")&amp;IF(D657="Township"," "&amp;"("&amp;VLOOKUP(A657,counties,3,0)&amp;")",""),"  "," "))</f>
        <v>Charlotte</v>
      </c>
    </row>
    <row r="658" spans="1:8" ht="15.75" thickBot="1" x14ac:dyDescent="0.3">
      <c r="A658">
        <f t="shared" si="11"/>
        <v>23</v>
      </c>
      <c r="B658" s="10">
        <v>2016</v>
      </c>
      <c r="C658" s="3" t="s">
        <v>600</v>
      </c>
      <c r="D658" s="3" t="s">
        <v>42</v>
      </c>
      <c r="E658" s="4" t="s">
        <v>7</v>
      </c>
      <c r="F658" s="11" t="s">
        <v>8</v>
      </c>
      <c r="H658" t="str">
        <f>TRIM(SUBSTITUTE(PROPER(C658)&amp;" "&amp;IF(OR(D658="County",D658="Township",D658="Village",D658="Charter Township"),D658,"")&amp;IF(D658="Township"," "&amp;"("&amp;VLOOKUP(A658,counties,3,0)&amp;")",""),"  "," "))</f>
        <v>Charlotte Community Library</v>
      </c>
    </row>
    <row r="659" spans="1:8" ht="15.75" thickBot="1" x14ac:dyDescent="0.3">
      <c r="A659">
        <f t="shared" si="11"/>
        <v>23</v>
      </c>
      <c r="B659" s="8">
        <v>2016</v>
      </c>
      <c r="C659" s="1" t="s">
        <v>601</v>
      </c>
      <c r="D659" s="1" t="s">
        <v>9</v>
      </c>
      <c r="E659" s="2" t="s">
        <v>7</v>
      </c>
      <c r="F659" s="9" t="s">
        <v>8</v>
      </c>
      <c r="H659" t="str">
        <f>TRIM(SUBSTITUTE(PROPER(C659)&amp;" "&amp;IF(OR(D659="County",D659="Township",D659="Village",D659="Charter Township"),D659,"")&amp;IF(D659="Township"," "&amp;"("&amp;VLOOKUP(A659,counties,3,0)&amp;")",""),"  "," "))</f>
        <v>Chester Township (Eaton County)</v>
      </c>
    </row>
    <row r="660" spans="1:8" ht="15.75" thickBot="1" x14ac:dyDescent="0.3">
      <c r="A660">
        <f t="shared" si="11"/>
        <v>23</v>
      </c>
      <c r="B660" s="10">
        <v>2016</v>
      </c>
      <c r="C660" s="3" t="s">
        <v>602</v>
      </c>
      <c r="D660" s="3" t="s">
        <v>9</v>
      </c>
      <c r="E660" s="4" t="s">
        <v>7</v>
      </c>
      <c r="F660" s="11" t="s">
        <v>8</v>
      </c>
      <c r="H660" t="str">
        <f>TRIM(SUBSTITUTE(PROPER(C660)&amp;" "&amp;IF(OR(D660="County",D660="Township",D660="Village",D660="Charter Township"),D660,"")&amp;IF(D660="Township"," "&amp;"("&amp;VLOOKUP(A660,counties,3,0)&amp;")",""),"  "," "))</f>
        <v>Delta Charter Township Township (Eaton County)</v>
      </c>
    </row>
    <row r="661" spans="1:8" ht="15.75" thickBot="1" x14ac:dyDescent="0.3">
      <c r="A661">
        <f t="shared" si="11"/>
        <v>23</v>
      </c>
      <c r="B661" s="8">
        <v>2016</v>
      </c>
      <c r="C661" s="1" t="s">
        <v>603</v>
      </c>
      <c r="D661" s="1" t="s">
        <v>42</v>
      </c>
      <c r="E661" s="2" t="s">
        <v>7</v>
      </c>
      <c r="F661" s="9" t="s">
        <v>8</v>
      </c>
      <c r="H661" t="str">
        <f>TRIM(SUBSTITUTE(PROPER(C661)&amp;" "&amp;IF(OR(D661="County",D661="Township",D661="Village",D661="Charter Township"),D661,"")&amp;IF(D661="Township"," "&amp;"("&amp;VLOOKUP(A661,counties,3,0)&amp;")",""),"  "," "))</f>
        <v>Delta Twp District Library</v>
      </c>
    </row>
    <row r="662" spans="1:8" ht="15.75" thickBot="1" x14ac:dyDescent="0.3">
      <c r="A662">
        <f t="shared" si="11"/>
        <v>23</v>
      </c>
      <c r="B662" s="10">
        <v>2016</v>
      </c>
      <c r="C662" s="3" t="s">
        <v>604</v>
      </c>
      <c r="D662" s="3" t="s">
        <v>21</v>
      </c>
      <c r="E662" s="4" t="s">
        <v>7</v>
      </c>
      <c r="F662" s="11" t="s">
        <v>19</v>
      </c>
      <c r="H662" t="str">
        <f>TRIM(SUBSTITUTE(PROPER(C662)&amp;" "&amp;IF(OR(D662="County",D662="Township",D662="Village",D662="Charter Township"),D662,"")&amp;IF(D662="Township"," "&amp;"("&amp;VLOOKUP(A662,counties,3,0)&amp;")",""),"  "," "))</f>
        <v>Dimondale Village</v>
      </c>
    </row>
    <row r="663" spans="1:8" ht="15.75" thickBot="1" x14ac:dyDescent="0.3">
      <c r="A663">
        <f t="shared" si="11"/>
        <v>23</v>
      </c>
      <c r="B663" s="8">
        <v>2016</v>
      </c>
      <c r="C663" s="1" t="s">
        <v>605</v>
      </c>
      <c r="D663" s="1" t="s">
        <v>42</v>
      </c>
      <c r="E663" s="2" t="s">
        <v>7</v>
      </c>
      <c r="F663" s="9" t="s">
        <v>8</v>
      </c>
      <c r="H663" t="str">
        <f>TRIM(SUBSTITUTE(PROPER(C663)&amp;" "&amp;IF(OR(D663="County",D663="Township",D663="Village",D663="Charter Township"),D663,"")&amp;IF(D663="Township"," "&amp;"("&amp;VLOOKUP(A663,counties,3,0)&amp;")",""),"  "," "))</f>
        <v>Dorothy Hull Library Of Windsor Twp</v>
      </c>
    </row>
    <row r="664" spans="1:8" ht="15.75" thickBot="1" x14ac:dyDescent="0.3">
      <c r="A664">
        <f t="shared" si="11"/>
        <v>23</v>
      </c>
      <c r="B664" s="10">
        <v>2016</v>
      </c>
      <c r="C664" s="3" t="s">
        <v>606</v>
      </c>
      <c r="D664" s="3" t="s">
        <v>6</v>
      </c>
      <c r="E664" s="4" t="s">
        <v>7</v>
      </c>
      <c r="F664" s="11" t="s">
        <v>8</v>
      </c>
      <c r="H664" t="str">
        <f>TRIM(SUBSTITUTE(PROPER(C664)&amp;" "&amp;IF(OR(D664="County",D664="Township",D664="Village",D664="Charter Township"),D664,"")&amp;IF(D664="Township"," "&amp;"("&amp;VLOOKUP(A664,counties,3,0)&amp;")",""),"  "," "))</f>
        <v>Eaton County</v>
      </c>
    </row>
    <row r="665" spans="1:8" ht="15.75" thickBot="1" x14ac:dyDescent="0.3">
      <c r="A665">
        <f t="shared" si="11"/>
        <v>23</v>
      </c>
      <c r="B665" s="8">
        <v>2016</v>
      </c>
      <c r="C665" s="1" t="s">
        <v>606</v>
      </c>
      <c r="D665" s="1" t="s">
        <v>9</v>
      </c>
      <c r="E665" s="2" t="s">
        <v>7</v>
      </c>
      <c r="F665" s="9" t="s">
        <v>8</v>
      </c>
      <c r="H665" t="str">
        <f>TRIM(SUBSTITUTE(PROPER(C665)&amp;" "&amp;IF(OR(D665="County",D665="Township",D665="Village",D665="Charter Township"),D665,"")&amp;IF(D665="Township"," "&amp;"("&amp;VLOOKUP(A665,counties,3,0)&amp;")",""),"  "," "))</f>
        <v>Eaton Township (Eaton County)</v>
      </c>
    </row>
    <row r="666" spans="1:8" ht="21.75" thickBot="1" x14ac:dyDescent="0.3">
      <c r="A666">
        <f t="shared" si="11"/>
        <v>23</v>
      </c>
      <c r="B666" s="10">
        <v>2016</v>
      </c>
      <c r="C666" s="3" t="s">
        <v>607</v>
      </c>
      <c r="D666" s="3" t="s">
        <v>425</v>
      </c>
      <c r="E666" s="4" t="s">
        <v>7</v>
      </c>
      <c r="F666" s="11" t="s">
        <v>8</v>
      </c>
      <c r="H666" t="str">
        <f>TRIM(SUBSTITUTE(PROPER(C666)&amp;" "&amp;IF(OR(D666="County",D666="Township",D666="Village",D666="Charter Township"),D666,"")&amp;IF(D666="Township"," "&amp;"("&amp;VLOOKUP(A666,counties,3,0)&amp;")",""),"  "," "))</f>
        <v>Eaton County Health &amp; Rehabiliation Services</v>
      </c>
    </row>
    <row r="667" spans="1:8" ht="15.75" thickBot="1" x14ac:dyDescent="0.3">
      <c r="A667">
        <f t="shared" si="11"/>
        <v>23</v>
      </c>
      <c r="B667" s="8">
        <v>2016</v>
      </c>
      <c r="C667" s="1" t="s">
        <v>608</v>
      </c>
      <c r="D667" s="1" t="s">
        <v>11</v>
      </c>
      <c r="E667" s="2" t="s">
        <v>7</v>
      </c>
      <c r="F667" s="9" t="s">
        <v>8</v>
      </c>
      <c r="H667" t="str">
        <f>TRIM(SUBSTITUTE(PROPER(C667)&amp;" "&amp;IF(OR(D667="County",D667="Township",D667="Village",D667="Charter Township"),D667,"")&amp;IF(D667="Township"," "&amp;"("&amp;VLOOKUP(A667,counties,3,0)&amp;")",""),"  "," "))</f>
        <v>Eaton County Road Commission</v>
      </c>
    </row>
    <row r="668" spans="1:8" ht="15.75" thickBot="1" x14ac:dyDescent="0.3">
      <c r="A668">
        <f t="shared" si="11"/>
        <v>23</v>
      </c>
      <c r="B668" s="10">
        <v>2016</v>
      </c>
      <c r="C668" s="3" t="s">
        <v>609</v>
      </c>
      <c r="D668" s="3" t="s">
        <v>17</v>
      </c>
      <c r="E668" s="4" t="s">
        <v>7</v>
      </c>
      <c r="F668" s="11" t="s">
        <v>8</v>
      </c>
      <c r="H668" t="str">
        <f>TRIM(SUBSTITUTE(PROPER(C668)&amp;" "&amp;IF(OR(D668="County",D668="Township",D668="Village",D668="Charter Township"),D668,"")&amp;IF(D668="Township"," "&amp;"("&amp;VLOOKUP(A668,counties,3,0)&amp;")",""),"  "," "))</f>
        <v>Eaton County Transportation Authority</v>
      </c>
    </row>
    <row r="669" spans="1:8" ht="15.75" thickBot="1" x14ac:dyDescent="0.3">
      <c r="A669">
        <f t="shared" si="11"/>
        <v>23</v>
      </c>
      <c r="B669" s="8">
        <v>2016</v>
      </c>
      <c r="C669" s="1" t="s">
        <v>610</v>
      </c>
      <c r="D669" s="1" t="s">
        <v>15</v>
      </c>
      <c r="E669" s="2" t="s">
        <v>7</v>
      </c>
      <c r="F669" s="9" t="s">
        <v>8</v>
      </c>
      <c r="H669" t="str">
        <f>TRIM(SUBSTITUTE(PROPER(C669)&amp;" "&amp;IF(OR(D669="County",D669="Township",D669="Village",D669="Charter Township"),D669,"")&amp;IF(D669="Township"," "&amp;"("&amp;VLOOKUP(A669,counties,3,0)&amp;")",""),"  "," "))</f>
        <v>Eaton Rapids</v>
      </c>
    </row>
    <row r="670" spans="1:8" ht="15.75" thickBot="1" x14ac:dyDescent="0.3">
      <c r="A670">
        <f t="shared" si="11"/>
        <v>23</v>
      </c>
      <c r="B670" s="10">
        <v>2016</v>
      </c>
      <c r="C670" s="3" t="s">
        <v>610</v>
      </c>
      <c r="D670" s="3" t="s">
        <v>9</v>
      </c>
      <c r="E670" s="4" t="s">
        <v>7</v>
      </c>
      <c r="F670" s="11" t="s">
        <v>19</v>
      </c>
      <c r="H670" t="str">
        <f>TRIM(SUBSTITUTE(PROPER(C670)&amp;" "&amp;IF(OR(D670="County",D670="Township",D670="Village",D670="Charter Township"),D670,"")&amp;IF(D670="Township"," "&amp;"("&amp;VLOOKUP(A670,counties,3,0)&amp;")",""),"  "," "))</f>
        <v>Eaton Rapids Township (Eaton County)</v>
      </c>
    </row>
    <row r="671" spans="1:8" ht="15.75" thickBot="1" x14ac:dyDescent="0.3">
      <c r="A671">
        <f t="shared" si="11"/>
        <v>23</v>
      </c>
      <c r="B671" s="8">
        <v>2016</v>
      </c>
      <c r="C671" s="1" t="s">
        <v>611</v>
      </c>
      <c r="D671" s="1" t="s">
        <v>15</v>
      </c>
      <c r="E671" s="2" t="s">
        <v>7</v>
      </c>
      <c r="F671" s="9" t="s">
        <v>8</v>
      </c>
      <c r="H671" t="str">
        <f>TRIM(SUBSTITUTE(PROPER(C671)&amp;" "&amp;IF(OR(D671="County",D671="Township",D671="Village",D671="Charter Township"),D671,"")&amp;IF(D671="Township"," "&amp;"("&amp;VLOOKUP(A671,counties,3,0)&amp;")",""),"  "," "))</f>
        <v>Grand Ledge</v>
      </c>
    </row>
    <row r="672" spans="1:8" ht="15.75" thickBot="1" x14ac:dyDescent="0.3">
      <c r="A672">
        <f t="shared" si="11"/>
        <v>23</v>
      </c>
      <c r="B672" s="10">
        <v>2016</v>
      </c>
      <c r="C672" s="3" t="s">
        <v>612</v>
      </c>
      <c r="D672" s="3" t="s">
        <v>42</v>
      </c>
      <c r="E672" s="4" t="s">
        <v>7</v>
      </c>
      <c r="F672" s="11" t="s">
        <v>8</v>
      </c>
      <c r="H672" t="str">
        <f>TRIM(SUBSTITUTE(PROPER(C672)&amp;" "&amp;IF(OR(D672="County",D672="Township",D672="Village",D672="Charter Township"),D672,"")&amp;IF(D672="Township"," "&amp;"("&amp;VLOOKUP(A672,counties,3,0)&amp;")",""),"  "," "))</f>
        <v>Grand Ledge Area District Library</v>
      </c>
    </row>
    <row r="673" spans="1:8" ht="15.75" thickBot="1" x14ac:dyDescent="0.3">
      <c r="A673">
        <f t="shared" si="11"/>
        <v>23</v>
      </c>
      <c r="B673" s="8">
        <v>2016</v>
      </c>
      <c r="C673" s="1" t="s">
        <v>613</v>
      </c>
      <c r="D673" s="1" t="s">
        <v>17</v>
      </c>
      <c r="E673" s="2" t="s">
        <v>7</v>
      </c>
      <c r="F673" s="9" t="s">
        <v>8</v>
      </c>
      <c r="H673" t="str">
        <f>TRIM(SUBSTITUTE(PROPER(C673)&amp;" "&amp;IF(OR(D673="County",D673="Township",D673="Village",D673="Charter Township"),D673,"")&amp;IF(D673="Township"," "&amp;"("&amp;VLOOKUP(A673,counties,3,0)&amp;")",""),"  "," "))</f>
        <v>Grand Ledge Area Emergency Services Authority</v>
      </c>
    </row>
    <row r="674" spans="1:8" ht="15.75" thickBot="1" x14ac:dyDescent="0.3">
      <c r="A674">
        <f t="shared" si="11"/>
        <v>23</v>
      </c>
      <c r="B674" s="10">
        <v>2016</v>
      </c>
      <c r="C674" s="3" t="s">
        <v>614</v>
      </c>
      <c r="D674" s="3" t="s">
        <v>9</v>
      </c>
      <c r="E674" s="4" t="s">
        <v>7</v>
      </c>
      <c r="F674" s="11" t="s">
        <v>19</v>
      </c>
      <c r="H674" t="str">
        <f>TRIM(SUBSTITUTE(PROPER(C674)&amp;" "&amp;IF(OR(D674="County",D674="Township",D674="Village",D674="Charter Township"),D674,"")&amp;IF(D674="Township"," "&amp;"("&amp;VLOOKUP(A674,counties,3,0)&amp;")",""),"  "," "))</f>
        <v>Hamlin Township (Eaton County)</v>
      </c>
    </row>
    <row r="675" spans="1:8" ht="15.75" thickBot="1" x14ac:dyDescent="0.3">
      <c r="A675">
        <f t="shared" si="11"/>
        <v>23</v>
      </c>
      <c r="B675" s="8">
        <v>2016</v>
      </c>
      <c r="C675" s="1" t="s">
        <v>615</v>
      </c>
      <c r="D675" s="1" t="s">
        <v>9</v>
      </c>
      <c r="E675" s="2" t="s">
        <v>7</v>
      </c>
      <c r="F675" s="9" t="s">
        <v>8</v>
      </c>
      <c r="H675" t="str">
        <f>TRIM(SUBSTITUTE(PROPER(C675)&amp;" "&amp;IF(OR(D675="County",D675="Township",D675="Village",D675="Charter Township"),D675,"")&amp;IF(D675="Township"," "&amp;"("&amp;VLOOKUP(A675,counties,3,0)&amp;")",""),"  "," "))</f>
        <v>Kalamo Township (Eaton County)</v>
      </c>
    </row>
    <row r="676" spans="1:8" ht="15.75" thickBot="1" x14ac:dyDescent="0.3">
      <c r="A676">
        <f t="shared" si="11"/>
        <v>23</v>
      </c>
      <c r="B676" s="10">
        <v>2016</v>
      </c>
      <c r="C676" s="3" t="s">
        <v>616</v>
      </c>
      <c r="D676" s="3" t="s">
        <v>21</v>
      </c>
      <c r="E676" s="4" t="s">
        <v>7</v>
      </c>
      <c r="F676" s="11" t="s">
        <v>8</v>
      </c>
      <c r="H676" t="str">
        <f>TRIM(SUBSTITUTE(PROPER(C676)&amp;" "&amp;IF(OR(D676="County",D676="Township",D676="Village",D676="Charter Township"),D676,"")&amp;IF(D676="Township"," "&amp;"("&amp;VLOOKUP(A676,counties,3,0)&amp;")",""),"  "," "))</f>
        <v>Mulliken Village</v>
      </c>
    </row>
    <row r="677" spans="1:8" ht="15.75" thickBot="1" x14ac:dyDescent="0.3">
      <c r="A677">
        <f t="shared" si="11"/>
        <v>23</v>
      </c>
      <c r="B677" s="8">
        <v>2016</v>
      </c>
      <c r="C677" s="1" t="s">
        <v>617</v>
      </c>
      <c r="D677" s="1" t="s">
        <v>42</v>
      </c>
      <c r="E677" s="2" t="s">
        <v>7</v>
      </c>
      <c r="F677" s="9" t="s">
        <v>19</v>
      </c>
      <c r="H677" t="str">
        <f>TRIM(SUBSTITUTE(PROPER(C677)&amp;" "&amp;IF(OR(D677="County",D677="Township",D677="Village",D677="Charter Township"),D677,"")&amp;IF(D677="Township"," "&amp;"("&amp;VLOOKUP(A677,counties,3,0)&amp;")",""),"  "," "))</f>
        <v>Mulliken District Library</v>
      </c>
    </row>
    <row r="678" spans="1:8" ht="15.75" thickBot="1" x14ac:dyDescent="0.3">
      <c r="A678">
        <f t="shared" si="11"/>
        <v>23</v>
      </c>
      <c r="B678" s="10">
        <v>2016</v>
      </c>
      <c r="C678" s="3" t="s">
        <v>618</v>
      </c>
      <c r="D678" s="3" t="s">
        <v>17</v>
      </c>
      <c r="E678" s="4" t="s">
        <v>7</v>
      </c>
      <c r="F678" s="11" t="s">
        <v>8</v>
      </c>
      <c r="H678" t="str">
        <f>TRIM(SUBSTITUTE(PROPER(C678)&amp;" "&amp;IF(OR(D678="County",D678="Township",D678="Village",D678="Charter Township"),D678,"")&amp;IF(D678="Township"," "&amp;"("&amp;VLOOKUP(A678,counties,3,0)&amp;")",""),"  "," "))</f>
        <v>Municipal Employees Retirement System</v>
      </c>
    </row>
    <row r="679" spans="1:8" ht="15.75" thickBot="1" x14ac:dyDescent="0.3">
      <c r="A679">
        <f t="shared" si="11"/>
        <v>23</v>
      </c>
      <c r="B679" s="8">
        <v>2016</v>
      </c>
      <c r="C679" s="1" t="s">
        <v>619</v>
      </c>
      <c r="D679" s="1" t="s">
        <v>9</v>
      </c>
      <c r="E679" s="2" t="s">
        <v>7</v>
      </c>
      <c r="F679" s="9" t="s">
        <v>8</v>
      </c>
      <c r="H679" t="str">
        <f>TRIM(SUBSTITUTE(PROPER(C679)&amp;" "&amp;IF(OR(D679="County",D679="Township",D679="Village",D679="Charter Township"),D679,"")&amp;IF(D679="Township"," "&amp;"("&amp;VLOOKUP(A679,counties,3,0)&amp;")",""),"  "," "))</f>
        <v>Oneida Charter Township (Eaton County)</v>
      </c>
    </row>
    <row r="680" spans="1:8" ht="15.75" thickBot="1" x14ac:dyDescent="0.3">
      <c r="A680">
        <f t="shared" si="11"/>
        <v>23</v>
      </c>
      <c r="B680" s="10">
        <v>2016</v>
      </c>
      <c r="C680" s="3" t="s">
        <v>620</v>
      </c>
      <c r="D680" s="3" t="s">
        <v>15</v>
      </c>
      <c r="E680" s="4" t="s">
        <v>7</v>
      </c>
      <c r="F680" s="11" t="s">
        <v>8</v>
      </c>
      <c r="H680" t="str">
        <f>TRIM(SUBSTITUTE(PROPER(C680)&amp;" "&amp;IF(OR(D680="County",D680="Township",D680="Village",D680="Charter Township"),D680,"")&amp;IF(D680="Township"," "&amp;"("&amp;VLOOKUP(A680,counties,3,0)&amp;")",""),"  "," "))</f>
        <v>Potterville</v>
      </c>
    </row>
    <row r="681" spans="1:8" ht="15.75" thickBot="1" x14ac:dyDescent="0.3">
      <c r="A681">
        <f t="shared" si="11"/>
        <v>23</v>
      </c>
      <c r="B681" s="8">
        <v>2016</v>
      </c>
      <c r="C681" s="1" t="s">
        <v>621</v>
      </c>
      <c r="D681" s="1" t="s">
        <v>42</v>
      </c>
      <c r="E681" s="2" t="s">
        <v>7</v>
      </c>
      <c r="F681" s="9" t="s">
        <v>8</v>
      </c>
      <c r="H681" t="str">
        <f>TRIM(SUBSTITUTE(PROPER(C681)&amp;" "&amp;IF(OR(D681="County",D681="Township",D681="Village",D681="Charter Township"),D681,"")&amp;IF(D681="Township"," "&amp;"("&amp;VLOOKUP(A681,counties,3,0)&amp;")",""),"  "," "))</f>
        <v>Potterville Benton Township District Library</v>
      </c>
    </row>
    <row r="682" spans="1:8" ht="15.75" thickBot="1" x14ac:dyDescent="0.3">
      <c r="A682">
        <f t="shared" si="11"/>
        <v>23</v>
      </c>
      <c r="B682" s="10">
        <v>2016</v>
      </c>
      <c r="C682" s="3" t="s">
        <v>622</v>
      </c>
      <c r="D682" s="3" t="s">
        <v>17</v>
      </c>
      <c r="E682" s="4" t="s">
        <v>7</v>
      </c>
      <c r="F682" s="11" t="s">
        <v>8</v>
      </c>
      <c r="H682" t="str">
        <f>TRIM(SUBSTITUTE(PROPER(C682)&amp;" "&amp;IF(OR(D682="County",D682="Township",D682="Village",D682="Charter Township"),D682,"")&amp;IF(D682="Township"," "&amp;"("&amp;VLOOKUP(A682,counties,3,0)&amp;")",""),"  "," "))</f>
        <v>Potterville City Tax Increment Finance Authority</v>
      </c>
    </row>
    <row r="683" spans="1:8" ht="15.75" thickBot="1" x14ac:dyDescent="0.3">
      <c r="A683">
        <f t="shared" si="11"/>
        <v>23</v>
      </c>
      <c r="B683" s="8">
        <v>2016</v>
      </c>
      <c r="C683" s="1" t="s">
        <v>623</v>
      </c>
      <c r="D683" s="1" t="s">
        <v>9</v>
      </c>
      <c r="E683" s="2" t="s">
        <v>7</v>
      </c>
      <c r="F683" s="9" t="s">
        <v>8</v>
      </c>
      <c r="H683" t="str">
        <f>TRIM(SUBSTITUTE(PROPER(C683)&amp;" "&amp;IF(OR(D683="County",D683="Township",D683="Village",D683="Charter Township"),D683,"")&amp;IF(D683="Township"," "&amp;"("&amp;VLOOKUP(A683,counties,3,0)&amp;")",""),"  "," "))</f>
        <v>Roxand Township (Eaton County)</v>
      </c>
    </row>
    <row r="684" spans="1:8" ht="15.75" thickBot="1" x14ac:dyDescent="0.3">
      <c r="A684">
        <f t="shared" si="11"/>
        <v>23</v>
      </c>
      <c r="B684" s="10">
        <v>2016</v>
      </c>
      <c r="C684" s="3" t="s">
        <v>624</v>
      </c>
      <c r="D684" s="3" t="s">
        <v>21</v>
      </c>
      <c r="E684" s="4" t="s">
        <v>7</v>
      </c>
      <c r="F684" s="11" t="s">
        <v>19</v>
      </c>
      <c r="H684" t="str">
        <f>TRIM(SUBSTITUTE(PROPER(C684)&amp;" "&amp;IF(OR(D684="County",D684="Township",D684="Village",D684="Charter Township"),D684,"")&amp;IF(D684="Township"," "&amp;"("&amp;VLOOKUP(A684,counties,3,0)&amp;")",""),"  "," "))</f>
        <v>Sunfield Village</v>
      </c>
    </row>
    <row r="685" spans="1:8" ht="21.75" thickBot="1" x14ac:dyDescent="0.3">
      <c r="A685">
        <f t="shared" si="11"/>
        <v>23</v>
      </c>
      <c r="B685" s="8">
        <v>2016</v>
      </c>
      <c r="C685" s="1" t="s">
        <v>625</v>
      </c>
      <c r="D685" s="1" t="s">
        <v>17</v>
      </c>
      <c r="E685" s="2" t="s">
        <v>7</v>
      </c>
      <c r="F685" s="9" t="s">
        <v>19</v>
      </c>
      <c r="H685" t="str">
        <f>TRIM(SUBSTITUTE(PROPER(C685)&amp;" "&amp;IF(OR(D685="County",D685="Township",D685="Village",D685="Charter Township"),D685,"")&amp;IF(D685="Township"," "&amp;"("&amp;VLOOKUP(A685,counties,3,0)&amp;")",""),"  "," "))</f>
        <v>Sunfield Sebewa &amp; Danby Fire Association District</v>
      </c>
    </row>
    <row r="686" spans="1:8" ht="15.75" thickBot="1" x14ac:dyDescent="0.3">
      <c r="A686">
        <f t="shared" si="11"/>
        <v>23</v>
      </c>
      <c r="B686" s="10">
        <v>2016</v>
      </c>
      <c r="C686" s="3" t="s">
        <v>626</v>
      </c>
      <c r="D686" s="3" t="s">
        <v>9</v>
      </c>
      <c r="E686" s="4" t="s">
        <v>7</v>
      </c>
      <c r="F686" s="11" t="s">
        <v>8</v>
      </c>
      <c r="H686" t="str">
        <f>TRIM(SUBSTITUTE(PROPER(C686)&amp;" "&amp;IF(OR(D686="County",D686="Township",D686="Village",D686="Charter Township"),D686,"")&amp;IF(D686="Township"," "&amp;"("&amp;VLOOKUP(A686,counties,3,0)&amp;")",""),"  "," "))</f>
        <v>Vermontville Township (Eaton County)</v>
      </c>
    </row>
    <row r="687" spans="1:8" ht="15.75" thickBot="1" x14ac:dyDescent="0.3">
      <c r="A687">
        <f t="shared" si="11"/>
        <v>23</v>
      </c>
      <c r="B687" s="8">
        <v>2016</v>
      </c>
      <c r="C687" s="1" t="s">
        <v>626</v>
      </c>
      <c r="D687" s="1" t="s">
        <v>21</v>
      </c>
      <c r="E687" s="2" t="s">
        <v>7</v>
      </c>
      <c r="F687" s="9" t="s">
        <v>8</v>
      </c>
      <c r="H687" t="str">
        <f>TRIM(SUBSTITUTE(PROPER(C687)&amp;" "&amp;IF(OR(D687="County",D687="Township",D687="Village",D687="Charter Township"),D687,"")&amp;IF(D687="Township"," "&amp;"("&amp;VLOOKUP(A687,counties,3,0)&amp;")",""),"  "," "))</f>
        <v>Vermontville Village</v>
      </c>
    </row>
    <row r="688" spans="1:8" ht="15.75" thickBot="1" x14ac:dyDescent="0.3">
      <c r="A688">
        <f t="shared" si="11"/>
        <v>23</v>
      </c>
      <c r="B688" s="10">
        <v>2016</v>
      </c>
      <c r="C688" s="3" t="s">
        <v>627</v>
      </c>
      <c r="D688" s="3" t="s">
        <v>9</v>
      </c>
      <c r="E688" s="4" t="s">
        <v>7</v>
      </c>
      <c r="F688" s="11" t="s">
        <v>8</v>
      </c>
      <c r="H688" t="str">
        <f>TRIM(SUBSTITUTE(PROPER(C688)&amp;" "&amp;IF(OR(D688="County",D688="Township",D688="Village",D688="Charter Township"),D688,"")&amp;IF(D688="Township"," "&amp;"("&amp;VLOOKUP(A688,counties,3,0)&amp;")",""),"  "," "))</f>
        <v>Walton Township (Eaton County)</v>
      </c>
    </row>
    <row r="689" spans="1:8" ht="15.75" thickBot="1" x14ac:dyDescent="0.3">
      <c r="A689">
        <f t="shared" si="11"/>
        <v>23</v>
      </c>
      <c r="B689" s="16">
        <v>2016</v>
      </c>
      <c r="C689" s="17" t="s">
        <v>628</v>
      </c>
      <c r="D689" s="17" t="s">
        <v>9</v>
      </c>
      <c r="E689" s="18" t="s">
        <v>7</v>
      </c>
      <c r="F689" s="19" t="s">
        <v>8</v>
      </c>
      <c r="H689" t="str">
        <f>TRIM(SUBSTITUTE(PROPER(C689)&amp;" "&amp;IF(OR(D689="County",D689="Township",D689="Village",D689="Charter Township"),D689,"")&amp;IF(D689="Township"," "&amp;"("&amp;VLOOKUP(A689,counties,3,0)&amp;")",""),"  "," "))</f>
        <v>Windsor Charter Township (Eaton County)</v>
      </c>
    </row>
    <row r="690" spans="1:8" ht="16.5" thickTop="1" thickBot="1" x14ac:dyDescent="0.3">
      <c r="A690">
        <f t="shared" si="11"/>
        <v>24</v>
      </c>
      <c r="B690" s="5" t="s">
        <v>0</v>
      </c>
      <c r="C690" s="6" t="s">
        <v>1</v>
      </c>
      <c r="D690" s="6" t="s">
        <v>2</v>
      </c>
      <c r="E690" s="6" t="s">
        <v>3</v>
      </c>
      <c r="F690" s="7" t="s">
        <v>4</v>
      </c>
      <c r="H690" t="str">
        <f>TRIM(SUBSTITUTE(PROPER(C690)&amp;" "&amp;IF(OR(D690="County",D690="Township",D690="Village",D690="Charter Township"),D690,"")&amp;IF(D690="Township"," "&amp;"("&amp;VLOOKUP(A690,counties,3,0)&amp;")",""),"  "," "))</f>
        <v>Municipality</v>
      </c>
    </row>
    <row r="691" spans="1:8" ht="15.75" thickBot="1" x14ac:dyDescent="0.3">
      <c r="A691">
        <f t="shared" si="11"/>
        <v>24</v>
      </c>
      <c r="B691" s="8">
        <v>2016</v>
      </c>
      <c r="C691" s="1" t="s">
        <v>629</v>
      </c>
      <c r="D691" s="1" t="s">
        <v>21</v>
      </c>
      <c r="E691" s="2" t="s">
        <v>7</v>
      </c>
      <c r="F691" s="9" t="s">
        <v>8</v>
      </c>
      <c r="H691" t="str">
        <f>TRIM(SUBSTITUTE(PROPER(C691)&amp;" "&amp;IF(OR(D691="County",D691="Township",D691="Village",D691="Charter Township"),D691,"")&amp;IF(D691="Township"," "&amp;"("&amp;VLOOKUP(A691,counties,3,0)&amp;")",""),"  "," "))</f>
        <v>Alanson Village</v>
      </c>
    </row>
    <row r="692" spans="1:8" ht="15.75" thickBot="1" x14ac:dyDescent="0.3">
      <c r="A692">
        <f t="shared" si="11"/>
        <v>24</v>
      </c>
      <c r="B692" s="10">
        <v>2016</v>
      </c>
      <c r="C692" s="3" t="s">
        <v>630</v>
      </c>
      <c r="D692" s="3" t="s">
        <v>42</v>
      </c>
      <c r="E692" s="4" t="s">
        <v>7</v>
      </c>
      <c r="F692" s="11" t="s">
        <v>8</v>
      </c>
      <c r="H692" t="str">
        <f>TRIM(SUBSTITUTE(PROPER(C692)&amp;" "&amp;IF(OR(D692="County",D692="Township",D692="Village",D692="Charter Township"),D692,"")&amp;IF(D692="Township"," "&amp;"("&amp;VLOOKUP(A692,counties,3,0)&amp;")",""),"  "," "))</f>
        <v>Alanson Area Public Library</v>
      </c>
    </row>
    <row r="693" spans="1:8" ht="15.75" thickBot="1" x14ac:dyDescent="0.3">
      <c r="A693">
        <f t="shared" si="11"/>
        <v>24</v>
      </c>
      <c r="B693" s="8">
        <v>2016</v>
      </c>
      <c r="C693" s="1" t="s">
        <v>631</v>
      </c>
      <c r="D693" s="1" t="s">
        <v>17</v>
      </c>
      <c r="E693" s="2" t="s">
        <v>7</v>
      </c>
      <c r="F693" s="9" t="s">
        <v>8</v>
      </c>
      <c r="H693" t="str">
        <f>TRIM(SUBSTITUTE(PROPER(C693)&amp;" "&amp;IF(OR(D693="County",D693="Township",D693="Village",D693="Charter Township"),D693,"")&amp;IF(D693="Township"," "&amp;"("&amp;VLOOKUP(A693,counties,3,0)&amp;")",""),"  "," "))</f>
        <v>Bay Bluffs-Emmet Co Medical Care Facility</v>
      </c>
    </row>
    <row r="694" spans="1:8" ht="15.75" thickBot="1" x14ac:dyDescent="0.3">
      <c r="A694">
        <f t="shared" si="11"/>
        <v>24</v>
      </c>
      <c r="B694" s="10">
        <v>2016</v>
      </c>
      <c r="C694" s="3" t="s">
        <v>632</v>
      </c>
      <c r="D694" s="3" t="s">
        <v>9</v>
      </c>
      <c r="E694" s="4" t="s">
        <v>7</v>
      </c>
      <c r="F694" s="11" t="s">
        <v>8</v>
      </c>
      <c r="H694" t="str">
        <f>TRIM(SUBSTITUTE(PROPER(C694)&amp;" "&amp;IF(OR(D694="County",D694="Township",D694="Village",D694="Charter Township"),D694,"")&amp;IF(D694="Township"," "&amp;"("&amp;VLOOKUP(A694,counties,3,0)&amp;")",""),"  "," "))</f>
        <v>Bear Creek Township (Emmet County)</v>
      </c>
    </row>
    <row r="695" spans="1:8" ht="15.75" thickBot="1" x14ac:dyDescent="0.3">
      <c r="A695">
        <f t="shared" si="11"/>
        <v>24</v>
      </c>
      <c r="B695" s="8">
        <v>2016</v>
      </c>
      <c r="C695" s="1" t="s">
        <v>633</v>
      </c>
      <c r="D695" s="1" t="s">
        <v>9</v>
      </c>
      <c r="E695" s="2" t="s">
        <v>7</v>
      </c>
      <c r="F695" s="9" t="s">
        <v>8</v>
      </c>
      <c r="H695" t="str">
        <f>TRIM(SUBSTITUTE(PROPER(C695)&amp;" "&amp;IF(OR(D695="County",D695="Township",D695="Village",D695="Charter Township"),D695,"")&amp;IF(D695="Township"," "&amp;"("&amp;VLOOKUP(A695,counties,3,0)&amp;")",""),"  "," "))</f>
        <v>Bliss Township (Emmet County)</v>
      </c>
    </row>
    <row r="696" spans="1:8" ht="15.75" thickBot="1" x14ac:dyDescent="0.3">
      <c r="A696">
        <f t="shared" si="11"/>
        <v>24</v>
      </c>
      <c r="B696" s="10">
        <v>2016</v>
      </c>
      <c r="C696" s="3" t="s">
        <v>634</v>
      </c>
      <c r="D696" s="3" t="s">
        <v>9</v>
      </c>
      <c r="E696" s="4" t="s">
        <v>7</v>
      </c>
      <c r="F696" s="11" t="s">
        <v>8</v>
      </c>
      <c r="H696" t="str">
        <f>TRIM(SUBSTITUTE(PROPER(C696)&amp;" "&amp;IF(OR(D696="County",D696="Township",D696="Village",D696="Charter Township"),D696,"")&amp;IF(D696="Township"," "&amp;"("&amp;VLOOKUP(A696,counties,3,0)&amp;")",""),"  "," "))</f>
        <v>Carp Lake Township (Emmet County)</v>
      </c>
    </row>
    <row r="697" spans="1:8" ht="15.75" thickBot="1" x14ac:dyDescent="0.3">
      <c r="A697">
        <f t="shared" si="11"/>
        <v>24</v>
      </c>
      <c r="B697" s="8">
        <v>2016</v>
      </c>
      <c r="C697" s="1" t="s">
        <v>635</v>
      </c>
      <c r="D697" s="1" t="s">
        <v>9</v>
      </c>
      <c r="E697" s="2" t="s">
        <v>7</v>
      </c>
      <c r="F697" s="9" t="s">
        <v>19</v>
      </c>
      <c r="H697" t="str">
        <f>TRIM(SUBSTITUTE(PROPER(C697)&amp;" "&amp;IF(OR(D697="County",D697="Township",D697="Village",D697="Charter Township"),D697,"")&amp;IF(D697="Township"," "&amp;"("&amp;VLOOKUP(A697,counties,3,0)&amp;")",""),"  "," "))</f>
        <v>Center Township (Emmet County)</v>
      </c>
    </row>
    <row r="698" spans="1:8" ht="15.75" thickBot="1" x14ac:dyDescent="0.3">
      <c r="A698">
        <f t="shared" si="11"/>
        <v>24</v>
      </c>
      <c r="B698" s="10">
        <v>2016</v>
      </c>
      <c r="C698" s="3" t="s">
        <v>636</v>
      </c>
      <c r="D698" s="3" t="s">
        <v>9</v>
      </c>
      <c r="E698" s="4" t="s">
        <v>7</v>
      </c>
      <c r="F698" s="11" t="s">
        <v>8</v>
      </c>
      <c r="H698" t="str">
        <f>TRIM(SUBSTITUTE(PROPER(C698)&amp;" "&amp;IF(OR(D698="County",D698="Township",D698="Village",D698="Charter Township"),D698,"")&amp;IF(D698="Township"," "&amp;"("&amp;VLOOKUP(A698,counties,3,0)&amp;")",""),"  "," "))</f>
        <v>Cross Village Township (Emmet County)</v>
      </c>
    </row>
    <row r="699" spans="1:8" ht="15.75" thickBot="1" x14ac:dyDescent="0.3">
      <c r="A699">
        <f t="shared" si="11"/>
        <v>24</v>
      </c>
      <c r="B699" s="8">
        <v>2016</v>
      </c>
      <c r="C699" s="1" t="s">
        <v>637</v>
      </c>
      <c r="D699" s="1" t="s">
        <v>6</v>
      </c>
      <c r="E699" s="2" t="s">
        <v>7</v>
      </c>
      <c r="F699" s="9" t="s">
        <v>8</v>
      </c>
      <c r="H699" t="str">
        <f>TRIM(SUBSTITUTE(PROPER(C699)&amp;" "&amp;IF(OR(D699="County",D699="Township",D699="Village",D699="Charter Township"),D699,"")&amp;IF(D699="Township"," "&amp;"("&amp;VLOOKUP(A699,counties,3,0)&amp;")",""),"  "," "))</f>
        <v>Emmet County</v>
      </c>
    </row>
    <row r="700" spans="1:8" ht="15.75" thickBot="1" x14ac:dyDescent="0.3">
      <c r="A700">
        <f t="shared" si="11"/>
        <v>24</v>
      </c>
      <c r="B700" s="10">
        <v>2016</v>
      </c>
      <c r="C700" s="3" t="s">
        <v>638</v>
      </c>
      <c r="D700" s="3" t="s">
        <v>11</v>
      </c>
      <c r="E700" s="4" t="s">
        <v>7</v>
      </c>
      <c r="F700" s="11" t="s">
        <v>8</v>
      </c>
      <c r="H700" t="str">
        <f>TRIM(SUBSTITUTE(PROPER(C700)&amp;" "&amp;IF(OR(D700="County",D700="Township",D700="Village",D700="Charter Township"),D700,"")&amp;IF(D700="Township"," "&amp;"("&amp;VLOOKUP(A700,counties,3,0)&amp;")",""),"  "," "))</f>
        <v>Emmet County Road Commission</v>
      </c>
    </row>
    <row r="701" spans="1:8" ht="15.75" thickBot="1" x14ac:dyDescent="0.3">
      <c r="A701">
        <f t="shared" si="11"/>
        <v>24</v>
      </c>
      <c r="B701" s="8">
        <v>2016</v>
      </c>
      <c r="C701" s="1" t="s">
        <v>639</v>
      </c>
      <c r="D701" s="1" t="s">
        <v>9</v>
      </c>
      <c r="E701" s="2" t="s">
        <v>7</v>
      </c>
      <c r="F701" s="9" t="s">
        <v>8</v>
      </c>
      <c r="H701" t="str">
        <f>TRIM(SUBSTITUTE(PROPER(C701)&amp;" "&amp;IF(OR(D701="County",D701="Township",D701="Village",D701="Charter Township"),D701,"")&amp;IF(D701="Township"," "&amp;"("&amp;VLOOKUP(A701,counties,3,0)&amp;")",""),"  "," "))</f>
        <v>Friendship Township (Emmet County)</v>
      </c>
    </row>
    <row r="702" spans="1:8" ht="15.75" thickBot="1" x14ac:dyDescent="0.3">
      <c r="A702">
        <f t="shared" si="11"/>
        <v>24</v>
      </c>
      <c r="B702" s="10">
        <v>2016</v>
      </c>
      <c r="C702" s="3" t="s">
        <v>640</v>
      </c>
      <c r="D702" s="3" t="s">
        <v>17</v>
      </c>
      <c r="E702" s="4" t="s">
        <v>7</v>
      </c>
      <c r="F702" s="11" t="s">
        <v>8</v>
      </c>
      <c r="H702" t="str">
        <f>TRIM(SUBSTITUTE(PROPER(C702)&amp;" "&amp;IF(OR(D702="County",D702="Township",D702="Village",D702="Charter Township"),D702,"")&amp;IF(D702="Township"," "&amp;"("&amp;VLOOKUP(A702,counties,3,0)&amp;")",""),"  "," "))</f>
        <v>Greenwood Cemetery</v>
      </c>
    </row>
    <row r="703" spans="1:8" ht="15.75" thickBot="1" x14ac:dyDescent="0.3">
      <c r="A703">
        <f t="shared" si="11"/>
        <v>24</v>
      </c>
      <c r="B703" s="8">
        <v>2016</v>
      </c>
      <c r="C703" s="1" t="s">
        <v>641</v>
      </c>
      <c r="D703" s="1" t="s">
        <v>15</v>
      </c>
      <c r="E703" s="2" t="s">
        <v>7</v>
      </c>
      <c r="F703" s="9" t="s">
        <v>8</v>
      </c>
      <c r="H703" t="str">
        <f>TRIM(SUBSTITUTE(PROPER(C703)&amp;" "&amp;IF(OR(D703="County",D703="Township",D703="Village",D703="Charter Township"),D703,"")&amp;IF(D703="Township"," "&amp;"("&amp;VLOOKUP(A703,counties,3,0)&amp;")",""),"  "," "))</f>
        <v>Harbor Springs</v>
      </c>
    </row>
    <row r="704" spans="1:8" ht="15.75" thickBot="1" x14ac:dyDescent="0.3">
      <c r="A704">
        <f t="shared" si="11"/>
        <v>24</v>
      </c>
      <c r="B704" s="10">
        <v>2016</v>
      </c>
      <c r="C704" s="3" t="s">
        <v>642</v>
      </c>
      <c r="D704" s="3" t="s">
        <v>17</v>
      </c>
      <c r="E704" s="4" t="s">
        <v>7</v>
      </c>
      <c r="F704" s="11" t="s">
        <v>8</v>
      </c>
      <c r="H704" t="str">
        <f>TRIM(SUBSTITUTE(PROPER(C704)&amp;" "&amp;IF(OR(D704="County",D704="Township",D704="Village",D704="Charter Township"),D704,"")&amp;IF(D704="Township"," "&amp;"("&amp;VLOOKUP(A704,counties,3,0)&amp;")",""),"  "," "))</f>
        <v>Harbor Springs Area Fire Authority</v>
      </c>
    </row>
    <row r="705" spans="1:8" ht="15.75" thickBot="1" x14ac:dyDescent="0.3">
      <c r="A705">
        <f t="shared" si="11"/>
        <v>24</v>
      </c>
      <c r="B705" s="8">
        <v>2016</v>
      </c>
      <c r="C705" s="1" t="s">
        <v>643</v>
      </c>
      <c r="D705" s="1" t="s">
        <v>17</v>
      </c>
      <c r="E705" s="2" t="s">
        <v>7</v>
      </c>
      <c r="F705" s="9" t="s">
        <v>8</v>
      </c>
      <c r="H705" t="str">
        <f>TRIM(SUBSTITUTE(PROPER(C705)&amp;" "&amp;IF(OR(D705="County",D705="Township",D705="Village",D705="Charter Township"),D705,"")&amp;IF(D705="Township"," "&amp;"("&amp;VLOOKUP(A705,counties,3,0)&amp;")",""),"  "," "))</f>
        <v>Harbor Springs Area Sewage Disposal Authority</v>
      </c>
    </row>
    <row r="706" spans="1:8" ht="15.75" thickBot="1" x14ac:dyDescent="0.3">
      <c r="A706">
        <f t="shared" si="11"/>
        <v>24</v>
      </c>
      <c r="B706" s="10">
        <v>2016</v>
      </c>
      <c r="C706" s="3" t="s">
        <v>644</v>
      </c>
      <c r="D706" s="3" t="s">
        <v>17</v>
      </c>
      <c r="E706" s="4" t="s">
        <v>7</v>
      </c>
      <c r="F706" s="11" t="s">
        <v>8</v>
      </c>
      <c r="H706" t="str">
        <f>TRIM(SUBSTITUTE(PROPER(C706)&amp;" "&amp;IF(OR(D706="County",D706="Township",D706="Village",D706="Charter Township"),D706,"")&amp;IF(D706="Township"," "&amp;"("&amp;VLOOKUP(A706,counties,3,0)&amp;")",""),"  "," "))</f>
        <v>Harbor-Petoskey Area Airport Auth</v>
      </c>
    </row>
    <row r="707" spans="1:8" ht="15.75" thickBot="1" x14ac:dyDescent="0.3">
      <c r="A707">
        <f t="shared" ref="A707:A770" si="12">IF(B707="Year",A706+1,A706)</f>
        <v>24</v>
      </c>
      <c r="B707" s="8">
        <v>2016</v>
      </c>
      <c r="C707" s="1" t="s">
        <v>645</v>
      </c>
      <c r="D707" s="1" t="s">
        <v>17</v>
      </c>
      <c r="E707" s="2" t="s">
        <v>7</v>
      </c>
      <c r="F707" s="9" t="s">
        <v>8</v>
      </c>
      <c r="H707" t="str">
        <f>TRIM(SUBSTITUTE(PROPER(C707)&amp;" "&amp;IF(OR(D707="County",D707="Township",D707="Village",D707="Charter Township"),D707,"")&amp;IF(D707="Township"," "&amp;"("&amp;VLOOKUP(A707,counties,3,0)&amp;")",""),"  "," "))</f>
        <v>Lakeview Cemetery Board</v>
      </c>
    </row>
    <row r="708" spans="1:8" ht="15.75" thickBot="1" x14ac:dyDescent="0.3">
      <c r="A708">
        <f t="shared" si="12"/>
        <v>24</v>
      </c>
      <c r="B708" s="10">
        <v>2016</v>
      </c>
      <c r="C708" s="3" t="s">
        <v>646</v>
      </c>
      <c r="D708" s="3" t="s">
        <v>9</v>
      </c>
      <c r="E708" s="4" t="s">
        <v>7</v>
      </c>
      <c r="F708" s="11" t="s">
        <v>8</v>
      </c>
      <c r="H708" t="str">
        <f>TRIM(SUBSTITUTE(PROPER(C708)&amp;" "&amp;IF(OR(D708="County",D708="Township",D708="Village",D708="Charter Township"),D708,"")&amp;IF(D708="Township"," "&amp;"("&amp;VLOOKUP(A708,counties,3,0)&amp;")",""),"  "," "))</f>
        <v>Little Traverse Township (Emmet County)</v>
      </c>
    </row>
    <row r="709" spans="1:8" ht="15.75" thickBot="1" x14ac:dyDescent="0.3">
      <c r="A709">
        <f t="shared" si="12"/>
        <v>24</v>
      </c>
      <c r="B709" s="8">
        <v>2016</v>
      </c>
      <c r="C709" s="1" t="s">
        <v>647</v>
      </c>
      <c r="D709" s="1" t="s">
        <v>9</v>
      </c>
      <c r="E709" s="2" t="s">
        <v>7</v>
      </c>
      <c r="F709" s="9" t="s">
        <v>8</v>
      </c>
      <c r="H709" t="str">
        <f>TRIM(SUBSTITUTE(PROPER(C709)&amp;" "&amp;IF(OR(D709="County",D709="Township",D709="Village",D709="Charter Township"),D709,"")&amp;IF(D709="Township"," "&amp;"("&amp;VLOOKUP(A709,counties,3,0)&amp;")",""),"  "," "))</f>
        <v>Littlefield Township (Emmet County)</v>
      </c>
    </row>
    <row r="710" spans="1:8" ht="15.75" thickBot="1" x14ac:dyDescent="0.3">
      <c r="A710">
        <f t="shared" si="12"/>
        <v>24</v>
      </c>
      <c r="B710" s="10">
        <v>2016</v>
      </c>
      <c r="C710" s="3" t="s">
        <v>648</v>
      </c>
      <c r="D710" s="3" t="s">
        <v>42</v>
      </c>
      <c r="E710" s="4" t="s">
        <v>7</v>
      </c>
      <c r="F710" s="11" t="s">
        <v>8</v>
      </c>
      <c r="H710" t="str">
        <f>TRIM(SUBSTITUTE(PROPER(C710)&amp;" "&amp;IF(OR(D710="County",D710="Township",D710="Village",D710="Charter Township"),D710,"")&amp;IF(D710="Township"," "&amp;"("&amp;VLOOKUP(A710,counties,3,0)&amp;")",""),"  "," "))</f>
        <v>Mackinaw Area Public Library</v>
      </c>
    </row>
    <row r="711" spans="1:8" ht="15.75" thickBot="1" x14ac:dyDescent="0.3">
      <c r="A711">
        <f t="shared" si="12"/>
        <v>24</v>
      </c>
      <c r="B711" s="8">
        <v>2016</v>
      </c>
      <c r="C711" s="1" t="s">
        <v>649</v>
      </c>
      <c r="D711" s="1" t="s">
        <v>9</v>
      </c>
      <c r="E711" s="2" t="s">
        <v>7</v>
      </c>
      <c r="F711" s="9" t="s">
        <v>19</v>
      </c>
      <c r="H711" t="str">
        <f>TRIM(SUBSTITUTE(PROPER(C711)&amp;" "&amp;IF(OR(D711="County",D711="Township",D711="Village",D711="Charter Township"),D711,"")&amp;IF(D711="Township"," "&amp;"("&amp;VLOOKUP(A711,counties,3,0)&amp;")",""),"  "," "))</f>
        <v>Mckinley Township (Emmet County)</v>
      </c>
    </row>
    <row r="712" spans="1:8" ht="15.75" thickBot="1" x14ac:dyDescent="0.3">
      <c r="A712">
        <f t="shared" si="12"/>
        <v>24</v>
      </c>
      <c r="B712" s="10">
        <v>2016</v>
      </c>
      <c r="C712" s="3" t="s">
        <v>650</v>
      </c>
      <c r="D712" s="3" t="s">
        <v>88</v>
      </c>
      <c r="E712" s="4" t="s">
        <v>7</v>
      </c>
      <c r="F712" s="11" t="s">
        <v>8</v>
      </c>
      <c r="H712" t="str">
        <f>TRIM(SUBSTITUTE(PROPER(C712)&amp;" "&amp;IF(OR(D712="County",D712="Township",D712="Village",D712="Charter Township"),D712,"")&amp;IF(D712="Township"," "&amp;"("&amp;VLOOKUP(A712,counties,3,0)&amp;")",""),"  "," "))</f>
        <v>North Central Michigan College District</v>
      </c>
    </row>
    <row r="713" spans="1:8" ht="15.75" thickBot="1" x14ac:dyDescent="0.3">
      <c r="A713">
        <f t="shared" si="12"/>
        <v>24</v>
      </c>
      <c r="B713" s="8">
        <v>2016</v>
      </c>
      <c r="C713" s="1" t="s">
        <v>651</v>
      </c>
      <c r="D713" s="1" t="s">
        <v>17</v>
      </c>
      <c r="E713" s="2" t="s">
        <v>7</v>
      </c>
      <c r="F713" s="9" t="s">
        <v>8</v>
      </c>
      <c r="H713" t="str">
        <f>TRIM(SUBSTITUTE(PROPER(C713)&amp;" "&amp;IF(OR(D713="County",D713="Township",D713="Village",D713="Charter Township"),D713,"")&amp;IF(D713="Township"," "&amp;"("&amp;VLOOKUP(A713,counties,3,0)&amp;")",""),"  "," "))</f>
        <v>North Country Community Mental Health</v>
      </c>
    </row>
    <row r="714" spans="1:8" ht="21.75" thickBot="1" x14ac:dyDescent="0.3">
      <c r="A714">
        <f t="shared" si="12"/>
        <v>24</v>
      </c>
      <c r="B714" s="10">
        <v>2016</v>
      </c>
      <c r="C714" s="3" t="s">
        <v>652</v>
      </c>
      <c r="D714" s="3" t="s">
        <v>425</v>
      </c>
      <c r="E714" s="4" t="s">
        <v>7</v>
      </c>
      <c r="F714" s="11" t="s">
        <v>8</v>
      </c>
      <c r="H714" t="str">
        <f>TRIM(SUBSTITUTE(PROPER(C714)&amp;" "&amp;IF(OR(D714="County",D714="Township",D714="Village",D714="Charter Township"),D714,"")&amp;IF(D714="Township"," "&amp;"("&amp;VLOOKUP(A714,counties,3,0)&amp;")",""),"  "," "))</f>
        <v>Northern Michigan Regional Entity</v>
      </c>
    </row>
    <row r="715" spans="1:8" ht="15.75" thickBot="1" x14ac:dyDescent="0.3">
      <c r="A715">
        <f t="shared" si="12"/>
        <v>24</v>
      </c>
      <c r="B715" s="8">
        <v>2016</v>
      </c>
      <c r="C715" s="1" t="s">
        <v>653</v>
      </c>
      <c r="D715" s="1" t="s">
        <v>17</v>
      </c>
      <c r="E715" s="2" t="s">
        <v>7</v>
      </c>
      <c r="F715" s="9" t="s">
        <v>8</v>
      </c>
      <c r="H715" t="str">
        <f>TRIM(SUBSTITUTE(PROPER(C715)&amp;" "&amp;IF(OR(D715="County",D715="Township",D715="Village",D715="Charter Township"),D715,"")&amp;IF(D715="Township"," "&amp;"("&amp;VLOOKUP(A715,counties,3,0)&amp;")",""),"  "," "))</f>
        <v>Paradise Lake Improvement Board</v>
      </c>
    </row>
    <row r="716" spans="1:8" ht="15.75" thickBot="1" x14ac:dyDescent="0.3">
      <c r="A716">
        <f t="shared" si="12"/>
        <v>24</v>
      </c>
      <c r="B716" s="10">
        <v>2016</v>
      </c>
      <c r="C716" s="3" t="s">
        <v>654</v>
      </c>
      <c r="D716" s="3" t="s">
        <v>21</v>
      </c>
      <c r="E716" s="4" t="s">
        <v>7</v>
      </c>
      <c r="F716" s="11" t="s">
        <v>8</v>
      </c>
      <c r="H716" t="str">
        <f>TRIM(SUBSTITUTE(PROPER(C716)&amp;" "&amp;IF(OR(D716="County",D716="Township",D716="Village",D716="Charter Township"),D716,"")&amp;IF(D716="Township"," "&amp;"("&amp;VLOOKUP(A716,counties,3,0)&amp;")",""),"  "," "))</f>
        <v>Pellston Village</v>
      </c>
    </row>
    <row r="717" spans="1:8" ht="15.75" thickBot="1" x14ac:dyDescent="0.3">
      <c r="A717">
        <f t="shared" si="12"/>
        <v>24</v>
      </c>
      <c r="B717" s="8">
        <v>2016</v>
      </c>
      <c r="C717" s="1" t="s">
        <v>655</v>
      </c>
      <c r="D717" s="1" t="s">
        <v>15</v>
      </c>
      <c r="E717" s="2" t="s">
        <v>7</v>
      </c>
      <c r="F717" s="9" t="s">
        <v>8</v>
      </c>
      <c r="H717" t="str">
        <f>TRIM(SUBSTITUTE(PROPER(C717)&amp;" "&amp;IF(OR(D717="County",D717="Township",D717="Village",D717="Charter Township"),D717,"")&amp;IF(D717="Township"," "&amp;"("&amp;VLOOKUP(A717,counties,3,0)&amp;")",""),"  "," "))</f>
        <v>Petoskey</v>
      </c>
    </row>
    <row r="718" spans="1:8" ht="15.75" thickBot="1" x14ac:dyDescent="0.3">
      <c r="A718">
        <f t="shared" si="12"/>
        <v>24</v>
      </c>
      <c r="B718" s="10">
        <v>2016</v>
      </c>
      <c r="C718" s="3" t="s">
        <v>656</v>
      </c>
      <c r="D718" s="3" t="s">
        <v>9</v>
      </c>
      <c r="E718" s="4" t="s">
        <v>7</v>
      </c>
      <c r="F718" s="11" t="s">
        <v>8</v>
      </c>
      <c r="H718" t="str">
        <f>TRIM(SUBSTITUTE(PROPER(C718)&amp;" "&amp;IF(OR(D718="County",D718="Township",D718="Village",D718="Charter Township"),D718,"")&amp;IF(D718="Township"," "&amp;"("&amp;VLOOKUP(A718,counties,3,0)&amp;")",""),"  "," "))</f>
        <v>Pleasantview Township (Emmet County)</v>
      </c>
    </row>
    <row r="719" spans="1:8" ht="15.75" thickBot="1" x14ac:dyDescent="0.3">
      <c r="A719">
        <f t="shared" si="12"/>
        <v>24</v>
      </c>
      <c r="B719" s="8">
        <v>2016</v>
      </c>
      <c r="C719" s="1" t="s">
        <v>657</v>
      </c>
      <c r="D719" s="1" t="s">
        <v>9</v>
      </c>
      <c r="E719" s="2" t="s">
        <v>7</v>
      </c>
      <c r="F719" s="9" t="s">
        <v>8</v>
      </c>
      <c r="H719" t="str">
        <f>TRIM(SUBSTITUTE(PROPER(C719)&amp;" "&amp;IF(OR(D719="County",D719="Township",D719="Village",D719="Charter Township"),D719,"")&amp;IF(D719="Township"," "&amp;"("&amp;VLOOKUP(A719,counties,3,0)&amp;")",""),"  "," "))</f>
        <v>Readmond Township (Emmet County)</v>
      </c>
    </row>
    <row r="720" spans="1:8" ht="15.75" thickBot="1" x14ac:dyDescent="0.3">
      <c r="A720">
        <f t="shared" si="12"/>
        <v>24</v>
      </c>
      <c r="B720" s="10">
        <v>2016</v>
      </c>
      <c r="C720" s="3" t="s">
        <v>658</v>
      </c>
      <c r="D720" s="3" t="s">
        <v>9</v>
      </c>
      <c r="E720" s="4" t="s">
        <v>7</v>
      </c>
      <c r="F720" s="11" t="s">
        <v>8</v>
      </c>
      <c r="H720" t="str">
        <f>TRIM(SUBSTITUTE(PROPER(C720)&amp;" "&amp;IF(OR(D720="County",D720="Township",D720="Village",D720="Charter Township"),D720,"")&amp;IF(D720="Township"," "&amp;"("&amp;VLOOKUP(A720,counties,3,0)&amp;")",""),"  "," "))</f>
        <v>Resort Township (Emmet County)</v>
      </c>
    </row>
    <row r="721" spans="1:8" ht="15.75" thickBot="1" x14ac:dyDescent="0.3">
      <c r="A721">
        <f t="shared" si="12"/>
        <v>24</v>
      </c>
      <c r="B721" s="8">
        <v>2016</v>
      </c>
      <c r="C721" s="1" t="s">
        <v>659</v>
      </c>
      <c r="D721" s="1" t="s">
        <v>9</v>
      </c>
      <c r="E721" s="2" t="s">
        <v>7</v>
      </c>
      <c r="F721" s="9" t="s">
        <v>8</v>
      </c>
      <c r="H721" t="str">
        <f>TRIM(SUBSTITUTE(PROPER(C721)&amp;" "&amp;IF(OR(D721="County",D721="Township",D721="Village",D721="Charter Township"),D721,"")&amp;IF(D721="Township"," "&amp;"("&amp;VLOOKUP(A721,counties,3,0)&amp;")",""),"  "," "))</f>
        <v>Springvale Township (Emmet County)</v>
      </c>
    </row>
    <row r="722" spans="1:8" ht="15.75" thickBot="1" x14ac:dyDescent="0.3">
      <c r="A722">
        <f t="shared" si="12"/>
        <v>24</v>
      </c>
      <c r="B722" s="12">
        <v>2016</v>
      </c>
      <c r="C722" s="13" t="s">
        <v>660</v>
      </c>
      <c r="D722" s="13" t="s">
        <v>17</v>
      </c>
      <c r="E722" s="14" t="s">
        <v>7</v>
      </c>
      <c r="F722" s="15" t="s">
        <v>8</v>
      </c>
      <c r="H722" t="str">
        <f>TRIM(SUBSTITUTE(PROPER(C722)&amp;" "&amp;IF(OR(D722="County",D722="Township",D722="Village",D722="Charter Township"),D722,"")&amp;IF(D722="Township"," "&amp;"("&amp;VLOOKUP(A722,counties,3,0)&amp;")",""),"  "," "))</f>
        <v>Springvale-Bear Creek Sewage Disposal Authority</v>
      </c>
    </row>
    <row r="723" spans="1:8" ht="16.5" thickTop="1" thickBot="1" x14ac:dyDescent="0.3">
      <c r="A723">
        <f t="shared" si="12"/>
        <v>25</v>
      </c>
      <c r="B723" s="5" t="s">
        <v>0</v>
      </c>
      <c r="C723" s="6" t="s">
        <v>1</v>
      </c>
      <c r="D723" s="6" t="s">
        <v>2</v>
      </c>
      <c r="E723" s="6" t="s">
        <v>3</v>
      </c>
      <c r="F723" s="7" t="s">
        <v>4</v>
      </c>
      <c r="H723" t="str">
        <f>TRIM(SUBSTITUTE(PROPER(C723)&amp;" "&amp;IF(OR(D723="County",D723="Township",D723="Village",D723="Charter Township"),D723,"")&amp;IF(D723="Township"," "&amp;"("&amp;VLOOKUP(A723,counties,3,0)&amp;")",""),"  "," "))</f>
        <v>Municipality</v>
      </c>
    </row>
    <row r="724" spans="1:8" ht="15.75" thickBot="1" x14ac:dyDescent="0.3">
      <c r="A724">
        <f t="shared" si="12"/>
        <v>25</v>
      </c>
      <c r="B724" s="8">
        <v>2016</v>
      </c>
      <c r="C724" s="1" t="s">
        <v>661</v>
      </c>
      <c r="D724" s="1" t="s">
        <v>9</v>
      </c>
      <c r="E724" s="2" t="s">
        <v>7</v>
      </c>
      <c r="F724" s="9" t="s">
        <v>8</v>
      </c>
      <c r="H724" t="str">
        <f>TRIM(SUBSTITUTE(PROPER(C724)&amp;" "&amp;IF(OR(D724="County",D724="Township",D724="Village",D724="Charter Township"),D724,"")&amp;IF(D724="Township"," "&amp;"("&amp;VLOOKUP(A724,counties,3,0)&amp;")",""),"  "," "))</f>
        <v>Argentine Township (Genesee County)</v>
      </c>
    </row>
    <row r="725" spans="1:8" ht="15.75" thickBot="1" x14ac:dyDescent="0.3">
      <c r="A725">
        <f t="shared" si="12"/>
        <v>25</v>
      </c>
      <c r="B725" s="10">
        <v>2016</v>
      </c>
      <c r="C725" s="3" t="s">
        <v>662</v>
      </c>
      <c r="D725" s="3" t="s">
        <v>9</v>
      </c>
      <c r="E725" s="4" t="s">
        <v>7</v>
      </c>
      <c r="F725" s="11" t="s">
        <v>8</v>
      </c>
      <c r="H725" t="str">
        <f>TRIM(SUBSTITUTE(PROPER(C725)&amp;" "&amp;IF(OR(D725="County",D725="Township",D725="Village",D725="Charter Township"),D725,"")&amp;IF(D725="Township"," "&amp;"("&amp;VLOOKUP(A725,counties,3,0)&amp;")",""),"  "," "))</f>
        <v>Atlas Township (Genesee County)</v>
      </c>
    </row>
    <row r="726" spans="1:8" ht="15.75" thickBot="1" x14ac:dyDescent="0.3">
      <c r="A726">
        <f t="shared" si="12"/>
        <v>25</v>
      </c>
      <c r="B726" s="8">
        <v>2016</v>
      </c>
      <c r="C726" s="1" t="s">
        <v>663</v>
      </c>
      <c r="D726" s="1" t="s">
        <v>17</v>
      </c>
      <c r="E726" s="2" t="s">
        <v>7</v>
      </c>
      <c r="F726" s="9" t="s">
        <v>8</v>
      </c>
      <c r="H726" t="str">
        <f>TRIM(SUBSTITUTE(PROPER(C726)&amp;" "&amp;IF(OR(D726="County",D726="Township",D726="Village",D726="Charter Township"),D726,"")&amp;IF(D726="Township"," "&amp;"("&amp;VLOOKUP(A726,counties,3,0)&amp;")",""),"  "," "))</f>
        <v>Beecher Metropolitan District</v>
      </c>
    </row>
    <row r="727" spans="1:8" ht="15.75" thickBot="1" x14ac:dyDescent="0.3">
      <c r="A727">
        <f t="shared" si="12"/>
        <v>25</v>
      </c>
      <c r="B727" s="10">
        <v>2016</v>
      </c>
      <c r="C727" s="3" t="s">
        <v>664</v>
      </c>
      <c r="D727" s="3" t="s">
        <v>17</v>
      </c>
      <c r="E727" s="4" t="s">
        <v>7</v>
      </c>
      <c r="F727" s="11" t="s">
        <v>8</v>
      </c>
      <c r="H727" t="str">
        <f>TRIM(SUBSTITUTE(PROPER(C727)&amp;" "&amp;IF(OR(D727="County",D727="Township",D727="Village",D727="Charter Township"),D727,"")&amp;IF(D727="Township"," "&amp;"("&amp;VLOOKUP(A727,counties,3,0)&amp;")",""),"  "," "))</f>
        <v>Bishop International Airport Authority</v>
      </c>
    </row>
    <row r="728" spans="1:8" ht="15.75" thickBot="1" x14ac:dyDescent="0.3">
      <c r="A728">
        <f t="shared" si="12"/>
        <v>25</v>
      </c>
      <c r="B728" s="8">
        <v>2016</v>
      </c>
      <c r="C728" s="1" t="s">
        <v>665</v>
      </c>
      <c r="D728" s="1" t="s">
        <v>15</v>
      </c>
      <c r="E728" s="2" t="s">
        <v>7</v>
      </c>
      <c r="F728" s="9" t="s">
        <v>8</v>
      </c>
      <c r="H728" t="str">
        <f>TRIM(SUBSTITUTE(PROPER(C728)&amp;" "&amp;IF(OR(D728="County",D728="Township",D728="Village",D728="Charter Township"),D728,"")&amp;IF(D728="Township"," "&amp;"("&amp;VLOOKUP(A728,counties,3,0)&amp;")",""),"  "," "))</f>
        <v>Burton</v>
      </c>
    </row>
    <row r="729" spans="1:8" ht="15.75" thickBot="1" x14ac:dyDescent="0.3">
      <c r="A729">
        <f t="shared" si="12"/>
        <v>25</v>
      </c>
      <c r="B729" s="10">
        <v>2016</v>
      </c>
      <c r="C729" s="3" t="s">
        <v>666</v>
      </c>
      <c r="D729" s="3" t="s">
        <v>9</v>
      </c>
      <c r="E729" s="4" t="s">
        <v>7</v>
      </c>
      <c r="F729" s="11" t="s">
        <v>8</v>
      </c>
      <c r="H729" t="str">
        <f>TRIM(SUBSTITUTE(PROPER(C729)&amp;" "&amp;IF(OR(D729="County",D729="Township",D729="Village",D729="Charter Township"),D729,"")&amp;IF(D729="Township"," "&amp;"("&amp;VLOOKUP(A729,counties,3,0)&amp;")",""),"  "," "))</f>
        <v>Clayton Charter Township (Genesee County)</v>
      </c>
    </row>
    <row r="730" spans="1:8" ht="15.75" thickBot="1" x14ac:dyDescent="0.3">
      <c r="A730">
        <f t="shared" si="12"/>
        <v>25</v>
      </c>
      <c r="B730" s="8">
        <v>2016</v>
      </c>
      <c r="C730" s="1" t="s">
        <v>667</v>
      </c>
      <c r="D730" s="1" t="s">
        <v>15</v>
      </c>
      <c r="E730" s="2" t="s">
        <v>7</v>
      </c>
      <c r="F730" s="9" t="s">
        <v>8</v>
      </c>
      <c r="H730" t="str">
        <f>TRIM(SUBSTITUTE(PROPER(C730)&amp;" "&amp;IF(OR(D730="County",D730="Township",D730="Village",D730="Charter Township"),D730,"")&amp;IF(D730="Township"," "&amp;"("&amp;VLOOKUP(A730,counties,3,0)&amp;")",""),"  "," "))</f>
        <v>Clio</v>
      </c>
    </row>
    <row r="731" spans="1:8" ht="15.75" thickBot="1" x14ac:dyDescent="0.3">
      <c r="A731">
        <f t="shared" si="12"/>
        <v>25</v>
      </c>
      <c r="B731" s="10">
        <v>2016</v>
      </c>
      <c r="C731" s="3" t="s">
        <v>668</v>
      </c>
      <c r="D731" s="3" t="s">
        <v>17</v>
      </c>
      <c r="E731" s="4" t="s">
        <v>7</v>
      </c>
      <c r="F731" s="11" t="s">
        <v>19</v>
      </c>
      <c r="H731" t="str">
        <f>TRIM(SUBSTITUTE(PROPER(C731)&amp;" "&amp;IF(OR(D731="County",D731="Township",D731="Village",D731="Charter Township"),D731,"")&amp;IF(D731="Township"," "&amp;"("&amp;VLOOKUP(A731,counties,3,0)&amp;")",""),"  "," "))</f>
        <v>Clio Area Fire Authority</v>
      </c>
    </row>
    <row r="732" spans="1:8" ht="15.75" thickBot="1" x14ac:dyDescent="0.3">
      <c r="A732">
        <f t="shared" si="12"/>
        <v>25</v>
      </c>
      <c r="B732" s="8">
        <v>2016</v>
      </c>
      <c r="C732" s="1" t="s">
        <v>669</v>
      </c>
      <c r="D732" s="1" t="s">
        <v>42</v>
      </c>
      <c r="E732" s="2" t="s">
        <v>7</v>
      </c>
      <c r="F732" s="9" t="s">
        <v>8</v>
      </c>
      <c r="H732" t="str">
        <f>TRIM(SUBSTITUTE(PROPER(C732)&amp;" "&amp;IF(OR(D732="County",D732="Township",D732="Village",D732="Charter Township"),D732,"")&amp;IF(D732="Township"," "&amp;"("&amp;VLOOKUP(A732,counties,3,0)&amp;")",""),"  "," "))</f>
        <v>Clio Area Library</v>
      </c>
    </row>
    <row r="733" spans="1:8" ht="15.75" thickBot="1" x14ac:dyDescent="0.3">
      <c r="A733">
        <f t="shared" si="12"/>
        <v>25</v>
      </c>
      <c r="B733" s="10">
        <v>2016</v>
      </c>
      <c r="C733" s="3" t="s">
        <v>670</v>
      </c>
      <c r="D733" s="3" t="s">
        <v>15</v>
      </c>
      <c r="E733" s="4" t="s">
        <v>7</v>
      </c>
      <c r="F733" s="11" t="s">
        <v>8</v>
      </c>
      <c r="H733" t="str">
        <f>TRIM(SUBSTITUTE(PROPER(C733)&amp;" "&amp;IF(OR(D733="County",D733="Township",D733="Village",D733="Charter Township"),D733,"")&amp;IF(D733="Township"," "&amp;"("&amp;VLOOKUP(A733,counties,3,0)&amp;")",""),"  "," "))</f>
        <v>Davison</v>
      </c>
    </row>
    <row r="734" spans="1:8" ht="15.75" thickBot="1" x14ac:dyDescent="0.3">
      <c r="A734">
        <f t="shared" si="12"/>
        <v>25</v>
      </c>
      <c r="B734" s="8">
        <v>2016</v>
      </c>
      <c r="C734" s="1" t="s">
        <v>670</v>
      </c>
      <c r="D734" s="1" t="s">
        <v>9</v>
      </c>
      <c r="E734" s="2" t="s">
        <v>7</v>
      </c>
      <c r="F734" s="9" t="s">
        <v>8</v>
      </c>
      <c r="H734" t="str">
        <f>TRIM(SUBSTITUTE(PROPER(C734)&amp;" "&amp;IF(OR(D734="County",D734="Township",D734="Village",D734="Charter Township"),D734,"")&amp;IF(D734="Township"," "&amp;"("&amp;VLOOKUP(A734,counties,3,0)&amp;")",""),"  "," "))</f>
        <v>Davison Township (Genesee County)</v>
      </c>
    </row>
    <row r="735" spans="1:8" ht="15.75" thickBot="1" x14ac:dyDescent="0.3">
      <c r="A735">
        <f t="shared" si="12"/>
        <v>25</v>
      </c>
      <c r="B735" s="10">
        <v>2016</v>
      </c>
      <c r="C735" s="3" t="s">
        <v>671</v>
      </c>
      <c r="D735" s="3" t="s">
        <v>17</v>
      </c>
      <c r="E735" s="4" t="s">
        <v>7</v>
      </c>
      <c r="F735" s="11" t="s">
        <v>8</v>
      </c>
      <c r="H735" t="str">
        <f>TRIM(SUBSTITUTE(PROPER(C735)&amp;" "&amp;IF(OR(D735="County",D735="Township",D735="Village",D735="Charter Township"),D735,"")&amp;IF(D735="Township"," "&amp;"("&amp;VLOOKUP(A735,counties,3,0)&amp;")",""),"  "," "))</f>
        <v>Davison Richfield Area Fire Authority</v>
      </c>
    </row>
    <row r="736" spans="1:8" ht="15.75" thickBot="1" x14ac:dyDescent="0.3">
      <c r="A736">
        <f t="shared" si="12"/>
        <v>25</v>
      </c>
      <c r="B736" s="8">
        <v>2016</v>
      </c>
      <c r="C736" s="1" t="s">
        <v>672</v>
      </c>
      <c r="D736" s="1" t="s">
        <v>17</v>
      </c>
      <c r="E736" s="2" t="s">
        <v>7</v>
      </c>
      <c r="F736" s="9" t="s">
        <v>8</v>
      </c>
      <c r="H736" t="str">
        <f>TRIM(SUBSTITUTE(PROPER(C736)&amp;" "&amp;IF(OR(D736="County",D736="Township",D736="Village",D736="Charter Township"),D736,"")&amp;IF(D736="Township"," "&amp;"("&amp;VLOOKUP(A736,counties,3,0)&amp;")",""),"  "," "))</f>
        <v>Davison Richfield Senior Citizens Authority</v>
      </c>
    </row>
    <row r="737" spans="1:8" ht="15.75" thickBot="1" x14ac:dyDescent="0.3">
      <c r="A737">
        <f t="shared" si="12"/>
        <v>25</v>
      </c>
      <c r="B737" s="10">
        <v>2016</v>
      </c>
      <c r="C737" s="3" t="s">
        <v>673</v>
      </c>
      <c r="D737" s="3" t="s">
        <v>15</v>
      </c>
      <c r="E737" s="4" t="s">
        <v>7</v>
      </c>
      <c r="F737" s="11" t="s">
        <v>8</v>
      </c>
      <c r="H737" t="str">
        <f>TRIM(SUBSTITUTE(PROPER(C737)&amp;" "&amp;IF(OR(D737="County",D737="Township",D737="Village",D737="Charter Township"),D737,"")&amp;IF(D737="Township"," "&amp;"("&amp;VLOOKUP(A737,counties,3,0)&amp;")",""),"  "," "))</f>
        <v>Fenton</v>
      </c>
    </row>
    <row r="738" spans="1:8" ht="15.75" thickBot="1" x14ac:dyDescent="0.3">
      <c r="A738">
        <f t="shared" si="12"/>
        <v>25</v>
      </c>
      <c r="B738" s="8">
        <v>2016</v>
      </c>
      <c r="C738" s="1" t="s">
        <v>674</v>
      </c>
      <c r="D738" s="1" t="s">
        <v>9</v>
      </c>
      <c r="E738" s="2" t="s">
        <v>7</v>
      </c>
      <c r="F738" s="9" t="s">
        <v>8</v>
      </c>
      <c r="H738" t="str">
        <f>TRIM(SUBSTITUTE(PROPER(C738)&amp;" "&amp;IF(OR(D738="County",D738="Township",D738="Village",D738="Charter Township"),D738,"")&amp;IF(D738="Township"," "&amp;"("&amp;VLOOKUP(A738,counties,3,0)&amp;")",""),"  "," "))</f>
        <v>Fenton Charter Township (Genesee County)</v>
      </c>
    </row>
    <row r="739" spans="1:8" ht="15.75" thickBot="1" x14ac:dyDescent="0.3">
      <c r="A739">
        <f t="shared" si="12"/>
        <v>25</v>
      </c>
      <c r="B739" s="10">
        <v>2016</v>
      </c>
      <c r="C739" s="3" t="s">
        <v>675</v>
      </c>
      <c r="D739" s="3" t="s">
        <v>15</v>
      </c>
      <c r="E739" s="4" t="s">
        <v>7</v>
      </c>
      <c r="F739" s="11" t="s">
        <v>8</v>
      </c>
      <c r="H739" t="str">
        <f>TRIM(SUBSTITUTE(PROPER(C739)&amp;" "&amp;IF(OR(D739="County",D739="Township",D739="Village",D739="Charter Township"),D739,"")&amp;IF(D739="Township"," "&amp;"("&amp;VLOOKUP(A739,counties,3,0)&amp;")",""),"  "," "))</f>
        <v>Flint</v>
      </c>
    </row>
    <row r="740" spans="1:8" ht="15.75" thickBot="1" x14ac:dyDescent="0.3">
      <c r="A740">
        <f t="shared" si="12"/>
        <v>25</v>
      </c>
      <c r="B740" s="8">
        <v>2016</v>
      </c>
      <c r="C740" s="1" t="s">
        <v>676</v>
      </c>
      <c r="D740" s="1" t="s">
        <v>17</v>
      </c>
      <c r="E740" s="2" t="s">
        <v>7</v>
      </c>
      <c r="F740" s="9" t="s">
        <v>8</v>
      </c>
      <c r="H740" t="str">
        <f>TRIM(SUBSTITUTE(PROPER(C740)&amp;" "&amp;IF(OR(D740="County",D740="Township",D740="Village",D740="Charter Township"),D740,"")&amp;IF(D740="Township"," "&amp;"("&amp;VLOOKUP(A740,counties,3,0)&amp;")",""),"  "," "))</f>
        <v>Flint Area Enterprise Community</v>
      </c>
    </row>
    <row r="741" spans="1:8" ht="15.75" thickBot="1" x14ac:dyDescent="0.3">
      <c r="A741">
        <f t="shared" si="12"/>
        <v>25</v>
      </c>
      <c r="B741" s="10">
        <v>2016</v>
      </c>
      <c r="C741" s="3" t="s">
        <v>677</v>
      </c>
      <c r="D741" s="3" t="s">
        <v>9</v>
      </c>
      <c r="E741" s="4" t="s">
        <v>7</v>
      </c>
      <c r="F741" s="11" t="s">
        <v>8</v>
      </c>
      <c r="H741" t="str">
        <f>TRIM(SUBSTITUTE(PROPER(C741)&amp;" "&amp;IF(OR(D741="County",D741="Township",D741="Village",D741="Charter Township"),D741,"")&amp;IF(D741="Township"," "&amp;"("&amp;VLOOKUP(A741,counties,3,0)&amp;")",""),"  "," "))</f>
        <v>Flint Charter Township (Genesee County)</v>
      </c>
    </row>
    <row r="742" spans="1:8" ht="15.75" thickBot="1" x14ac:dyDescent="0.3">
      <c r="A742">
        <f t="shared" si="12"/>
        <v>25</v>
      </c>
      <c r="B742" s="8">
        <v>2016</v>
      </c>
      <c r="C742" s="1" t="s">
        <v>678</v>
      </c>
      <c r="D742" s="1" t="s">
        <v>17</v>
      </c>
      <c r="E742" s="2" t="s">
        <v>7</v>
      </c>
      <c r="F742" s="9" t="s">
        <v>8</v>
      </c>
      <c r="H742" t="str">
        <f>TRIM(SUBSTITUTE(PROPER(C742)&amp;" "&amp;IF(OR(D742="County",D742="Township",D742="Village",D742="Charter Township"),D742,"")&amp;IF(D742="Township"," "&amp;"("&amp;VLOOKUP(A742,counties,3,0)&amp;")",""),"  "," "))</f>
        <v>Flint City Downtown Development Authority</v>
      </c>
    </row>
    <row r="743" spans="1:8" ht="15.75" thickBot="1" x14ac:dyDescent="0.3">
      <c r="A743">
        <f t="shared" si="12"/>
        <v>25</v>
      </c>
      <c r="B743" s="10">
        <v>2016</v>
      </c>
      <c r="C743" s="3" t="s">
        <v>679</v>
      </c>
      <c r="D743" s="3" t="s">
        <v>17</v>
      </c>
      <c r="E743" s="4" t="s">
        <v>7</v>
      </c>
      <c r="F743" s="11" t="s">
        <v>8</v>
      </c>
      <c r="H743" t="str">
        <f>TRIM(SUBSTITUTE(PROPER(C743)&amp;" "&amp;IF(OR(D743="County",D743="Township",D743="Village",D743="Charter Township"),D743,"")&amp;IF(D743="Township"," "&amp;"("&amp;VLOOKUP(A743,counties,3,0)&amp;")",""),"  "," "))</f>
        <v>Flint City Edc</v>
      </c>
    </row>
    <row r="744" spans="1:8" ht="15.75" thickBot="1" x14ac:dyDescent="0.3">
      <c r="A744">
        <f t="shared" si="12"/>
        <v>25</v>
      </c>
      <c r="B744" s="8">
        <v>2016</v>
      </c>
      <c r="C744" s="1" t="s">
        <v>680</v>
      </c>
      <c r="D744" s="1" t="s">
        <v>42</v>
      </c>
      <c r="E744" s="2" t="s">
        <v>7</v>
      </c>
      <c r="F744" s="9" t="s">
        <v>8</v>
      </c>
      <c r="H744" t="str">
        <f>TRIM(SUBSTITUTE(PROPER(C744)&amp;" "&amp;IF(OR(D744="County",D744="Township",D744="Village",D744="Charter Township"),D744,"")&amp;IF(D744="Township"," "&amp;"("&amp;VLOOKUP(A744,counties,3,0)&amp;")",""),"  "," "))</f>
        <v>Flint Public Library</v>
      </c>
    </row>
    <row r="745" spans="1:8" ht="15.75" thickBot="1" x14ac:dyDescent="0.3">
      <c r="A745">
        <f t="shared" si="12"/>
        <v>25</v>
      </c>
      <c r="B745" s="10">
        <v>2016</v>
      </c>
      <c r="C745" s="3" t="s">
        <v>681</v>
      </c>
      <c r="D745" s="3" t="s">
        <v>15</v>
      </c>
      <c r="E745" s="4" t="s">
        <v>7</v>
      </c>
      <c r="F745" s="11" t="s">
        <v>8</v>
      </c>
      <c r="H745" t="str">
        <f>TRIM(SUBSTITUTE(PROPER(C745)&amp;" "&amp;IF(OR(D745="County",D745="Township",D745="Village",D745="Charter Township"),D745,"")&amp;IF(D745="Township"," "&amp;"("&amp;VLOOKUP(A745,counties,3,0)&amp;")",""),"  "," "))</f>
        <v>Flushing</v>
      </c>
    </row>
    <row r="746" spans="1:8" ht="15.75" thickBot="1" x14ac:dyDescent="0.3">
      <c r="A746">
        <f t="shared" si="12"/>
        <v>25</v>
      </c>
      <c r="B746" s="8">
        <v>2016</v>
      </c>
      <c r="C746" s="1" t="s">
        <v>682</v>
      </c>
      <c r="D746" s="1" t="s">
        <v>9</v>
      </c>
      <c r="E746" s="2" t="s">
        <v>7</v>
      </c>
      <c r="F746" s="9" t="s">
        <v>8</v>
      </c>
      <c r="H746" t="str">
        <f>TRIM(SUBSTITUTE(PROPER(C746)&amp;" "&amp;IF(OR(D746="County",D746="Township",D746="Village",D746="Charter Township"),D746,"")&amp;IF(D746="Township"," "&amp;"("&amp;VLOOKUP(A746,counties,3,0)&amp;")",""),"  "," "))</f>
        <v>Flushing Charter Township (Genesee County)</v>
      </c>
    </row>
    <row r="747" spans="1:8" ht="15.75" thickBot="1" x14ac:dyDescent="0.3">
      <c r="A747">
        <f t="shared" si="12"/>
        <v>25</v>
      </c>
      <c r="B747" s="10">
        <v>2016</v>
      </c>
      <c r="C747" s="3" t="s">
        <v>683</v>
      </c>
      <c r="D747" s="3" t="s">
        <v>9</v>
      </c>
      <c r="E747" s="4" t="s">
        <v>7</v>
      </c>
      <c r="F747" s="11" t="s">
        <v>8</v>
      </c>
      <c r="H747" t="str">
        <f>TRIM(SUBSTITUTE(PROPER(C747)&amp;" "&amp;IF(OR(D747="County",D747="Township",D747="Village",D747="Charter Township"),D747,"")&amp;IF(D747="Township"," "&amp;"("&amp;VLOOKUP(A747,counties,3,0)&amp;")",""),"  "," "))</f>
        <v>Forest Township (Genesee County)</v>
      </c>
    </row>
    <row r="748" spans="1:8" ht="15.75" thickBot="1" x14ac:dyDescent="0.3">
      <c r="A748">
        <f t="shared" si="12"/>
        <v>25</v>
      </c>
      <c r="B748" s="8">
        <v>2016</v>
      </c>
      <c r="C748" s="1" t="s">
        <v>684</v>
      </c>
      <c r="D748" s="1" t="s">
        <v>9</v>
      </c>
      <c r="E748" s="2" t="s">
        <v>7</v>
      </c>
      <c r="F748" s="9" t="s">
        <v>8</v>
      </c>
      <c r="H748" t="str">
        <f>TRIM(SUBSTITUTE(PROPER(C748)&amp;" "&amp;IF(OR(D748="County",D748="Township",D748="Village",D748="Charter Township"),D748,"")&amp;IF(D748="Township"," "&amp;"("&amp;VLOOKUP(A748,counties,3,0)&amp;")",""),"  "," "))</f>
        <v>Gaines Township (Genesee County)</v>
      </c>
    </row>
    <row r="749" spans="1:8" ht="15.75" thickBot="1" x14ac:dyDescent="0.3">
      <c r="A749">
        <f t="shared" si="12"/>
        <v>25</v>
      </c>
      <c r="B749" s="10">
        <v>2016</v>
      </c>
      <c r="C749" s="3" t="s">
        <v>685</v>
      </c>
      <c r="D749" s="3" t="s">
        <v>6</v>
      </c>
      <c r="E749" s="4" t="s">
        <v>7</v>
      </c>
      <c r="F749" s="11" t="s">
        <v>8</v>
      </c>
      <c r="H749" t="str">
        <f>TRIM(SUBSTITUTE(PROPER(C749)&amp;" "&amp;IF(OR(D749="County",D749="Township",D749="Village",D749="Charter Township"),D749,"")&amp;IF(D749="Township"," "&amp;"("&amp;VLOOKUP(A749,counties,3,0)&amp;")",""),"  "," "))</f>
        <v>Genesee County</v>
      </c>
    </row>
    <row r="750" spans="1:8" ht="15.75" thickBot="1" x14ac:dyDescent="0.3">
      <c r="A750">
        <f t="shared" si="12"/>
        <v>25</v>
      </c>
      <c r="B750" s="8">
        <v>2016</v>
      </c>
      <c r="C750" s="1" t="s">
        <v>686</v>
      </c>
      <c r="D750" s="1" t="s">
        <v>9</v>
      </c>
      <c r="E750" s="2" t="s">
        <v>7</v>
      </c>
      <c r="F750" s="9" t="s">
        <v>8</v>
      </c>
      <c r="H750" t="str">
        <f>TRIM(SUBSTITUTE(PROPER(C750)&amp;" "&amp;IF(OR(D750="County",D750="Township",D750="Village",D750="Charter Township"),D750,"")&amp;IF(D750="Township"," "&amp;"("&amp;VLOOKUP(A750,counties,3,0)&amp;")",""),"  "," "))</f>
        <v>Genesee Charter Township (Genesee County)</v>
      </c>
    </row>
    <row r="751" spans="1:8" ht="15.75" thickBot="1" x14ac:dyDescent="0.3">
      <c r="A751">
        <f t="shared" si="12"/>
        <v>25</v>
      </c>
      <c r="B751" s="10">
        <v>2016</v>
      </c>
      <c r="C751" s="3" t="s">
        <v>687</v>
      </c>
      <c r="D751" s="3" t="s">
        <v>17</v>
      </c>
      <c r="E751" s="4" t="s">
        <v>7</v>
      </c>
      <c r="F751" s="11" t="s">
        <v>8</v>
      </c>
      <c r="H751" t="str">
        <f>TRIM(SUBSTITUTE(PROPER(C751)&amp;" "&amp;IF(OR(D751="County",D751="Township",D751="Village",D751="Charter Township"),D751,"")&amp;IF(D751="Township"," "&amp;"("&amp;VLOOKUP(A751,counties,3,0)&amp;")",""),"  "," "))</f>
        <v>Genesee County 9-1-1 Consortium Commission</v>
      </c>
    </row>
    <row r="752" spans="1:8" ht="15.75" thickBot="1" x14ac:dyDescent="0.3">
      <c r="A752">
        <f t="shared" si="12"/>
        <v>25</v>
      </c>
      <c r="B752" s="8">
        <v>2016</v>
      </c>
      <c r="C752" s="1" t="s">
        <v>688</v>
      </c>
      <c r="D752" s="1" t="s">
        <v>17</v>
      </c>
      <c r="E752" s="2" t="s">
        <v>7</v>
      </c>
      <c r="F752" s="9" t="s">
        <v>8</v>
      </c>
      <c r="H752" t="str">
        <f>TRIM(SUBSTITUTE(PROPER(C752)&amp;" "&amp;IF(OR(D752="County",D752="Township",D752="Village",D752="Charter Township"),D752,"")&amp;IF(D752="Township"," "&amp;"("&amp;VLOOKUP(A752,counties,3,0)&amp;")",""),"  "," "))</f>
        <v>Genesee County Community Action Resource Department</v>
      </c>
    </row>
    <row r="753" spans="1:8" ht="15.75" thickBot="1" x14ac:dyDescent="0.3">
      <c r="A753">
        <f t="shared" si="12"/>
        <v>25</v>
      </c>
      <c r="B753" s="10">
        <v>2016</v>
      </c>
      <c r="C753" s="3" t="s">
        <v>689</v>
      </c>
      <c r="D753" s="3" t="s">
        <v>17</v>
      </c>
      <c r="E753" s="4" t="s">
        <v>7</v>
      </c>
      <c r="F753" s="11" t="s">
        <v>8</v>
      </c>
      <c r="H753" t="str">
        <f>TRIM(SUBSTITUTE(PROPER(C753)&amp;" "&amp;IF(OR(D753="County",D753="Township",D753="Village",D753="Charter Township"),D753,"")&amp;IF(D753="Township"," "&amp;"("&amp;VLOOKUP(A753,counties,3,0)&amp;")",""),"  "," "))</f>
        <v>Genesee County Employees Retirement System</v>
      </c>
    </row>
    <row r="754" spans="1:8" ht="15.75" thickBot="1" x14ac:dyDescent="0.3">
      <c r="A754">
        <f t="shared" si="12"/>
        <v>25</v>
      </c>
      <c r="B754" s="8">
        <v>2016</v>
      </c>
      <c r="C754" s="1" t="s">
        <v>690</v>
      </c>
      <c r="D754" s="1" t="s">
        <v>17</v>
      </c>
      <c r="E754" s="2" t="s">
        <v>7</v>
      </c>
      <c r="F754" s="9" t="s">
        <v>8</v>
      </c>
      <c r="H754" t="str">
        <f>TRIM(SUBSTITUTE(PROPER(C754)&amp;" "&amp;IF(OR(D754="County",D754="Township",D754="Village",D754="Charter Township"),D754,"")&amp;IF(D754="Township"," "&amp;"("&amp;VLOOKUP(A754,counties,3,0)&amp;")",""),"  "," "))</f>
        <v>Genesee County Land Bank Authority</v>
      </c>
    </row>
    <row r="755" spans="1:8" ht="15.75" thickBot="1" x14ac:dyDescent="0.3">
      <c r="A755">
        <f t="shared" si="12"/>
        <v>25</v>
      </c>
      <c r="B755" s="10">
        <v>2016</v>
      </c>
      <c r="C755" s="3" t="s">
        <v>691</v>
      </c>
      <c r="D755" s="3" t="s">
        <v>17</v>
      </c>
      <c r="E755" s="4" t="s">
        <v>7</v>
      </c>
      <c r="F755" s="11" t="s">
        <v>8</v>
      </c>
      <c r="H755" t="str">
        <f>TRIM(SUBSTITUTE(PROPER(C755)&amp;" "&amp;IF(OR(D755="County",D755="Township",D755="Village",D755="Charter Township"),D755,"")&amp;IF(D755="Township"," "&amp;"("&amp;VLOOKUP(A755,counties,3,0)&amp;")",""),"  "," "))</f>
        <v>Genesee County Metropolitan Planning Commission</v>
      </c>
    </row>
    <row r="756" spans="1:8" ht="15.75" thickBot="1" x14ac:dyDescent="0.3">
      <c r="A756">
        <f t="shared" si="12"/>
        <v>25</v>
      </c>
      <c r="B756" s="8">
        <v>2016</v>
      </c>
      <c r="C756" s="1" t="s">
        <v>692</v>
      </c>
      <c r="D756" s="1" t="s">
        <v>11</v>
      </c>
      <c r="E756" s="2" t="s">
        <v>7</v>
      </c>
      <c r="F756" s="9" t="s">
        <v>8</v>
      </c>
      <c r="H756" t="str">
        <f>TRIM(SUBSTITUTE(PROPER(C756)&amp;" "&amp;IF(OR(D756="County",D756="Township",D756="Village",D756="Charter Township"),D756,"")&amp;IF(D756="Township"," "&amp;"("&amp;VLOOKUP(A756,counties,3,0)&amp;")",""),"  "," "))</f>
        <v>Genesee County Road Commission</v>
      </c>
    </row>
    <row r="757" spans="1:8" ht="15.75" thickBot="1" x14ac:dyDescent="0.3">
      <c r="A757">
        <f t="shared" si="12"/>
        <v>25</v>
      </c>
      <c r="B757" s="10">
        <v>2016</v>
      </c>
      <c r="C757" s="3" t="s">
        <v>693</v>
      </c>
      <c r="D757" s="3" t="s">
        <v>72</v>
      </c>
      <c r="E757" s="4" t="s">
        <v>7</v>
      </c>
      <c r="F757" s="11" t="s">
        <v>8</v>
      </c>
      <c r="H757" t="str">
        <f>TRIM(SUBSTITUTE(PROPER(C757)&amp;" "&amp;IF(OR(D757="County",D757="Township",D757="Village",D757="Charter Township"),D757,"")&amp;IF(D757="Township"," "&amp;"("&amp;VLOOKUP(A757,counties,3,0)&amp;")",""),"  "," "))</f>
        <v>Genesee County Storm Water Management System</v>
      </c>
    </row>
    <row r="758" spans="1:8" ht="15.75" thickBot="1" x14ac:dyDescent="0.3">
      <c r="A758">
        <f t="shared" si="12"/>
        <v>25</v>
      </c>
      <c r="B758" s="8">
        <v>2016</v>
      </c>
      <c r="C758" s="1" t="s">
        <v>694</v>
      </c>
      <c r="D758" s="1" t="s">
        <v>42</v>
      </c>
      <c r="E758" s="2" t="s">
        <v>7</v>
      </c>
      <c r="F758" s="9" t="s">
        <v>8</v>
      </c>
      <c r="H758" t="str">
        <f>TRIM(SUBSTITUTE(PROPER(C758)&amp;" "&amp;IF(OR(D758="County",D758="Township",D758="Village",D758="Charter Township"),D758,"")&amp;IF(D758="Township"," "&amp;"("&amp;VLOOKUP(A758,counties,3,0)&amp;")",""),"  "," "))</f>
        <v>Genesee District Library</v>
      </c>
    </row>
    <row r="759" spans="1:8" ht="15.75" thickBot="1" x14ac:dyDescent="0.3">
      <c r="A759">
        <f t="shared" si="12"/>
        <v>25</v>
      </c>
      <c r="B759" s="10">
        <v>2016</v>
      </c>
      <c r="C759" s="3" t="s">
        <v>695</v>
      </c>
      <c r="D759" s="3" t="s">
        <v>17</v>
      </c>
      <c r="E759" s="4" t="s">
        <v>7</v>
      </c>
      <c r="F759" s="11" t="s">
        <v>8</v>
      </c>
      <c r="H759" t="str">
        <f>TRIM(SUBSTITUTE(PROPER(C759)&amp;" "&amp;IF(OR(D759="County",D759="Township",D759="Village",D759="Charter Township"),D759,"")&amp;IF(D759="Township"," "&amp;"("&amp;VLOOKUP(A759,counties,3,0)&amp;")",""),"  "," "))</f>
        <v>Genesee Health System</v>
      </c>
    </row>
    <row r="760" spans="1:8" ht="15.75" thickBot="1" x14ac:dyDescent="0.3">
      <c r="A760">
        <f t="shared" si="12"/>
        <v>25</v>
      </c>
      <c r="B760" s="8">
        <v>2016</v>
      </c>
      <c r="C760" s="1" t="s">
        <v>696</v>
      </c>
      <c r="D760" s="1" t="s">
        <v>17</v>
      </c>
      <c r="E760" s="2" t="s">
        <v>7</v>
      </c>
      <c r="F760" s="9" t="s">
        <v>8</v>
      </c>
      <c r="H760" t="str">
        <f>TRIM(SUBSTITUTE(PROPER(C760)&amp;" "&amp;IF(OR(D760="County",D760="Township",D760="Village",D760="Charter Township"),D760,"")&amp;IF(D760="Township"," "&amp;"("&amp;VLOOKUP(A760,counties,3,0)&amp;")",""),"  "," "))</f>
        <v>Genesee/Water &amp; Waste Services</v>
      </c>
    </row>
    <row r="761" spans="1:8" ht="15.75" thickBot="1" x14ac:dyDescent="0.3">
      <c r="A761">
        <f t="shared" si="12"/>
        <v>25</v>
      </c>
      <c r="B761" s="10">
        <v>2016</v>
      </c>
      <c r="C761" s="3" t="s">
        <v>697</v>
      </c>
      <c r="D761" s="3" t="s">
        <v>21</v>
      </c>
      <c r="E761" s="4" t="s">
        <v>7</v>
      </c>
      <c r="F761" s="11" t="s">
        <v>8</v>
      </c>
      <c r="H761" t="str">
        <f>TRIM(SUBSTITUTE(PROPER(C761)&amp;" "&amp;IF(OR(D761="County",D761="Township",D761="Village",D761="Charter Township"),D761,"")&amp;IF(D761="Township"," "&amp;"("&amp;VLOOKUP(A761,counties,3,0)&amp;")",""),"  "," "))</f>
        <v>Goodrich Village</v>
      </c>
    </row>
    <row r="762" spans="1:8" ht="15.75" thickBot="1" x14ac:dyDescent="0.3">
      <c r="A762">
        <f t="shared" si="12"/>
        <v>25</v>
      </c>
      <c r="B762" s="8">
        <v>2016</v>
      </c>
      <c r="C762" s="1" t="s">
        <v>698</v>
      </c>
      <c r="D762" s="1" t="s">
        <v>15</v>
      </c>
      <c r="E762" s="2" t="s">
        <v>7</v>
      </c>
      <c r="F762" s="9" t="s">
        <v>8</v>
      </c>
      <c r="H762" t="str">
        <f>TRIM(SUBSTITUTE(PROPER(C762)&amp;" "&amp;IF(OR(D762="County",D762="Township",D762="Village",D762="Charter Township"),D762,"")&amp;IF(D762="Township"," "&amp;"("&amp;VLOOKUP(A762,counties,3,0)&amp;")",""),"  "," "))</f>
        <v>Grand Blanc</v>
      </c>
    </row>
    <row r="763" spans="1:8" ht="15.75" thickBot="1" x14ac:dyDescent="0.3">
      <c r="A763">
        <f t="shared" si="12"/>
        <v>25</v>
      </c>
      <c r="B763" s="10">
        <v>2016</v>
      </c>
      <c r="C763" s="3" t="s">
        <v>699</v>
      </c>
      <c r="D763" s="3" t="s">
        <v>9</v>
      </c>
      <c r="E763" s="4" t="s">
        <v>7</v>
      </c>
      <c r="F763" s="11" t="s">
        <v>8</v>
      </c>
      <c r="H763" t="str">
        <f>TRIM(SUBSTITUTE(PROPER(C763)&amp;" "&amp;IF(OR(D763="County",D763="Township",D763="Village",D763="Charter Township"),D763,"")&amp;IF(D763="Township"," "&amp;"("&amp;VLOOKUP(A763,counties,3,0)&amp;")",""),"  "," "))</f>
        <v>Grand Blanc Charter Township (Genesee County)</v>
      </c>
    </row>
    <row r="764" spans="1:8" ht="15.75" thickBot="1" x14ac:dyDescent="0.3">
      <c r="A764">
        <f t="shared" si="12"/>
        <v>25</v>
      </c>
      <c r="B764" s="8">
        <v>2016</v>
      </c>
      <c r="C764" s="1" t="s">
        <v>700</v>
      </c>
      <c r="D764" s="1" t="s">
        <v>42</v>
      </c>
      <c r="E764" s="2" t="s">
        <v>7</v>
      </c>
      <c r="F764" s="9" t="s">
        <v>8</v>
      </c>
      <c r="H764" t="str">
        <f>TRIM(SUBSTITUTE(PROPER(C764)&amp;" "&amp;IF(OR(D764="County",D764="Township",D764="Village",D764="Charter Township"),D764,"")&amp;IF(D764="Township"," "&amp;"("&amp;VLOOKUP(A764,counties,3,0)&amp;")",""),"  "," "))</f>
        <v>Grand Blanc District Library Commission</v>
      </c>
    </row>
    <row r="765" spans="1:8" ht="15.75" thickBot="1" x14ac:dyDescent="0.3">
      <c r="A765">
        <f t="shared" si="12"/>
        <v>25</v>
      </c>
      <c r="B765" s="10">
        <v>2016</v>
      </c>
      <c r="C765" s="3" t="s">
        <v>701</v>
      </c>
      <c r="D765" s="3" t="s">
        <v>17</v>
      </c>
      <c r="E765" s="4" t="s">
        <v>7</v>
      </c>
      <c r="F765" s="11" t="s">
        <v>8</v>
      </c>
      <c r="H765" t="str">
        <f>TRIM(SUBSTITUTE(PROPER(C765)&amp;" "&amp;IF(OR(D765="County",D765="Township",D765="Village",D765="Charter Township"),D765,"")&amp;IF(D765="Township"," "&amp;"("&amp;VLOOKUP(A765,counties,3,0)&amp;")",""),"  "," "))</f>
        <v>Grand Blanc Fire Commission</v>
      </c>
    </row>
    <row r="766" spans="1:8" ht="15.75" thickBot="1" x14ac:dyDescent="0.3">
      <c r="A766">
        <f t="shared" si="12"/>
        <v>25</v>
      </c>
      <c r="B766" s="8">
        <v>2016</v>
      </c>
      <c r="C766" s="1" t="s">
        <v>702</v>
      </c>
      <c r="D766" s="1" t="s">
        <v>17</v>
      </c>
      <c r="E766" s="2" t="s">
        <v>7</v>
      </c>
      <c r="F766" s="9" t="s">
        <v>8</v>
      </c>
      <c r="H766" t="str">
        <f>TRIM(SUBSTITUTE(PROPER(C766)&amp;" "&amp;IF(OR(D766="County",D766="Township",D766="Village",D766="Charter Township"),D766,"")&amp;IF(D766="Township"," "&amp;"("&amp;VLOOKUP(A766,counties,3,0)&amp;")",""),"  "," "))</f>
        <v>Karegnondi Water Authority</v>
      </c>
    </row>
    <row r="767" spans="1:8" ht="15.75" thickBot="1" x14ac:dyDescent="0.3">
      <c r="A767">
        <f t="shared" si="12"/>
        <v>25</v>
      </c>
      <c r="B767" s="10">
        <v>2016</v>
      </c>
      <c r="C767" s="3" t="s">
        <v>703</v>
      </c>
      <c r="D767" s="3" t="s">
        <v>15</v>
      </c>
      <c r="E767" s="4" t="s">
        <v>7</v>
      </c>
      <c r="F767" s="11" t="s">
        <v>8</v>
      </c>
      <c r="H767" t="str">
        <f>TRIM(SUBSTITUTE(PROPER(C767)&amp;" "&amp;IF(OR(D767="County",D767="Township",D767="Village",D767="Charter Township"),D767,"")&amp;IF(D767="Township"," "&amp;"("&amp;VLOOKUP(A767,counties,3,0)&amp;")",""),"  "," "))</f>
        <v>Linden</v>
      </c>
    </row>
    <row r="768" spans="1:8" ht="15.75" thickBot="1" x14ac:dyDescent="0.3">
      <c r="A768">
        <f t="shared" si="12"/>
        <v>25</v>
      </c>
      <c r="B768" s="8">
        <v>2016</v>
      </c>
      <c r="C768" s="1" t="s">
        <v>704</v>
      </c>
      <c r="D768" s="1" t="s">
        <v>17</v>
      </c>
      <c r="E768" s="2" t="s">
        <v>7</v>
      </c>
      <c r="F768" s="9" t="s">
        <v>8</v>
      </c>
      <c r="H768" t="str">
        <f>TRIM(SUBSTITUTE(PROPER(C768)&amp;" "&amp;IF(OR(D768="County",D768="Township",D768="Village",D768="Charter Township"),D768,"")&amp;IF(D768="Township"," "&amp;"("&amp;VLOOKUP(A768,counties,3,0)&amp;")",""),"  "," "))</f>
        <v>Mass Transportation Authority</v>
      </c>
    </row>
    <row r="769" spans="1:8" ht="15.75" thickBot="1" x14ac:dyDescent="0.3">
      <c r="A769">
        <f t="shared" si="12"/>
        <v>25</v>
      </c>
      <c r="B769" s="10">
        <v>2016</v>
      </c>
      <c r="C769" s="3" t="s">
        <v>705</v>
      </c>
      <c r="D769" s="3" t="s">
        <v>42</v>
      </c>
      <c r="E769" s="4" t="s">
        <v>7</v>
      </c>
      <c r="F769" s="11" t="s">
        <v>8</v>
      </c>
      <c r="H769" t="str">
        <f>TRIM(SUBSTITUTE(PROPER(C769)&amp;" "&amp;IF(OR(D769="County",D769="Township",D769="Village",D769="Charter Township"),D769,"")&amp;IF(D769="Township"," "&amp;"("&amp;VLOOKUP(A769,counties,3,0)&amp;")",""),"  "," "))</f>
        <v>Mideastern Michigan Library Cooperative</v>
      </c>
    </row>
    <row r="770" spans="1:8" ht="15.75" thickBot="1" x14ac:dyDescent="0.3">
      <c r="A770">
        <f t="shared" si="12"/>
        <v>25</v>
      </c>
      <c r="B770" s="8">
        <v>2016</v>
      </c>
      <c r="C770" s="1" t="s">
        <v>706</v>
      </c>
      <c r="D770" s="1" t="s">
        <v>15</v>
      </c>
      <c r="E770" s="2" t="s">
        <v>7</v>
      </c>
      <c r="F770" s="9" t="s">
        <v>8</v>
      </c>
      <c r="H770" t="str">
        <f>TRIM(SUBSTITUTE(PROPER(C770)&amp;" "&amp;IF(OR(D770="County",D770="Township",D770="Village",D770="Charter Township"),D770,"")&amp;IF(D770="Township"," "&amp;"("&amp;VLOOKUP(A770,counties,3,0)&amp;")",""),"  "," "))</f>
        <v>Montrose</v>
      </c>
    </row>
    <row r="771" spans="1:8" ht="15.75" thickBot="1" x14ac:dyDescent="0.3">
      <c r="A771">
        <f t="shared" ref="A771:A834" si="13">IF(B771="Year",A770+1,A770)</f>
        <v>25</v>
      </c>
      <c r="B771" s="10">
        <v>2016</v>
      </c>
      <c r="C771" s="3" t="s">
        <v>707</v>
      </c>
      <c r="D771" s="3" t="s">
        <v>9</v>
      </c>
      <c r="E771" s="4" t="s">
        <v>7</v>
      </c>
      <c r="F771" s="11" t="s">
        <v>8</v>
      </c>
      <c r="H771" t="str">
        <f>TRIM(SUBSTITUTE(PROPER(C771)&amp;" "&amp;IF(OR(D771="County",D771="Township",D771="Village",D771="Charter Township"),D771,"")&amp;IF(D771="Township"," "&amp;"("&amp;VLOOKUP(A771,counties,3,0)&amp;")",""),"  "," "))</f>
        <v>Montrose Charter Township (Genesee County)</v>
      </c>
    </row>
    <row r="772" spans="1:8" ht="15.75" thickBot="1" x14ac:dyDescent="0.3">
      <c r="A772">
        <f t="shared" si="13"/>
        <v>25</v>
      </c>
      <c r="B772" s="8">
        <v>2016</v>
      </c>
      <c r="C772" s="1" t="s">
        <v>708</v>
      </c>
      <c r="D772" s="1" t="s">
        <v>88</v>
      </c>
      <c r="E772" s="2" t="s">
        <v>7</v>
      </c>
      <c r="F772" s="9" t="s">
        <v>8</v>
      </c>
      <c r="H772" t="str">
        <f>TRIM(SUBSTITUTE(PROPER(C772)&amp;" "&amp;IF(OR(D772="County",D772="Township",D772="Village",D772="Charter Township"),D772,"")&amp;IF(D772="Township"," "&amp;"("&amp;VLOOKUP(A772,counties,3,0)&amp;")",""),"  "," "))</f>
        <v>Mott Community College</v>
      </c>
    </row>
    <row r="773" spans="1:8" ht="15.75" thickBot="1" x14ac:dyDescent="0.3">
      <c r="A773">
        <f t="shared" si="13"/>
        <v>25</v>
      </c>
      <c r="B773" s="10">
        <v>2016</v>
      </c>
      <c r="C773" s="3" t="s">
        <v>709</v>
      </c>
      <c r="D773" s="3" t="s">
        <v>9</v>
      </c>
      <c r="E773" s="4" t="s">
        <v>7</v>
      </c>
      <c r="F773" s="11" t="s">
        <v>8</v>
      </c>
      <c r="H773" t="str">
        <f>TRIM(SUBSTITUTE(PROPER(C773)&amp;" "&amp;IF(OR(D773="County",D773="Township",D773="Village",D773="Charter Township"),D773,"")&amp;IF(D773="Township"," "&amp;"("&amp;VLOOKUP(A773,counties,3,0)&amp;")",""),"  "," "))</f>
        <v>Mount Morris Charter Township Township (Genesee County)</v>
      </c>
    </row>
    <row r="774" spans="1:8" ht="15.75" thickBot="1" x14ac:dyDescent="0.3">
      <c r="A774">
        <f t="shared" si="13"/>
        <v>25</v>
      </c>
      <c r="B774" s="8">
        <v>2016</v>
      </c>
      <c r="C774" s="1" t="s">
        <v>710</v>
      </c>
      <c r="D774" s="1" t="s">
        <v>15</v>
      </c>
      <c r="E774" s="2" t="s">
        <v>7</v>
      </c>
      <c r="F774" s="9" t="s">
        <v>8</v>
      </c>
      <c r="H774" t="str">
        <f>TRIM(SUBSTITUTE(PROPER(C774)&amp;" "&amp;IF(OR(D774="County",D774="Township",D774="Village",D774="Charter Township"),D774,"")&amp;IF(D774="Township"," "&amp;"("&amp;VLOOKUP(A774,counties,3,0)&amp;")",""),"  "," "))</f>
        <v>Mt Morris</v>
      </c>
    </row>
    <row r="775" spans="1:8" ht="15.75" thickBot="1" x14ac:dyDescent="0.3">
      <c r="A775">
        <f t="shared" si="13"/>
        <v>25</v>
      </c>
      <c r="B775" s="10">
        <v>2016</v>
      </c>
      <c r="C775" s="3" t="s">
        <v>711</v>
      </c>
      <c r="D775" s="3" t="s">
        <v>9</v>
      </c>
      <c r="E775" s="4" t="s">
        <v>7</v>
      </c>
      <c r="F775" s="11" t="s">
        <v>8</v>
      </c>
      <c r="H775" t="str">
        <f>TRIM(SUBSTITUTE(PROPER(C775)&amp;" "&amp;IF(OR(D775="County",D775="Township",D775="Village",D775="Charter Township"),D775,"")&amp;IF(D775="Township"," "&amp;"("&amp;VLOOKUP(A775,counties,3,0)&amp;")",""),"  "," "))</f>
        <v>Mundy Charter Township (Genesee County)</v>
      </c>
    </row>
    <row r="776" spans="1:8" ht="15.75" thickBot="1" x14ac:dyDescent="0.3">
      <c r="A776">
        <f t="shared" si="13"/>
        <v>25</v>
      </c>
      <c r="B776" s="8">
        <v>2016</v>
      </c>
      <c r="C776" s="1" t="s">
        <v>712</v>
      </c>
      <c r="D776" s="1" t="s">
        <v>21</v>
      </c>
      <c r="E776" s="2" t="s">
        <v>7</v>
      </c>
      <c r="F776" s="9" t="s">
        <v>8</v>
      </c>
      <c r="H776" t="str">
        <f>TRIM(SUBSTITUTE(PROPER(C776)&amp;" "&amp;IF(OR(D776="County",D776="Township",D776="Village",D776="Charter Township"),D776,"")&amp;IF(D776="Township"," "&amp;"("&amp;VLOOKUP(A776,counties,3,0)&amp;")",""),"  "," "))</f>
        <v>Otisville Village</v>
      </c>
    </row>
    <row r="777" spans="1:8" ht="15.75" thickBot="1" x14ac:dyDescent="0.3">
      <c r="A777">
        <f t="shared" si="13"/>
        <v>25</v>
      </c>
      <c r="B777" s="10">
        <v>2016</v>
      </c>
      <c r="C777" s="3" t="s">
        <v>713</v>
      </c>
      <c r="D777" s="3" t="s">
        <v>9</v>
      </c>
      <c r="E777" s="4" t="s">
        <v>7</v>
      </c>
      <c r="F777" s="11" t="s">
        <v>8</v>
      </c>
      <c r="H777" t="str">
        <f>TRIM(SUBSTITUTE(PROPER(C777)&amp;" "&amp;IF(OR(D777="County",D777="Township",D777="Village",D777="Charter Township"),D777,"")&amp;IF(D777="Township"," "&amp;"("&amp;VLOOKUP(A777,counties,3,0)&amp;")",""),"  "," "))</f>
        <v>Richfield Township (Genesee County)</v>
      </c>
    </row>
    <row r="778" spans="1:8" ht="21.75" thickBot="1" x14ac:dyDescent="0.3">
      <c r="A778">
        <f t="shared" si="13"/>
        <v>25</v>
      </c>
      <c r="B778" s="8">
        <v>2016</v>
      </c>
      <c r="C778" s="1" t="s">
        <v>714</v>
      </c>
      <c r="D778" s="1" t="s">
        <v>17</v>
      </c>
      <c r="E778" s="2" t="s">
        <v>7</v>
      </c>
      <c r="F778" s="9" t="s">
        <v>8</v>
      </c>
      <c r="H778" t="str">
        <f>TRIM(SUBSTITUTE(PROPER(C778)&amp;" "&amp;IF(OR(D778="County",D778="Township",D778="Village",D778="Charter Township"),D778,"")&amp;IF(D778="Township"," "&amp;"("&amp;VLOOKUP(A778,counties,3,0)&amp;")",""),"  "," "))</f>
        <v>Southern Lakes Regional Metro Park &amp; Rec Commissio</v>
      </c>
    </row>
    <row r="779" spans="1:8" ht="15.75" thickBot="1" x14ac:dyDescent="0.3">
      <c r="A779">
        <f t="shared" si="13"/>
        <v>25</v>
      </c>
      <c r="B779" s="10">
        <v>2016</v>
      </c>
      <c r="C779" s="3" t="s">
        <v>715</v>
      </c>
      <c r="D779" s="3" t="s">
        <v>15</v>
      </c>
      <c r="E779" s="4" t="s">
        <v>7</v>
      </c>
      <c r="F779" s="11" t="s">
        <v>8</v>
      </c>
      <c r="H779" t="str">
        <f>TRIM(SUBSTITUTE(PROPER(C779)&amp;" "&amp;IF(OR(D779="County",D779="Township",D779="Village",D779="Charter Township"),D779,"")&amp;IF(D779="Township"," "&amp;"("&amp;VLOOKUP(A779,counties,3,0)&amp;")",""),"  "," "))</f>
        <v>Swartz Creek</v>
      </c>
    </row>
    <row r="780" spans="1:8" ht="15.75" thickBot="1" x14ac:dyDescent="0.3">
      <c r="A780">
        <f t="shared" si="13"/>
        <v>25</v>
      </c>
      <c r="B780" s="8">
        <v>2016</v>
      </c>
      <c r="C780" s="1" t="s">
        <v>716</v>
      </c>
      <c r="D780" s="1" t="s">
        <v>17</v>
      </c>
      <c r="E780" s="2" t="s">
        <v>7</v>
      </c>
      <c r="F780" s="9" t="s">
        <v>8</v>
      </c>
      <c r="H780" t="str">
        <f>TRIM(SUBSTITUTE(PROPER(C780)&amp;" "&amp;IF(OR(D780="County",D780="Township",D780="Village",D780="Charter Township"),D780,"")&amp;IF(D780="Township"," "&amp;"("&amp;VLOOKUP(A780,counties,3,0)&amp;")",""),"  "," "))</f>
        <v>Swartz Creek Area Fire Board</v>
      </c>
    </row>
    <row r="781" spans="1:8" ht="15.75" thickBot="1" x14ac:dyDescent="0.3">
      <c r="A781">
        <f t="shared" si="13"/>
        <v>25</v>
      </c>
      <c r="B781" s="10">
        <v>2016</v>
      </c>
      <c r="C781" s="3" t="s">
        <v>717</v>
      </c>
      <c r="D781" s="3" t="s">
        <v>9</v>
      </c>
      <c r="E781" s="4" t="s">
        <v>7</v>
      </c>
      <c r="F781" s="11" t="s">
        <v>8</v>
      </c>
      <c r="H781" t="str">
        <f>TRIM(SUBSTITUTE(PROPER(C781)&amp;" "&amp;IF(OR(D781="County",D781="Township",D781="Village",D781="Charter Township"),D781,"")&amp;IF(D781="Township"," "&amp;"("&amp;VLOOKUP(A781,counties,3,0)&amp;")",""),"  "," "))</f>
        <v>Thetford Township (Genesee County)</v>
      </c>
    </row>
    <row r="782" spans="1:8" ht="15.75" thickBot="1" x14ac:dyDescent="0.3">
      <c r="A782">
        <f t="shared" si="13"/>
        <v>25</v>
      </c>
      <c r="B782" s="16">
        <v>2016</v>
      </c>
      <c r="C782" s="17" t="s">
        <v>718</v>
      </c>
      <c r="D782" s="17" t="s">
        <v>9</v>
      </c>
      <c r="E782" s="18" t="s">
        <v>7</v>
      </c>
      <c r="F782" s="19" t="s">
        <v>8</v>
      </c>
      <c r="H782" t="str">
        <f>TRIM(SUBSTITUTE(PROPER(C782)&amp;" "&amp;IF(OR(D782="County",D782="Township",D782="Village",D782="Charter Township"),D782,"")&amp;IF(D782="Township"," "&amp;"("&amp;VLOOKUP(A782,counties,3,0)&amp;")",""),"  "," "))</f>
        <v>Vienna Charter Township Township (Genesee County)</v>
      </c>
    </row>
    <row r="783" spans="1:8" ht="16.5" thickTop="1" thickBot="1" x14ac:dyDescent="0.3">
      <c r="A783">
        <f t="shared" si="13"/>
        <v>26</v>
      </c>
      <c r="B783" s="5" t="s">
        <v>0</v>
      </c>
      <c r="C783" s="6" t="s">
        <v>1</v>
      </c>
      <c r="D783" s="6" t="s">
        <v>2</v>
      </c>
      <c r="E783" s="6" t="s">
        <v>3</v>
      </c>
      <c r="F783" s="7" t="s">
        <v>4</v>
      </c>
      <c r="H783" t="str">
        <f>TRIM(SUBSTITUTE(PROPER(C783)&amp;" "&amp;IF(OR(D783="County",D783="Township",D783="Village",D783="Charter Township"),D783,"")&amp;IF(D783="Township"," "&amp;"("&amp;VLOOKUP(A783,counties,3,0)&amp;")",""),"  "," "))</f>
        <v>Municipality</v>
      </c>
    </row>
    <row r="784" spans="1:8" ht="15.75" thickBot="1" x14ac:dyDescent="0.3">
      <c r="A784">
        <f t="shared" si="13"/>
        <v>26</v>
      </c>
      <c r="B784" s="8">
        <v>2016</v>
      </c>
      <c r="C784" s="1" t="s">
        <v>719</v>
      </c>
      <c r="D784" s="1" t="s">
        <v>9</v>
      </c>
      <c r="E784" s="2" t="s">
        <v>7</v>
      </c>
      <c r="F784" s="9" t="s">
        <v>8</v>
      </c>
      <c r="H784" t="str">
        <f>TRIM(SUBSTITUTE(PROPER(C784)&amp;" "&amp;IF(OR(D784="County",D784="Township",D784="Village",D784="Charter Township"),D784,"")&amp;IF(D784="Township"," "&amp;"("&amp;VLOOKUP(A784,counties,3,0)&amp;")",""),"  "," "))</f>
        <v>Beaverton Township (Gladwin County)</v>
      </c>
    </row>
    <row r="785" spans="1:8" ht="15.75" thickBot="1" x14ac:dyDescent="0.3">
      <c r="A785">
        <f t="shared" si="13"/>
        <v>26</v>
      </c>
      <c r="B785" s="10">
        <v>2016</v>
      </c>
      <c r="C785" s="3" t="s">
        <v>720</v>
      </c>
      <c r="D785" s="3" t="s">
        <v>17</v>
      </c>
      <c r="E785" s="4" t="s">
        <v>7</v>
      </c>
      <c r="F785" s="11" t="s">
        <v>19</v>
      </c>
      <c r="H785" t="str">
        <f>TRIM(SUBSTITUTE(PROPER(C785)&amp;" "&amp;IF(OR(D785="County",D785="Township",D785="Village",D785="Charter Township"),D785,"")&amp;IF(D785="Township"," "&amp;"("&amp;VLOOKUP(A785,counties,3,0)&amp;")",""),"  "," "))</f>
        <v>Beaverton Area Fire Protection District</v>
      </c>
    </row>
    <row r="786" spans="1:8" ht="15.75" thickBot="1" x14ac:dyDescent="0.3">
      <c r="A786">
        <f t="shared" si="13"/>
        <v>26</v>
      </c>
      <c r="B786" s="8">
        <v>2016</v>
      </c>
      <c r="C786" s="1" t="s">
        <v>721</v>
      </c>
      <c r="D786" s="1" t="s">
        <v>9</v>
      </c>
      <c r="E786" s="2" t="s">
        <v>7</v>
      </c>
      <c r="F786" s="9" t="s">
        <v>8</v>
      </c>
      <c r="H786" t="str">
        <f>TRIM(SUBSTITUTE(PROPER(C786)&amp;" "&amp;IF(OR(D786="County",D786="Township",D786="Village",D786="Charter Township"),D786,"")&amp;IF(D786="Township"," "&amp;"("&amp;VLOOKUP(A786,counties,3,0)&amp;")",""),"  "," "))</f>
        <v>Bentley Township (Gladwin County)</v>
      </c>
    </row>
    <row r="787" spans="1:8" ht="15.75" thickBot="1" x14ac:dyDescent="0.3">
      <c r="A787">
        <f t="shared" si="13"/>
        <v>26</v>
      </c>
      <c r="B787" s="10">
        <v>2016</v>
      </c>
      <c r="C787" s="3" t="s">
        <v>722</v>
      </c>
      <c r="D787" s="3" t="s">
        <v>9</v>
      </c>
      <c r="E787" s="4" t="s">
        <v>7</v>
      </c>
      <c r="F787" s="11" t="s">
        <v>8</v>
      </c>
      <c r="H787" t="str">
        <f>TRIM(SUBSTITUTE(PROPER(C787)&amp;" "&amp;IF(OR(D787="County",D787="Township",D787="Village",D787="Charter Township"),D787,"")&amp;IF(D787="Township"," "&amp;"("&amp;VLOOKUP(A787,counties,3,0)&amp;")",""),"  "," "))</f>
        <v>Billings Township (Gladwin County)</v>
      </c>
    </row>
    <row r="788" spans="1:8" ht="15.75" thickBot="1" x14ac:dyDescent="0.3">
      <c r="A788">
        <f t="shared" si="13"/>
        <v>26</v>
      </c>
      <c r="B788" s="8">
        <v>2016</v>
      </c>
      <c r="C788" s="1" t="s">
        <v>723</v>
      </c>
      <c r="D788" s="1" t="s">
        <v>9</v>
      </c>
      <c r="E788" s="2" t="s">
        <v>7</v>
      </c>
      <c r="F788" s="9" t="s">
        <v>8</v>
      </c>
      <c r="H788" t="str">
        <f>TRIM(SUBSTITUTE(PROPER(C788)&amp;" "&amp;IF(OR(D788="County",D788="Township",D788="Village",D788="Charter Township"),D788,"")&amp;IF(D788="Township"," "&amp;"("&amp;VLOOKUP(A788,counties,3,0)&amp;")",""),"  "," "))</f>
        <v>Buckeye Township (Gladwin County)</v>
      </c>
    </row>
    <row r="789" spans="1:8" ht="15.75" thickBot="1" x14ac:dyDescent="0.3">
      <c r="A789">
        <f t="shared" si="13"/>
        <v>26</v>
      </c>
      <c r="B789" s="10">
        <v>2016</v>
      </c>
      <c r="C789" s="3" t="s">
        <v>724</v>
      </c>
      <c r="D789" s="3" t="s">
        <v>9</v>
      </c>
      <c r="E789" s="4" t="s">
        <v>7</v>
      </c>
      <c r="F789" s="11" t="s">
        <v>8</v>
      </c>
      <c r="H789" t="str">
        <f>TRIM(SUBSTITUTE(PROPER(C789)&amp;" "&amp;IF(OR(D789="County",D789="Township",D789="Village",D789="Charter Township"),D789,"")&amp;IF(D789="Township"," "&amp;"("&amp;VLOOKUP(A789,counties,3,0)&amp;")",""),"  "," "))</f>
        <v>Butman Township (Gladwin County)</v>
      </c>
    </row>
    <row r="790" spans="1:8" ht="21.75" thickBot="1" x14ac:dyDescent="0.3">
      <c r="A790">
        <f t="shared" si="13"/>
        <v>26</v>
      </c>
      <c r="B790" s="8">
        <v>2016</v>
      </c>
      <c r="C790" s="1" t="s">
        <v>725</v>
      </c>
      <c r="D790" s="1" t="s">
        <v>17</v>
      </c>
      <c r="E790" s="2" t="s">
        <v>7</v>
      </c>
      <c r="F790" s="9" t="s">
        <v>8</v>
      </c>
      <c r="H790" t="str">
        <f>TRIM(SUBSTITUTE(PROPER(C790)&amp;" "&amp;IF(OR(D790="County",D790="Township",D790="Village",D790="Charter Township"),D790,"")&amp;IF(D790="Township"," "&amp;"("&amp;VLOOKUP(A790,counties,3,0)&amp;")",""),"  "," "))</f>
        <v>Council On Aging From Clare And Gladwin Counties</v>
      </c>
    </row>
    <row r="791" spans="1:8" ht="15.75" thickBot="1" x14ac:dyDescent="0.3">
      <c r="A791">
        <f t="shared" si="13"/>
        <v>26</v>
      </c>
      <c r="B791" s="10">
        <v>2016</v>
      </c>
      <c r="C791" s="3" t="s">
        <v>726</v>
      </c>
      <c r="D791" s="3" t="s">
        <v>15</v>
      </c>
      <c r="E791" s="4" t="s">
        <v>7</v>
      </c>
      <c r="F791" s="11" t="s">
        <v>8</v>
      </c>
      <c r="H791" t="str">
        <f>TRIM(SUBSTITUTE(PROPER(C791)&amp;" "&amp;IF(OR(D791="County",D791="Township",D791="Village",D791="Charter Township"),D791,"")&amp;IF(D791="Township"," "&amp;"("&amp;VLOOKUP(A791,counties,3,0)&amp;")",""),"  "," "))</f>
        <v>Gladwin</v>
      </c>
    </row>
    <row r="792" spans="1:8" ht="15.75" thickBot="1" x14ac:dyDescent="0.3">
      <c r="A792">
        <f t="shared" si="13"/>
        <v>26</v>
      </c>
      <c r="B792" s="8">
        <v>2016</v>
      </c>
      <c r="C792" s="1" t="s">
        <v>726</v>
      </c>
      <c r="D792" s="1" t="s">
        <v>6</v>
      </c>
      <c r="E792" s="2" t="s">
        <v>7</v>
      </c>
      <c r="F792" s="9" t="s">
        <v>8</v>
      </c>
      <c r="H792" t="str">
        <f>TRIM(SUBSTITUTE(PROPER(C792)&amp;" "&amp;IF(OR(D792="County",D792="Township",D792="Village",D792="Charter Township"),D792,"")&amp;IF(D792="Township"," "&amp;"("&amp;VLOOKUP(A792,counties,3,0)&amp;")",""),"  "," "))</f>
        <v>Gladwin County</v>
      </c>
    </row>
    <row r="793" spans="1:8" ht="15.75" thickBot="1" x14ac:dyDescent="0.3">
      <c r="A793">
        <f t="shared" si="13"/>
        <v>26</v>
      </c>
      <c r="B793" s="10">
        <v>2016</v>
      </c>
      <c r="C793" s="3" t="s">
        <v>726</v>
      </c>
      <c r="D793" s="3" t="s">
        <v>9</v>
      </c>
      <c r="E793" s="4" t="s">
        <v>7</v>
      </c>
      <c r="F793" s="11" t="s">
        <v>8</v>
      </c>
      <c r="H793" t="str">
        <f>TRIM(SUBSTITUTE(PROPER(C793)&amp;" "&amp;IF(OR(D793="County",D793="Township",D793="Village",D793="Charter Township"),D793,"")&amp;IF(D793="Township"," "&amp;"("&amp;VLOOKUP(A793,counties,3,0)&amp;")",""),"  "," "))</f>
        <v>Gladwin Township (Gladwin County)</v>
      </c>
    </row>
    <row r="794" spans="1:8" ht="15.75" thickBot="1" x14ac:dyDescent="0.3">
      <c r="A794">
        <f t="shared" si="13"/>
        <v>26</v>
      </c>
      <c r="B794" s="8">
        <v>2016</v>
      </c>
      <c r="C794" s="1" t="s">
        <v>727</v>
      </c>
      <c r="D794" s="1" t="s">
        <v>17</v>
      </c>
      <c r="E794" s="2" t="s">
        <v>7</v>
      </c>
      <c r="F794" s="9" t="s">
        <v>8</v>
      </c>
      <c r="H794" t="str">
        <f>TRIM(SUBSTITUTE(PROPER(C794)&amp;" "&amp;IF(OR(D794="County",D794="Township",D794="Village",D794="Charter Township"),D794,"")&amp;IF(D794="Township"," "&amp;"("&amp;VLOOKUP(A794,counties,3,0)&amp;")",""),"  "," "))</f>
        <v>Gladwin City Housing Commission</v>
      </c>
    </row>
    <row r="795" spans="1:8" ht="15.75" thickBot="1" x14ac:dyDescent="0.3">
      <c r="A795">
        <f t="shared" si="13"/>
        <v>26</v>
      </c>
      <c r="B795" s="10">
        <v>2016</v>
      </c>
      <c r="C795" s="3" t="s">
        <v>728</v>
      </c>
      <c r="D795" s="3" t="s">
        <v>17</v>
      </c>
      <c r="E795" s="4" t="s">
        <v>7</v>
      </c>
      <c r="F795" s="11" t="s">
        <v>8</v>
      </c>
      <c r="H795" t="str">
        <f>TRIM(SUBSTITUTE(PROPER(C795)&amp;" "&amp;IF(OR(D795="County",D795="Township",D795="Village",D795="Charter Township"),D795,"")&amp;IF(D795="Township"," "&amp;"("&amp;VLOOKUP(A795,counties,3,0)&amp;")",""),"  "," "))</f>
        <v>Gladwin City-County Transit</v>
      </c>
    </row>
    <row r="796" spans="1:8" ht="15.75" thickBot="1" x14ac:dyDescent="0.3">
      <c r="A796">
        <f t="shared" si="13"/>
        <v>26</v>
      </c>
      <c r="B796" s="8">
        <v>2016</v>
      </c>
      <c r="C796" s="1" t="s">
        <v>729</v>
      </c>
      <c r="D796" s="1" t="s">
        <v>11</v>
      </c>
      <c r="E796" s="2" t="s">
        <v>7</v>
      </c>
      <c r="F796" s="9" t="s">
        <v>8</v>
      </c>
      <c r="H796" t="str">
        <f>TRIM(SUBSTITUTE(PROPER(C796)&amp;" "&amp;IF(OR(D796="County",D796="Township",D796="Village",D796="Charter Township"),D796,"")&amp;IF(D796="Township"," "&amp;"("&amp;VLOOKUP(A796,counties,3,0)&amp;")",""),"  "," "))</f>
        <v>Gladwin Co Road Commission</v>
      </c>
    </row>
    <row r="797" spans="1:8" ht="15.75" thickBot="1" x14ac:dyDescent="0.3">
      <c r="A797">
        <f t="shared" si="13"/>
        <v>26</v>
      </c>
      <c r="B797" s="10">
        <v>2016</v>
      </c>
      <c r="C797" s="3" t="s">
        <v>730</v>
      </c>
      <c r="D797" s="3" t="s">
        <v>42</v>
      </c>
      <c r="E797" s="4" t="s">
        <v>7</v>
      </c>
      <c r="F797" s="11" t="s">
        <v>8</v>
      </c>
      <c r="H797" t="str">
        <f>TRIM(SUBSTITUTE(PROPER(C797)&amp;" "&amp;IF(OR(D797="County",D797="Township",D797="Village",D797="Charter Township"),D797,"")&amp;IF(D797="Township"," "&amp;"("&amp;VLOOKUP(A797,counties,3,0)&amp;")",""),"  "," "))</f>
        <v>Gladwin County District Library</v>
      </c>
    </row>
    <row r="798" spans="1:8" ht="21.75" thickBot="1" x14ac:dyDescent="0.3">
      <c r="A798">
        <f t="shared" si="13"/>
        <v>26</v>
      </c>
      <c r="B798" s="8">
        <v>2016</v>
      </c>
      <c r="C798" s="1" t="s">
        <v>731</v>
      </c>
      <c r="D798" s="1" t="s">
        <v>17</v>
      </c>
      <c r="E798" s="2" t="s">
        <v>7</v>
      </c>
      <c r="F798" s="9" t="s">
        <v>8</v>
      </c>
      <c r="H798" t="str">
        <f>TRIM(SUBSTITUTE(PROPER(C798)&amp;" "&amp;IF(OR(D798="County",D798="Township",D798="Village",D798="Charter Township"),D798,"")&amp;IF(D798="Township"," "&amp;"("&amp;VLOOKUP(A798,counties,3,0)&amp;")",""),"  "," "))</f>
        <v>Gladwin Housing Dev Corp Section 8 Housing Program</v>
      </c>
    </row>
    <row r="799" spans="1:8" ht="15.75" thickBot="1" x14ac:dyDescent="0.3">
      <c r="A799">
        <f t="shared" si="13"/>
        <v>26</v>
      </c>
      <c r="B799" s="10">
        <v>2016</v>
      </c>
      <c r="C799" s="3" t="s">
        <v>732</v>
      </c>
      <c r="D799" s="3" t="s">
        <v>17</v>
      </c>
      <c r="E799" s="4" t="s">
        <v>7</v>
      </c>
      <c r="F799" s="11" t="s">
        <v>8</v>
      </c>
      <c r="H799" t="str">
        <f>TRIM(SUBSTITUTE(PROPER(C799)&amp;" "&amp;IF(OR(D799="County",D799="Township",D799="Village",D799="Charter Township"),D799,"")&amp;IF(D799="Township"," "&amp;"("&amp;VLOOKUP(A799,counties,3,0)&amp;")",""),"  "," "))</f>
        <v>Gladwin Rural Urban Fire Protection District</v>
      </c>
    </row>
    <row r="800" spans="1:8" ht="15.75" thickBot="1" x14ac:dyDescent="0.3">
      <c r="A800">
        <f t="shared" si="13"/>
        <v>26</v>
      </c>
      <c r="B800" s="8">
        <v>2016</v>
      </c>
      <c r="C800" s="1" t="s">
        <v>733</v>
      </c>
      <c r="D800" s="1" t="s">
        <v>9</v>
      </c>
      <c r="E800" s="2" t="s">
        <v>7</v>
      </c>
      <c r="F800" s="9" t="s">
        <v>8</v>
      </c>
      <c r="H800" t="str">
        <f>TRIM(SUBSTITUTE(PROPER(C800)&amp;" "&amp;IF(OR(D800="County",D800="Township",D800="Village",D800="Charter Township"),D800,"")&amp;IF(D800="Township"," "&amp;"("&amp;VLOOKUP(A800,counties,3,0)&amp;")",""),"  "," "))</f>
        <v>Grim Township (Gladwin County)</v>
      </c>
    </row>
    <row r="801" spans="1:8" ht="15.75" thickBot="1" x14ac:dyDescent="0.3">
      <c r="A801">
        <f t="shared" si="13"/>
        <v>26</v>
      </c>
      <c r="B801" s="10">
        <v>2016</v>
      </c>
      <c r="C801" s="3" t="s">
        <v>734</v>
      </c>
      <c r="D801" s="3" t="s">
        <v>9</v>
      </c>
      <c r="E801" s="4" t="s">
        <v>7</v>
      </c>
      <c r="F801" s="11" t="s">
        <v>8</v>
      </c>
      <c r="H801" t="str">
        <f>TRIM(SUBSTITUTE(PROPER(C801)&amp;" "&amp;IF(OR(D801="County",D801="Township",D801="Village",D801="Charter Township"),D801,"")&amp;IF(D801="Township"," "&amp;"("&amp;VLOOKUP(A801,counties,3,0)&amp;")",""),"  "," "))</f>
        <v>Grout Township (Gladwin County)</v>
      </c>
    </row>
    <row r="802" spans="1:8" ht="15.75" thickBot="1" x14ac:dyDescent="0.3">
      <c r="A802">
        <f t="shared" si="13"/>
        <v>26</v>
      </c>
      <c r="B802" s="8">
        <v>2016</v>
      </c>
      <c r="C802" s="1" t="s">
        <v>735</v>
      </c>
      <c r="D802" s="1" t="s">
        <v>9</v>
      </c>
      <c r="E802" s="2" t="s">
        <v>7</v>
      </c>
      <c r="F802" s="9" t="s">
        <v>19</v>
      </c>
      <c r="H802" t="str">
        <f>TRIM(SUBSTITUTE(PROPER(C802)&amp;" "&amp;IF(OR(D802="County",D802="Township",D802="Village",D802="Charter Township"),D802,"")&amp;IF(D802="Township"," "&amp;"("&amp;VLOOKUP(A802,counties,3,0)&amp;")",""),"  "," "))</f>
        <v>Hay Township (Gladwin County)</v>
      </c>
    </row>
    <row r="803" spans="1:8" ht="15.75" thickBot="1" x14ac:dyDescent="0.3">
      <c r="A803">
        <f t="shared" si="13"/>
        <v>26</v>
      </c>
      <c r="B803" s="10">
        <v>2016</v>
      </c>
      <c r="C803" s="3" t="s">
        <v>736</v>
      </c>
      <c r="D803" s="3" t="s">
        <v>9</v>
      </c>
      <c r="E803" s="4" t="s">
        <v>7</v>
      </c>
      <c r="F803" s="11" t="s">
        <v>8</v>
      </c>
      <c r="H803" t="str">
        <f>TRIM(SUBSTITUTE(PROPER(C803)&amp;" "&amp;IF(OR(D803="County",D803="Township",D803="Village",D803="Charter Township"),D803,"")&amp;IF(D803="Township"," "&amp;"("&amp;VLOOKUP(A803,counties,3,0)&amp;")",""),"  "," "))</f>
        <v>Sage Township (Gladwin County)</v>
      </c>
    </row>
    <row r="804" spans="1:8" ht="15.75" thickBot="1" x14ac:dyDescent="0.3">
      <c r="A804">
        <f t="shared" si="13"/>
        <v>26</v>
      </c>
      <c r="B804" s="8">
        <v>2016</v>
      </c>
      <c r="C804" s="1" t="s">
        <v>737</v>
      </c>
      <c r="D804" s="1" t="s">
        <v>9</v>
      </c>
      <c r="E804" s="2" t="s">
        <v>7</v>
      </c>
      <c r="F804" s="9" t="s">
        <v>8</v>
      </c>
      <c r="H804" t="str">
        <f>TRIM(SUBSTITUTE(PROPER(C804)&amp;" "&amp;IF(OR(D804="County",D804="Township",D804="Village",D804="Charter Township"),D804,"")&amp;IF(D804="Township"," "&amp;"("&amp;VLOOKUP(A804,counties,3,0)&amp;")",""),"  "," "))</f>
        <v>Secord Township (Gladwin County)</v>
      </c>
    </row>
    <row r="805" spans="1:8" ht="15.75" thickBot="1" x14ac:dyDescent="0.3">
      <c r="A805">
        <f t="shared" si="13"/>
        <v>26</v>
      </c>
      <c r="B805" s="10">
        <v>2016</v>
      </c>
      <c r="C805" s="3" t="s">
        <v>738</v>
      </c>
      <c r="D805" s="3" t="s">
        <v>9</v>
      </c>
      <c r="E805" s="4" t="s">
        <v>7</v>
      </c>
      <c r="F805" s="11" t="s">
        <v>8</v>
      </c>
      <c r="H805" t="str">
        <f>TRIM(SUBSTITUTE(PROPER(C805)&amp;" "&amp;IF(OR(D805="County",D805="Township",D805="Village",D805="Charter Township"),D805,"")&amp;IF(D805="Township"," "&amp;"("&amp;VLOOKUP(A805,counties,3,0)&amp;")",""),"  "," "))</f>
        <v>Sherman Township (Gladwin County)</v>
      </c>
    </row>
    <row r="806" spans="1:8" ht="15.75" thickBot="1" x14ac:dyDescent="0.3">
      <c r="A806">
        <f t="shared" si="13"/>
        <v>26</v>
      </c>
      <c r="B806" s="16">
        <v>2016</v>
      </c>
      <c r="C806" s="17" t="s">
        <v>739</v>
      </c>
      <c r="D806" s="17" t="s">
        <v>9</v>
      </c>
      <c r="E806" s="18" t="s">
        <v>7</v>
      </c>
      <c r="F806" s="19" t="s">
        <v>8</v>
      </c>
      <c r="H806" t="str">
        <f>TRIM(SUBSTITUTE(PROPER(C806)&amp;" "&amp;IF(OR(D806="County",D806="Township",D806="Village",D806="Charter Township"),D806,"")&amp;IF(D806="Township"," "&amp;"("&amp;VLOOKUP(A806,counties,3,0)&amp;")",""),"  "," "))</f>
        <v>Tobacco Township (Gladwin County)</v>
      </c>
    </row>
    <row r="807" spans="1:8" ht="16.5" thickTop="1" thickBot="1" x14ac:dyDescent="0.3">
      <c r="A807">
        <f t="shared" si="13"/>
        <v>27</v>
      </c>
      <c r="B807" s="5" t="s">
        <v>0</v>
      </c>
      <c r="C807" s="6" t="s">
        <v>1</v>
      </c>
      <c r="D807" s="6" t="s">
        <v>2</v>
      </c>
      <c r="E807" s="6" t="s">
        <v>3</v>
      </c>
      <c r="F807" s="7" t="s">
        <v>4</v>
      </c>
      <c r="H807" t="str">
        <f>TRIM(SUBSTITUTE(PROPER(C807)&amp;" "&amp;IF(OR(D807="County",D807="Township",D807="Village",D807="Charter Township"),D807,"")&amp;IF(D807="Township"," "&amp;"("&amp;VLOOKUP(A807,counties,3,0)&amp;")",""),"  "," "))</f>
        <v>Municipality</v>
      </c>
    </row>
    <row r="808" spans="1:8" ht="15.75" thickBot="1" x14ac:dyDescent="0.3">
      <c r="A808">
        <f t="shared" si="13"/>
        <v>27</v>
      </c>
      <c r="B808" s="8">
        <v>2016</v>
      </c>
      <c r="C808" s="1" t="s">
        <v>740</v>
      </c>
      <c r="D808" s="1" t="s">
        <v>15</v>
      </c>
      <c r="E808" s="2" t="s">
        <v>7</v>
      </c>
      <c r="F808" s="9" t="s">
        <v>8</v>
      </c>
      <c r="H808" t="str">
        <f>TRIM(SUBSTITUTE(PROPER(C808)&amp;" "&amp;IF(OR(D808="County",D808="Township",D808="Village",D808="Charter Township"),D808,"")&amp;IF(D808="Township"," "&amp;"("&amp;VLOOKUP(A808,counties,3,0)&amp;")",""),"  "," "))</f>
        <v>Bessemer</v>
      </c>
    </row>
    <row r="809" spans="1:8" ht="15.75" thickBot="1" x14ac:dyDescent="0.3">
      <c r="A809">
        <f t="shared" si="13"/>
        <v>27</v>
      </c>
      <c r="B809" s="10">
        <v>2016</v>
      </c>
      <c r="C809" s="3" t="s">
        <v>740</v>
      </c>
      <c r="D809" s="3" t="s">
        <v>9</v>
      </c>
      <c r="E809" s="4" t="s">
        <v>7</v>
      </c>
      <c r="F809" s="11" t="s">
        <v>8</v>
      </c>
      <c r="H809" t="str">
        <f>TRIM(SUBSTITUTE(PROPER(C809)&amp;" "&amp;IF(OR(D809="County",D809="Township",D809="Village",D809="Charter Township"),D809,"")&amp;IF(D809="Township"," "&amp;"("&amp;VLOOKUP(A809,counties,3,0)&amp;")",""),"  "," "))</f>
        <v>Bessemer Township (Gogebic County)</v>
      </c>
    </row>
    <row r="810" spans="1:8" ht="15.75" thickBot="1" x14ac:dyDescent="0.3">
      <c r="A810">
        <f t="shared" si="13"/>
        <v>27</v>
      </c>
      <c r="B810" s="8">
        <v>2016</v>
      </c>
      <c r="C810" s="1" t="s">
        <v>741</v>
      </c>
      <c r="D810" s="1" t="s">
        <v>17</v>
      </c>
      <c r="E810" s="2" t="s">
        <v>7</v>
      </c>
      <c r="F810" s="9" t="s">
        <v>8</v>
      </c>
      <c r="H810" t="str">
        <f>TRIM(SUBSTITUTE(PROPER(C810)&amp;" "&amp;IF(OR(D810="County",D810="Township",D810="Village",D810="Charter Township"),D810,"")&amp;IF(D810="Township"," "&amp;"("&amp;VLOOKUP(A810,counties,3,0)&amp;")",""),"  "," "))</f>
        <v>Bessemer Area Sewer Auth</v>
      </c>
    </row>
    <row r="811" spans="1:8" ht="15.75" thickBot="1" x14ac:dyDescent="0.3">
      <c r="A811">
        <f t="shared" si="13"/>
        <v>27</v>
      </c>
      <c r="B811" s="10">
        <v>2016</v>
      </c>
      <c r="C811" s="3" t="s">
        <v>742</v>
      </c>
      <c r="D811" s="3" t="s">
        <v>17</v>
      </c>
      <c r="E811" s="4" t="s">
        <v>7</v>
      </c>
      <c r="F811" s="11" t="s">
        <v>8</v>
      </c>
      <c r="H811" t="str">
        <f>TRIM(SUBSTITUTE(PROPER(C811)&amp;" "&amp;IF(OR(D811="County",D811="Township",D811="Village",D811="Charter Township"),D811,"")&amp;IF(D811="Township"," "&amp;"("&amp;VLOOKUP(A811,counties,3,0)&amp;")",""),"  "," "))</f>
        <v>Bessemer City Housing Commission</v>
      </c>
    </row>
    <row r="812" spans="1:8" ht="15.75" thickBot="1" x14ac:dyDescent="0.3">
      <c r="A812">
        <f t="shared" si="13"/>
        <v>27</v>
      </c>
      <c r="B812" s="8">
        <v>2016</v>
      </c>
      <c r="C812" s="1" t="s">
        <v>743</v>
      </c>
      <c r="D812" s="1" t="s">
        <v>17</v>
      </c>
      <c r="E812" s="2" t="s">
        <v>7</v>
      </c>
      <c r="F812" s="9" t="s">
        <v>8</v>
      </c>
      <c r="H812" t="str">
        <f>TRIM(SUBSTITUTE(PROPER(C812)&amp;" "&amp;IF(OR(D812="County",D812="Township",D812="Village",D812="Charter Township"),D812,"")&amp;IF(D812="Township"," "&amp;"("&amp;VLOOKUP(A812,counties,3,0)&amp;")",""),"  "," "))</f>
        <v>Community Mental Health Authority (Gogebic Co)</v>
      </c>
    </row>
    <row r="813" spans="1:8" ht="15.75" thickBot="1" x14ac:dyDescent="0.3">
      <c r="A813">
        <f t="shared" si="13"/>
        <v>27</v>
      </c>
      <c r="B813" s="10">
        <v>2016</v>
      </c>
      <c r="C813" s="3" t="s">
        <v>744</v>
      </c>
      <c r="D813" s="3" t="s">
        <v>6</v>
      </c>
      <c r="E813" s="4" t="s">
        <v>7</v>
      </c>
      <c r="F813" s="11" t="s">
        <v>8</v>
      </c>
      <c r="H813" t="str">
        <f>TRIM(SUBSTITUTE(PROPER(C813)&amp;" "&amp;IF(OR(D813="County",D813="Township",D813="Village",D813="Charter Township"),D813,"")&amp;IF(D813="Township"," "&amp;"("&amp;VLOOKUP(A813,counties,3,0)&amp;")",""),"  "," "))</f>
        <v>Gogebic County</v>
      </c>
    </row>
    <row r="814" spans="1:8" ht="15.75" thickBot="1" x14ac:dyDescent="0.3">
      <c r="A814">
        <f t="shared" si="13"/>
        <v>27</v>
      </c>
      <c r="B814" s="8">
        <v>2016</v>
      </c>
      <c r="C814" s="1" t="s">
        <v>745</v>
      </c>
      <c r="D814" s="1" t="s">
        <v>88</v>
      </c>
      <c r="E814" s="2" t="s">
        <v>7</v>
      </c>
      <c r="F814" s="9" t="s">
        <v>8</v>
      </c>
      <c r="H814" t="str">
        <f>TRIM(SUBSTITUTE(PROPER(C814)&amp;" "&amp;IF(OR(D814="County",D814="Township",D814="Village",D814="Charter Township"),D814,"")&amp;IF(D814="Township"," "&amp;"("&amp;VLOOKUP(A814,counties,3,0)&amp;")",""),"  "," "))</f>
        <v>Gogebic Community College</v>
      </c>
    </row>
    <row r="815" spans="1:8" ht="15.75" thickBot="1" x14ac:dyDescent="0.3">
      <c r="A815">
        <f t="shared" si="13"/>
        <v>27</v>
      </c>
      <c r="B815" s="10">
        <v>2016</v>
      </c>
      <c r="C815" s="3" t="s">
        <v>746</v>
      </c>
      <c r="D815" s="3" t="s">
        <v>17</v>
      </c>
      <c r="E815" s="4" t="s">
        <v>7</v>
      </c>
      <c r="F815" s="11" t="s">
        <v>8</v>
      </c>
      <c r="H815" t="str">
        <f>TRIM(SUBSTITUTE(PROPER(C815)&amp;" "&amp;IF(OR(D815="County",D815="Township",D815="Village",D815="Charter Township"),D815,"")&amp;IF(D815="Township"," "&amp;"("&amp;VLOOKUP(A815,counties,3,0)&amp;")",""),"  "," "))</f>
        <v>Gogebic County Transit</v>
      </c>
    </row>
    <row r="816" spans="1:8" ht="15.75" thickBot="1" x14ac:dyDescent="0.3">
      <c r="A816">
        <f t="shared" si="13"/>
        <v>27</v>
      </c>
      <c r="B816" s="8">
        <v>2016</v>
      </c>
      <c r="C816" s="1" t="s">
        <v>747</v>
      </c>
      <c r="D816" s="1" t="s">
        <v>17</v>
      </c>
      <c r="E816" s="2" t="s">
        <v>7</v>
      </c>
      <c r="F816" s="9" t="s">
        <v>8</v>
      </c>
      <c r="H816" t="str">
        <f>TRIM(SUBSTITUTE(PROPER(C816)&amp;" "&amp;IF(OR(D816="County",D816="Township",D816="Village",D816="Charter Township"),D816,"")&amp;IF(D816="Township"," "&amp;"("&amp;VLOOKUP(A816,counties,3,0)&amp;")",""),"  "," "))</f>
        <v>Gogebic Medical Care Facility</v>
      </c>
    </row>
    <row r="817" spans="1:8" ht="15.75" thickBot="1" x14ac:dyDescent="0.3">
      <c r="A817">
        <f t="shared" si="13"/>
        <v>27</v>
      </c>
      <c r="B817" s="10">
        <v>2016</v>
      </c>
      <c r="C817" s="3" t="s">
        <v>748</v>
      </c>
      <c r="D817" s="3" t="s">
        <v>17</v>
      </c>
      <c r="E817" s="4" t="s">
        <v>7</v>
      </c>
      <c r="F817" s="11" t="s">
        <v>8</v>
      </c>
      <c r="H817" t="str">
        <f>TRIM(SUBSTITUTE(PROPER(C817)&amp;" "&amp;IF(OR(D817="County",D817="Township",D817="Village",D817="Charter Township"),D817,"")&amp;IF(D817="Township"," "&amp;"("&amp;VLOOKUP(A817,counties,3,0)&amp;")",""),"  "," "))</f>
        <v>Gogebic Range Solid Waste Mgmt Auth</v>
      </c>
    </row>
    <row r="818" spans="1:8" ht="15.75" thickBot="1" x14ac:dyDescent="0.3">
      <c r="A818">
        <f t="shared" si="13"/>
        <v>27</v>
      </c>
      <c r="B818" s="8">
        <v>2016</v>
      </c>
      <c r="C818" s="1" t="s">
        <v>749</v>
      </c>
      <c r="D818" s="1" t="s">
        <v>17</v>
      </c>
      <c r="E818" s="2" t="s">
        <v>7</v>
      </c>
      <c r="F818" s="9" t="s">
        <v>8</v>
      </c>
      <c r="H818" t="str">
        <f>TRIM(SUBSTITUTE(PROPER(C818)&amp;" "&amp;IF(OR(D818="County",D818="Township",D818="Village",D818="Charter Township"),D818,"")&amp;IF(D818="Township"," "&amp;"("&amp;VLOOKUP(A818,counties,3,0)&amp;")",""),"  "," "))</f>
        <v>Gogebic Range Water Authority</v>
      </c>
    </row>
    <row r="819" spans="1:8" ht="15.75" thickBot="1" x14ac:dyDescent="0.3">
      <c r="A819">
        <f t="shared" si="13"/>
        <v>27</v>
      </c>
      <c r="B819" s="10">
        <v>2016</v>
      </c>
      <c r="C819" s="3" t="s">
        <v>750</v>
      </c>
      <c r="D819" s="3" t="s">
        <v>17</v>
      </c>
      <c r="E819" s="4" t="s">
        <v>7</v>
      </c>
      <c r="F819" s="11" t="s">
        <v>8</v>
      </c>
      <c r="H819" t="str">
        <f>TRIM(SUBSTITUTE(PROPER(C819)&amp;" "&amp;IF(OR(D819="County",D819="Township",D819="Village",D819="Charter Township"),D819,"")&amp;IF(D819="Township"," "&amp;"("&amp;VLOOKUP(A819,counties,3,0)&amp;")",""),"  "," "))</f>
        <v>Gogebic-Iron Wastewater Authority</v>
      </c>
    </row>
    <row r="820" spans="1:8" ht="15.75" thickBot="1" x14ac:dyDescent="0.3">
      <c r="A820">
        <f t="shared" si="13"/>
        <v>27</v>
      </c>
      <c r="B820" s="8">
        <v>2016</v>
      </c>
      <c r="C820" s="1" t="s">
        <v>751</v>
      </c>
      <c r="D820" s="1" t="s">
        <v>15</v>
      </c>
      <c r="E820" s="2" t="s">
        <v>7</v>
      </c>
      <c r="F820" s="9" t="s">
        <v>8</v>
      </c>
      <c r="H820" t="str">
        <f>TRIM(SUBSTITUTE(PROPER(C820)&amp;" "&amp;IF(OR(D820="County",D820="Township",D820="Village",D820="Charter Township"),D820,"")&amp;IF(D820="Township"," "&amp;"("&amp;VLOOKUP(A820,counties,3,0)&amp;")",""),"  "," "))</f>
        <v>Ironwood</v>
      </c>
    </row>
    <row r="821" spans="1:8" ht="15.75" thickBot="1" x14ac:dyDescent="0.3">
      <c r="A821">
        <f t="shared" si="13"/>
        <v>27</v>
      </c>
      <c r="B821" s="10">
        <v>2016</v>
      </c>
      <c r="C821" s="3" t="s">
        <v>752</v>
      </c>
      <c r="D821" s="3" t="s">
        <v>17</v>
      </c>
      <c r="E821" s="4" t="s">
        <v>7</v>
      </c>
      <c r="F821" s="11" t="s">
        <v>8</v>
      </c>
      <c r="H821" t="str">
        <f>TRIM(SUBSTITUTE(PROPER(C821)&amp;" "&amp;IF(OR(D821="County",D821="Township",D821="Village",D821="Charter Township"),D821,"")&amp;IF(D821="Township"," "&amp;"("&amp;VLOOKUP(A821,counties,3,0)&amp;")",""),"  "," "))</f>
        <v>Ironwood City Housing Commission</v>
      </c>
    </row>
    <row r="822" spans="1:8" ht="15.75" thickBot="1" x14ac:dyDescent="0.3">
      <c r="A822">
        <f t="shared" si="13"/>
        <v>27</v>
      </c>
      <c r="B822" s="8">
        <v>2016</v>
      </c>
      <c r="C822" s="1" t="s">
        <v>753</v>
      </c>
      <c r="D822" s="1" t="s">
        <v>9</v>
      </c>
      <c r="E822" s="2" t="s">
        <v>7</v>
      </c>
      <c r="F822" s="9" t="s">
        <v>8</v>
      </c>
      <c r="H822" t="str">
        <f>TRIM(SUBSTITUTE(PROPER(C822)&amp;" "&amp;IF(OR(D822="County",D822="Township",D822="Village",D822="Charter Township"),D822,"")&amp;IF(D822="Township"," "&amp;"("&amp;VLOOKUP(A822,counties,3,0)&amp;")",""),"  "," "))</f>
        <v>Marenisco Township (Gogebic County)</v>
      </c>
    </row>
    <row r="823" spans="1:8" ht="15.75" thickBot="1" x14ac:dyDescent="0.3">
      <c r="A823">
        <f t="shared" si="13"/>
        <v>27</v>
      </c>
      <c r="B823" s="10">
        <v>2016</v>
      </c>
      <c r="C823" s="3" t="s">
        <v>754</v>
      </c>
      <c r="D823" s="3" t="s">
        <v>17</v>
      </c>
      <c r="E823" s="4" t="s">
        <v>7</v>
      </c>
      <c r="F823" s="11" t="s">
        <v>8</v>
      </c>
      <c r="H823" t="str">
        <f>TRIM(SUBSTITUTE(PROPER(C823)&amp;" "&amp;IF(OR(D823="County",D823="Township",D823="Village",D823="Charter Township"),D823,"")&amp;IF(D823="Township"," "&amp;"("&amp;VLOOKUP(A823,counties,3,0)&amp;")",""),"  "," "))</f>
        <v>Powderhorn Area Utility District</v>
      </c>
    </row>
    <row r="824" spans="1:8" ht="15.75" thickBot="1" x14ac:dyDescent="0.3">
      <c r="A824">
        <f t="shared" si="13"/>
        <v>27</v>
      </c>
      <c r="B824" s="8">
        <v>2016</v>
      </c>
      <c r="C824" s="1" t="s">
        <v>755</v>
      </c>
      <c r="D824" s="1" t="s">
        <v>17</v>
      </c>
      <c r="E824" s="2" t="s">
        <v>7</v>
      </c>
      <c r="F824" s="9" t="s">
        <v>19</v>
      </c>
      <c r="H824" t="str">
        <f>TRIM(SUBSTITUTE(PROPER(C824)&amp;" "&amp;IF(OR(D824="County",D824="Township",D824="Village",D824="Charter Township"),D824,"")&amp;IF(D824="Township"," "&amp;"("&amp;VLOOKUP(A824,counties,3,0)&amp;")",""),"  "," "))</f>
        <v>Section 32 Sewer Authority</v>
      </c>
    </row>
    <row r="825" spans="1:8" ht="15.75" thickBot="1" x14ac:dyDescent="0.3">
      <c r="A825">
        <f t="shared" si="13"/>
        <v>27</v>
      </c>
      <c r="B825" s="10">
        <v>2016</v>
      </c>
      <c r="C825" s="3" t="s">
        <v>756</v>
      </c>
      <c r="D825" s="3" t="s">
        <v>15</v>
      </c>
      <c r="E825" s="4" t="s">
        <v>7</v>
      </c>
      <c r="F825" s="11" t="s">
        <v>8</v>
      </c>
      <c r="H825" t="str">
        <f>TRIM(SUBSTITUTE(PROPER(C825)&amp;" "&amp;IF(OR(D825="County",D825="Township",D825="Village",D825="Charter Township"),D825,"")&amp;IF(D825="Township"," "&amp;"("&amp;VLOOKUP(A825,counties,3,0)&amp;")",""),"  "," "))</f>
        <v>Wakefield</v>
      </c>
    </row>
    <row r="826" spans="1:8" ht="15.75" thickBot="1" x14ac:dyDescent="0.3">
      <c r="A826">
        <f t="shared" si="13"/>
        <v>27</v>
      </c>
      <c r="B826" s="8">
        <v>2016</v>
      </c>
      <c r="C826" s="1" t="s">
        <v>756</v>
      </c>
      <c r="D826" s="1" t="s">
        <v>9</v>
      </c>
      <c r="E826" s="2" t="s">
        <v>7</v>
      </c>
      <c r="F826" s="9" t="s">
        <v>8</v>
      </c>
      <c r="H826" t="str">
        <f>TRIM(SUBSTITUTE(PROPER(C826)&amp;" "&amp;IF(OR(D826="County",D826="Township",D826="Village",D826="Charter Township"),D826,"")&amp;IF(D826="Township"," "&amp;"("&amp;VLOOKUP(A826,counties,3,0)&amp;")",""),"  "," "))</f>
        <v>Wakefield Township (Gogebic County)</v>
      </c>
    </row>
    <row r="827" spans="1:8" ht="15.75" thickBot="1" x14ac:dyDescent="0.3">
      <c r="A827">
        <f t="shared" si="13"/>
        <v>27</v>
      </c>
      <c r="B827" s="10">
        <v>2016</v>
      </c>
      <c r="C827" s="3" t="s">
        <v>757</v>
      </c>
      <c r="D827" s="3" t="s">
        <v>17</v>
      </c>
      <c r="E827" s="4" t="s">
        <v>7</v>
      </c>
      <c r="F827" s="11" t="s">
        <v>8</v>
      </c>
      <c r="H827" t="str">
        <f>TRIM(SUBSTITUTE(PROPER(C827)&amp;" "&amp;IF(OR(D827="County",D827="Township",D827="Village",D827="Charter Township"),D827,"")&amp;IF(D827="Township"," "&amp;"("&amp;VLOOKUP(A827,counties,3,0)&amp;")",""),"  "," "))</f>
        <v>Wakefield City Housing Commission</v>
      </c>
    </row>
    <row r="828" spans="1:8" ht="15.75" thickBot="1" x14ac:dyDescent="0.3">
      <c r="A828">
        <f t="shared" si="13"/>
        <v>27</v>
      </c>
      <c r="B828" s="8">
        <v>2016</v>
      </c>
      <c r="C828" s="1" t="s">
        <v>758</v>
      </c>
      <c r="D828" s="1" t="s">
        <v>9</v>
      </c>
      <c r="E828" s="2" t="s">
        <v>7</v>
      </c>
      <c r="F828" s="9" t="s">
        <v>8</v>
      </c>
      <c r="H828" t="str">
        <f>TRIM(SUBSTITUTE(PROPER(C828)&amp;" "&amp;IF(OR(D828="County",D828="Township",D828="Village",D828="Charter Township"),D828,"")&amp;IF(D828="Township"," "&amp;"("&amp;VLOOKUP(A828,counties,3,0)&amp;")",""),"  "," "))</f>
        <v>Watersmeet Township (Gogebic County)</v>
      </c>
    </row>
    <row r="829" spans="1:8" ht="15.75" thickBot="1" x14ac:dyDescent="0.3">
      <c r="A829">
        <f t="shared" si="13"/>
        <v>27</v>
      </c>
      <c r="B829" s="12">
        <v>2016</v>
      </c>
      <c r="C829" s="13" t="s">
        <v>759</v>
      </c>
      <c r="D829" s="13" t="s">
        <v>17</v>
      </c>
      <c r="E829" s="14" t="s">
        <v>7</v>
      </c>
      <c r="F829" s="15" t="s">
        <v>8</v>
      </c>
      <c r="H829" t="str">
        <f>TRIM(SUBSTITUTE(PROPER(C829)&amp;" "&amp;IF(OR(D829="County",D829="Township",D829="Village",D829="Charter Township"),D829,"")&amp;IF(D829="Township"," "&amp;"("&amp;VLOOKUP(A829,counties,3,0)&amp;")",""),"  "," "))</f>
        <v>Western Up Alliance</v>
      </c>
    </row>
    <row r="830" spans="1:8" ht="16.5" thickTop="1" thickBot="1" x14ac:dyDescent="0.3">
      <c r="A830">
        <f t="shared" si="13"/>
        <v>28</v>
      </c>
      <c r="B830" s="5" t="s">
        <v>0</v>
      </c>
      <c r="C830" s="6" t="s">
        <v>1</v>
      </c>
      <c r="D830" s="6" t="s">
        <v>2</v>
      </c>
      <c r="E830" s="6" t="s">
        <v>3</v>
      </c>
      <c r="F830" s="7" t="s">
        <v>4</v>
      </c>
      <c r="H830" t="str">
        <f>TRIM(SUBSTITUTE(PROPER(C830)&amp;" "&amp;IF(OR(D830="County",D830="Township",D830="Village",D830="Charter Township"),D830,"")&amp;IF(D830="Township"," "&amp;"("&amp;VLOOKUP(A830,counties,3,0)&amp;")",""),"  "," "))</f>
        <v>Municipality</v>
      </c>
    </row>
    <row r="831" spans="1:8" ht="15.75" thickBot="1" x14ac:dyDescent="0.3">
      <c r="A831">
        <f t="shared" si="13"/>
        <v>28</v>
      </c>
      <c r="B831" s="8">
        <v>2016</v>
      </c>
      <c r="C831" s="1" t="s">
        <v>760</v>
      </c>
      <c r="D831" s="1" t="s">
        <v>9</v>
      </c>
      <c r="E831" s="2" t="s">
        <v>7</v>
      </c>
      <c r="F831" s="9" t="s">
        <v>8</v>
      </c>
      <c r="H831" t="str">
        <f>TRIM(SUBSTITUTE(PROPER(C831)&amp;" "&amp;IF(OR(D831="County",D831="Township",D831="Village",D831="Charter Township"),D831,"")&amp;IF(D831="Township"," "&amp;"("&amp;VLOOKUP(A831,counties,3,0)&amp;")",""),"  "," "))</f>
        <v>Acme Township (Grand Traverse County)</v>
      </c>
    </row>
    <row r="832" spans="1:8" ht="15.75" thickBot="1" x14ac:dyDescent="0.3">
      <c r="A832">
        <f t="shared" si="13"/>
        <v>28</v>
      </c>
      <c r="B832" s="10">
        <v>2016</v>
      </c>
      <c r="C832" s="3" t="s">
        <v>761</v>
      </c>
      <c r="D832" s="3" t="s">
        <v>17</v>
      </c>
      <c r="E832" s="4" t="s">
        <v>7</v>
      </c>
      <c r="F832" s="11" t="s">
        <v>8</v>
      </c>
      <c r="H832" t="str">
        <f>TRIM(SUBSTITUTE(PROPER(C832)&amp;" "&amp;IF(OR(D832="County",D832="Township",D832="Village",D832="Charter Township"),D832,"")&amp;IF(D832="Township"," "&amp;"("&amp;VLOOKUP(A832,counties,3,0)&amp;")",""),"  "," "))</f>
        <v>Bay Area Transportation Authority</v>
      </c>
    </row>
    <row r="833" spans="1:8" ht="15.75" thickBot="1" x14ac:dyDescent="0.3">
      <c r="A833">
        <f t="shared" si="13"/>
        <v>28</v>
      </c>
      <c r="B833" s="8">
        <v>2016</v>
      </c>
      <c r="C833" s="1" t="s">
        <v>762</v>
      </c>
      <c r="D833" s="1" t="s">
        <v>9</v>
      </c>
      <c r="E833" s="2" t="s">
        <v>7</v>
      </c>
      <c r="F833" s="9" t="s">
        <v>8</v>
      </c>
      <c r="H833" t="str">
        <f>TRIM(SUBSTITUTE(PROPER(C833)&amp;" "&amp;IF(OR(D833="County",D833="Township",D833="Village",D833="Charter Township"),D833,"")&amp;IF(D833="Township"," "&amp;"("&amp;VLOOKUP(A833,counties,3,0)&amp;")",""),"  "," "))</f>
        <v>Blair Township (Grand Traverse County)</v>
      </c>
    </row>
    <row r="834" spans="1:8" ht="15.75" thickBot="1" x14ac:dyDescent="0.3">
      <c r="A834">
        <f t="shared" si="13"/>
        <v>28</v>
      </c>
      <c r="B834" s="10">
        <v>2016</v>
      </c>
      <c r="C834" s="3" t="s">
        <v>763</v>
      </c>
      <c r="D834" s="3" t="s">
        <v>17</v>
      </c>
      <c r="E834" s="4" t="s">
        <v>7</v>
      </c>
      <c r="F834" s="11" t="s">
        <v>8</v>
      </c>
      <c r="H834" t="str">
        <f>TRIM(SUBSTITUTE(PROPER(C834)&amp;" "&amp;IF(OR(D834="County",D834="Township",D834="Village",D834="Charter Township"),D834,"")&amp;IF(D834="Township"," "&amp;"("&amp;VLOOKUP(A834,counties,3,0)&amp;")",""),"  "," "))</f>
        <v>City Of Traverse City &amp; Twp Of Garfield Recreation Auth</v>
      </c>
    </row>
    <row r="835" spans="1:8" ht="15.75" thickBot="1" x14ac:dyDescent="0.3">
      <c r="A835">
        <f t="shared" ref="A835:A898" si="14">IF(B835="Year",A834+1,A834)</f>
        <v>28</v>
      </c>
      <c r="B835" s="8">
        <v>2016</v>
      </c>
      <c r="C835" s="1" t="s">
        <v>764</v>
      </c>
      <c r="D835" s="1" t="s">
        <v>72</v>
      </c>
      <c r="E835" s="2" t="s">
        <v>7</v>
      </c>
      <c r="F835" s="9" t="s">
        <v>19</v>
      </c>
      <c r="H835" t="str">
        <f>TRIM(SUBSTITUTE(PROPER(C835)&amp;" "&amp;IF(OR(D835="County",D835="Township",D835="Village",D835="Charter Township"),D835,"")&amp;IF(D835="Township"," "&amp;"("&amp;VLOOKUP(A835,counties,3,0)&amp;")",""),"  "," "))</f>
        <v>Civic Center South Recreation Authority</v>
      </c>
    </row>
    <row r="836" spans="1:8" ht="15.75" thickBot="1" x14ac:dyDescent="0.3">
      <c r="A836">
        <f t="shared" si="14"/>
        <v>28</v>
      </c>
      <c r="B836" s="10">
        <v>2016</v>
      </c>
      <c r="C836" s="3" t="s">
        <v>765</v>
      </c>
      <c r="D836" s="3" t="s">
        <v>9</v>
      </c>
      <c r="E836" s="4" t="s">
        <v>7</v>
      </c>
      <c r="F836" s="11" t="s">
        <v>8</v>
      </c>
      <c r="H836" t="str">
        <f>TRIM(SUBSTITUTE(PROPER(C836)&amp;" "&amp;IF(OR(D836="County",D836="Township",D836="Village",D836="Charter Township"),D836,"")&amp;IF(D836="Township"," "&amp;"("&amp;VLOOKUP(A836,counties,3,0)&amp;")",""),"  "," "))</f>
        <v>East Bay Township (Grand Traverse County)</v>
      </c>
    </row>
    <row r="837" spans="1:8" ht="15.75" thickBot="1" x14ac:dyDescent="0.3">
      <c r="A837">
        <f t="shared" si="14"/>
        <v>28</v>
      </c>
      <c r="B837" s="8">
        <v>2016</v>
      </c>
      <c r="C837" s="1" t="s">
        <v>766</v>
      </c>
      <c r="D837" s="1" t="s">
        <v>9</v>
      </c>
      <c r="E837" s="2" t="s">
        <v>7</v>
      </c>
      <c r="F837" s="9" t="s">
        <v>8</v>
      </c>
      <c r="H837" t="str">
        <f>TRIM(SUBSTITUTE(PROPER(C837)&amp;" "&amp;IF(OR(D837="County",D837="Township",D837="Village",D837="Charter Township"),D837,"")&amp;IF(D837="Township"," "&amp;"("&amp;VLOOKUP(A837,counties,3,0)&amp;")",""),"  "," "))</f>
        <v>Fife Lake Township (Grand Traverse County)</v>
      </c>
    </row>
    <row r="838" spans="1:8" ht="15.75" thickBot="1" x14ac:dyDescent="0.3">
      <c r="A838">
        <f t="shared" si="14"/>
        <v>28</v>
      </c>
      <c r="B838" s="10">
        <v>2016</v>
      </c>
      <c r="C838" s="3" t="s">
        <v>766</v>
      </c>
      <c r="D838" s="3" t="s">
        <v>21</v>
      </c>
      <c r="E838" s="4" t="s">
        <v>7</v>
      </c>
      <c r="F838" s="11" t="s">
        <v>8</v>
      </c>
      <c r="H838" t="str">
        <f>TRIM(SUBSTITUTE(PROPER(C838)&amp;" "&amp;IF(OR(D838="County",D838="Township",D838="Village",D838="Charter Township"),D838,"")&amp;IF(D838="Township"," "&amp;"("&amp;VLOOKUP(A838,counties,3,0)&amp;")",""),"  "," "))</f>
        <v>Fife Lake Village</v>
      </c>
    </row>
    <row r="839" spans="1:8" ht="15.75" thickBot="1" x14ac:dyDescent="0.3">
      <c r="A839">
        <f t="shared" si="14"/>
        <v>28</v>
      </c>
      <c r="B839" s="8">
        <v>2016</v>
      </c>
      <c r="C839" s="1" t="s">
        <v>767</v>
      </c>
      <c r="D839" s="1" t="s">
        <v>17</v>
      </c>
      <c r="E839" s="2" t="s">
        <v>7</v>
      </c>
      <c r="F839" s="9" t="s">
        <v>8</v>
      </c>
      <c r="H839" t="str">
        <f>TRIM(SUBSTITUTE(PROPER(C839)&amp;" "&amp;IF(OR(D839="County",D839="Township",D839="Village",D839="Charter Township"),D839,"")&amp;IF(D839="Township"," "&amp;"("&amp;VLOOKUP(A839,counties,3,0)&amp;")",""),"  "," "))</f>
        <v>Fife Lake Area Emergency Rescue Authority</v>
      </c>
    </row>
    <row r="840" spans="1:8" ht="15.75" thickBot="1" x14ac:dyDescent="0.3">
      <c r="A840">
        <f t="shared" si="14"/>
        <v>28</v>
      </c>
      <c r="B840" s="10">
        <v>2016</v>
      </c>
      <c r="C840" s="3" t="s">
        <v>768</v>
      </c>
      <c r="D840" s="3" t="s">
        <v>17</v>
      </c>
      <c r="E840" s="4" t="s">
        <v>7</v>
      </c>
      <c r="F840" s="11" t="s">
        <v>8</v>
      </c>
      <c r="H840" t="str">
        <f>TRIM(SUBSTITUTE(PROPER(C840)&amp;" "&amp;IF(OR(D840="County",D840="Township",D840="Village",D840="Charter Township"),D840,"")&amp;IF(D840="Township"," "&amp;"("&amp;VLOOKUP(A840,counties,3,0)&amp;")",""),"  "," "))</f>
        <v>Fife Lake Area Utility Authority</v>
      </c>
    </row>
    <row r="841" spans="1:8" ht="15.75" thickBot="1" x14ac:dyDescent="0.3">
      <c r="A841">
        <f t="shared" si="14"/>
        <v>28</v>
      </c>
      <c r="B841" s="8">
        <v>2016</v>
      </c>
      <c r="C841" s="1" t="s">
        <v>769</v>
      </c>
      <c r="D841" s="1" t="s">
        <v>9</v>
      </c>
      <c r="E841" s="2" t="s">
        <v>7</v>
      </c>
      <c r="F841" s="9" t="s">
        <v>8</v>
      </c>
      <c r="H841" t="str">
        <f>TRIM(SUBSTITUTE(PROPER(C841)&amp;" "&amp;IF(OR(D841="County",D841="Township",D841="Village",D841="Charter Township"),D841,"")&amp;IF(D841="Township"," "&amp;"("&amp;VLOOKUP(A841,counties,3,0)&amp;")",""),"  "," "))</f>
        <v>Garfield Charter Township (Grand Traverse County)</v>
      </c>
    </row>
    <row r="842" spans="1:8" ht="15.75" thickBot="1" x14ac:dyDescent="0.3">
      <c r="A842">
        <f t="shared" si="14"/>
        <v>28</v>
      </c>
      <c r="B842" s="10">
        <v>2016</v>
      </c>
      <c r="C842" s="3" t="s">
        <v>770</v>
      </c>
      <c r="D842" s="3" t="s">
        <v>6</v>
      </c>
      <c r="E842" s="4" t="s">
        <v>7</v>
      </c>
      <c r="F842" s="11" t="s">
        <v>8</v>
      </c>
      <c r="H842" t="str">
        <f>TRIM(SUBSTITUTE(PROPER(C842)&amp;" "&amp;IF(OR(D842="County",D842="Township",D842="Village",D842="Charter Township"),D842,"")&amp;IF(D842="Township"," "&amp;"("&amp;VLOOKUP(A842,counties,3,0)&amp;")",""),"  "," "))</f>
        <v>Grand Traverse County</v>
      </c>
    </row>
    <row r="843" spans="1:8" ht="15.75" thickBot="1" x14ac:dyDescent="0.3">
      <c r="A843">
        <f t="shared" si="14"/>
        <v>28</v>
      </c>
      <c r="B843" s="8">
        <v>2016</v>
      </c>
      <c r="C843" s="1" t="s">
        <v>771</v>
      </c>
      <c r="D843" s="1" t="s">
        <v>11</v>
      </c>
      <c r="E843" s="2" t="s">
        <v>7</v>
      </c>
      <c r="F843" s="9" t="s">
        <v>8</v>
      </c>
      <c r="H843" t="str">
        <f>TRIM(SUBSTITUTE(PROPER(C843)&amp;" "&amp;IF(OR(D843="County",D843="Township",D843="Village",D843="Charter Township"),D843,"")&amp;IF(D843="Township"," "&amp;"("&amp;VLOOKUP(A843,counties,3,0)&amp;")",""),"  "," "))</f>
        <v>Grand Traverse County Road Commission</v>
      </c>
    </row>
    <row r="844" spans="1:8" ht="15.75" thickBot="1" x14ac:dyDescent="0.3">
      <c r="A844">
        <f t="shared" si="14"/>
        <v>28</v>
      </c>
      <c r="B844" s="10">
        <v>2016</v>
      </c>
      <c r="C844" s="3" t="s">
        <v>772</v>
      </c>
      <c r="D844" s="3" t="s">
        <v>17</v>
      </c>
      <c r="E844" s="4" t="s">
        <v>7</v>
      </c>
      <c r="F844" s="11" t="s">
        <v>8</v>
      </c>
      <c r="H844" t="str">
        <f>TRIM(SUBSTITUTE(PROPER(C844)&amp;" "&amp;IF(OR(D844="County",D844="Township",D844="Village",D844="Charter Township"),D844,"")&amp;IF(D844="Township"," "&amp;"("&amp;VLOOKUP(A844,counties,3,0)&amp;")",""),"  "," "))</f>
        <v>Grand Traverse Fire Departmen - Rural Division</v>
      </c>
    </row>
    <row r="845" spans="1:8" ht="21.75" thickBot="1" x14ac:dyDescent="0.3">
      <c r="A845">
        <f t="shared" si="14"/>
        <v>28</v>
      </c>
      <c r="B845" s="8">
        <v>2016</v>
      </c>
      <c r="C845" s="1" t="s">
        <v>773</v>
      </c>
      <c r="D845" s="1" t="s">
        <v>17</v>
      </c>
      <c r="E845" s="2" t="s">
        <v>7</v>
      </c>
      <c r="F845" s="9" t="s">
        <v>8</v>
      </c>
      <c r="H845" t="str">
        <f>TRIM(SUBSTITUTE(PROPER(C845)&amp;" "&amp;IF(OR(D845="County",D845="Township",D845="Village",D845="Charter Township"),D845,"")&amp;IF(D845="Township"," "&amp;"("&amp;VLOOKUP(A845,counties,3,0)&amp;")",""),"  "," "))</f>
        <v>Grand Traverse Metro Emergency Services Authority</v>
      </c>
    </row>
    <row r="846" spans="1:8" ht="15.75" thickBot="1" x14ac:dyDescent="0.3">
      <c r="A846">
        <f t="shared" si="14"/>
        <v>28</v>
      </c>
      <c r="B846" s="10">
        <v>2016</v>
      </c>
      <c r="C846" s="3" t="s">
        <v>449</v>
      </c>
      <c r="D846" s="3" t="s">
        <v>9</v>
      </c>
      <c r="E846" s="4" t="s">
        <v>7</v>
      </c>
      <c r="F846" s="11" t="s">
        <v>19</v>
      </c>
      <c r="H846" t="str">
        <f>TRIM(SUBSTITUTE(PROPER(C846)&amp;" "&amp;IF(OR(D846="County",D846="Township",D846="Village",D846="Charter Township"),D846,"")&amp;IF(D846="Township"," "&amp;"("&amp;VLOOKUP(A846,counties,3,0)&amp;")",""),"  "," "))</f>
        <v>Grant Township (Grand Traverse County)</v>
      </c>
    </row>
    <row r="847" spans="1:8" ht="15.75" thickBot="1" x14ac:dyDescent="0.3">
      <c r="A847">
        <f t="shared" si="14"/>
        <v>28</v>
      </c>
      <c r="B847" s="8">
        <v>2016</v>
      </c>
      <c r="C847" s="1" t="s">
        <v>774</v>
      </c>
      <c r="D847" s="1" t="s">
        <v>9</v>
      </c>
      <c r="E847" s="2" t="s">
        <v>7</v>
      </c>
      <c r="F847" s="9" t="s">
        <v>8</v>
      </c>
      <c r="H847" t="str">
        <f>TRIM(SUBSTITUTE(PROPER(C847)&amp;" "&amp;IF(OR(D847="County",D847="Township",D847="Village",D847="Charter Township"),D847,"")&amp;IF(D847="Township"," "&amp;"("&amp;VLOOKUP(A847,counties,3,0)&amp;")",""),"  "," "))</f>
        <v>Green Lake Township (Grand Traverse County)</v>
      </c>
    </row>
    <row r="848" spans="1:8" ht="15.75" thickBot="1" x14ac:dyDescent="0.3">
      <c r="A848">
        <f t="shared" si="14"/>
        <v>28</v>
      </c>
      <c r="B848" s="10">
        <v>2016</v>
      </c>
      <c r="C848" s="3" t="s">
        <v>775</v>
      </c>
      <c r="D848" s="3" t="s">
        <v>42</v>
      </c>
      <c r="E848" s="4" t="s">
        <v>7</v>
      </c>
      <c r="F848" s="11" t="s">
        <v>8</v>
      </c>
      <c r="H848" t="str">
        <f>TRIM(SUBSTITUTE(PROPER(C848)&amp;" "&amp;IF(OR(D848="County",D848="Township",D848="Village",D848="Charter Township"),D848,"")&amp;IF(D848="Township"," "&amp;"("&amp;VLOOKUP(A848,counties,3,0)&amp;")",""),"  "," "))</f>
        <v>Interlochen Public Library</v>
      </c>
    </row>
    <row r="849" spans="1:8" ht="15.75" thickBot="1" x14ac:dyDescent="0.3">
      <c r="A849">
        <f t="shared" si="14"/>
        <v>28</v>
      </c>
      <c r="B849" s="8">
        <v>2016</v>
      </c>
      <c r="C849" s="1" t="s">
        <v>776</v>
      </c>
      <c r="D849" s="1" t="s">
        <v>21</v>
      </c>
      <c r="E849" s="2" t="s">
        <v>7</v>
      </c>
      <c r="F849" s="9" t="s">
        <v>19</v>
      </c>
      <c r="H849" t="str">
        <f>TRIM(SUBSTITUTE(PROPER(C849)&amp;" "&amp;IF(OR(D849="County",D849="Township",D849="Village",D849="Charter Township"),D849,"")&amp;IF(D849="Township"," "&amp;"("&amp;VLOOKUP(A849,counties,3,0)&amp;")",""),"  "," "))</f>
        <v>Kingsley Village</v>
      </c>
    </row>
    <row r="850" spans="1:8" ht="15.75" thickBot="1" x14ac:dyDescent="0.3">
      <c r="A850">
        <f t="shared" si="14"/>
        <v>28</v>
      </c>
      <c r="B850" s="10">
        <v>2016</v>
      </c>
      <c r="C850" s="3" t="s">
        <v>777</v>
      </c>
      <c r="D850" s="3" t="s">
        <v>9</v>
      </c>
      <c r="E850" s="4" t="s">
        <v>7</v>
      </c>
      <c r="F850" s="11" t="s">
        <v>8</v>
      </c>
      <c r="H850" t="str">
        <f>TRIM(SUBSTITUTE(PROPER(C850)&amp;" "&amp;IF(OR(D850="County",D850="Township",D850="Village",D850="Charter Township"),D850,"")&amp;IF(D850="Township"," "&amp;"("&amp;VLOOKUP(A850,counties,3,0)&amp;")",""),"  "," "))</f>
        <v>Long Lake Township (Grand Traverse County)</v>
      </c>
    </row>
    <row r="851" spans="1:8" ht="15.75" thickBot="1" x14ac:dyDescent="0.3">
      <c r="A851">
        <f t="shared" si="14"/>
        <v>28</v>
      </c>
      <c r="B851" s="8">
        <v>2016</v>
      </c>
      <c r="C851" s="1" t="s">
        <v>778</v>
      </c>
      <c r="D851" s="1" t="s">
        <v>9</v>
      </c>
      <c r="E851" s="2" t="s">
        <v>7</v>
      </c>
      <c r="F851" s="9" t="s">
        <v>19</v>
      </c>
      <c r="H851" t="str">
        <f>TRIM(SUBSTITUTE(PROPER(C851)&amp;" "&amp;IF(OR(D851="County",D851="Township",D851="Village",D851="Charter Township"),D851,"")&amp;IF(D851="Township"," "&amp;"("&amp;VLOOKUP(A851,counties,3,0)&amp;")",""),"  "," "))</f>
        <v>Mayfield Township (Grand Traverse County)</v>
      </c>
    </row>
    <row r="852" spans="1:8" ht="15.75" thickBot="1" x14ac:dyDescent="0.3">
      <c r="A852">
        <f t="shared" si="14"/>
        <v>28</v>
      </c>
      <c r="B852" s="10">
        <v>2016</v>
      </c>
      <c r="C852" s="3" t="s">
        <v>779</v>
      </c>
      <c r="D852" s="3" t="s">
        <v>17</v>
      </c>
      <c r="E852" s="4" t="s">
        <v>7</v>
      </c>
      <c r="F852" s="11" t="s">
        <v>8</v>
      </c>
      <c r="H852" t="str">
        <f>TRIM(SUBSTITUTE(PROPER(C852)&amp;" "&amp;IF(OR(D852="County",D852="Township",D852="Village",D852="Charter Township"),D852,"")&amp;IF(D852="Township"," "&amp;"("&amp;VLOOKUP(A852,counties,3,0)&amp;")",""),"  "," "))</f>
        <v>Networks Northwest</v>
      </c>
    </row>
    <row r="853" spans="1:8" ht="21.75" thickBot="1" x14ac:dyDescent="0.3">
      <c r="A853">
        <f t="shared" si="14"/>
        <v>28</v>
      </c>
      <c r="B853" s="8">
        <v>2016</v>
      </c>
      <c r="C853" s="1" t="s">
        <v>780</v>
      </c>
      <c r="D853" s="1" t="s">
        <v>17</v>
      </c>
      <c r="E853" s="2" t="s">
        <v>7</v>
      </c>
      <c r="F853" s="9" t="s">
        <v>8</v>
      </c>
      <c r="H853" t="str">
        <f>TRIM(SUBSTITUTE(PROPER(C853)&amp;" "&amp;IF(OR(D853="County",D853="Township",D853="Village",D853="Charter Township"),D853,"")&amp;IF(D853="Township"," "&amp;"("&amp;VLOOKUP(A853,counties,3,0)&amp;")",""),"  "," "))</f>
        <v>Northern Lakes Community Mental Health Authority</v>
      </c>
    </row>
    <row r="854" spans="1:8" ht="21.75" thickBot="1" x14ac:dyDescent="0.3">
      <c r="A854">
        <f t="shared" si="14"/>
        <v>28</v>
      </c>
      <c r="B854" s="10">
        <v>2016</v>
      </c>
      <c r="C854" s="3" t="s">
        <v>781</v>
      </c>
      <c r="D854" s="3" t="s">
        <v>17</v>
      </c>
      <c r="E854" s="4" t="s">
        <v>7</v>
      </c>
      <c r="F854" s="11" t="s">
        <v>8</v>
      </c>
      <c r="H854" t="str">
        <f>TRIM(SUBSTITUTE(PROPER(C854)&amp;" "&amp;IF(OR(D854="County",D854="Township",D854="Village",D854="Charter Township"),D854,"")&amp;IF(D854="Township"," "&amp;"("&amp;VLOOKUP(A854,counties,3,0)&amp;")",""),"  "," "))</f>
        <v>Northwest Regional Fire Training Center Authority</v>
      </c>
    </row>
    <row r="855" spans="1:8" ht="15.75" thickBot="1" x14ac:dyDescent="0.3">
      <c r="A855">
        <f t="shared" si="14"/>
        <v>28</v>
      </c>
      <c r="B855" s="8">
        <v>2016</v>
      </c>
      <c r="C855" s="1" t="s">
        <v>782</v>
      </c>
      <c r="D855" s="1" t="s">
        <v>88</v>
      </c>
      <c r="E855" s="2" t="s">
        <v>7</v>
      </c>
      <c r="F855" s="9" t="s">
        <v>8</v>
      </c>
      <c r="H855" t="str">
        <f>TRIM(SUBSTITUTE(PROPER(C855)&amp;" "&amp;IF(OR(D855="County",D855="Township",D855="Village",D855="Charter Township"),D855,"")&amp;IF(D855="Township"," "&amp;"("&amp;VLOOKUP(A855,counties,3,0)&amp;")",""),"  "," "))</f>
        <v>Northwestern Michigan College</v>
      </c>
    </row>
    <row r="856" spans="1:8" ht="15.75" thickBot="1" x14ac:dyDescent="0.3">
      <c r="A856">
        <f t="shared" si="14"/>
        <v>28</v>
      </c>
      <c r="B856" s="10">
        <v>2016</v>
      </c>
      <c r="C856" s="3" t="s">
        <v>783</v>
      </c>
      <c r="D856" s="3" t="s">
        <v>17</v>
      </c>
      <c r="E856" s="4" t="s">
        <v>7</v>
      </c>
      <c r="F856" s="11" t="s">
        <v>8</v>
      </c>
      <c r="H856" t="str">
        <f>TRIM(SUBSTITUTE(PROPER(C856)&amp;" "&amp;IF(OR(D856="County",D856="Township",D856="Village",D856="Charter Township"),D856,"")&amp;IF(D856="Township"," "&amp;"("&amp;VLOOKUP(A856,counties,3,0)&amp;")",""),"  "," "))</f>
        <v>Northwestern Regional Airport Commission</v>
      </c>
    </row>
    <row r="857" spans="1:8" ht="15.75" thickBot="1" x14ac:dyDescent="0.3">
      <c r="A857">
        <f t="shared" si="14"/>
        <v>28</v>
      </c>
      <c r="B857" s="8">
        <v>2016</v>
      </c>
      <c r="C857" s="1" t="s">
        <v>784</v>
      </c>
      <c r="D857" s="1" t="s">
        <v>9</v>
      </c>
      <c r="E857" s="2" t="s">
        <v>7</v>
      </c>
      <c r="F857" s="9" t="s">
        <v>8</v>
      </c>
      <c r="H857" t="str">
        <f>TRIM(SUBSTITUTE(PROPER(C857)&amp;" "&amp;IF(OR(D857="County",D857="Township",D857="Village",D857="Charter Township"),D857,"")&amp;IF(D857="Township"," "&amp;"("&amp;VLOOKUP(A857,counties,3,0)&amp;")",""),"  "," "))</f>
        <v>Paradise Township (Grand Traverse County)</v>
      </c>
    </row>
    <row r="858" spans="1:8" ht="15.75" thickBot="1" x14ac:dyDescent="0.3">
      <c r="A858">
        <f t="shared" si="14"/>
        <v>28</v>
      </c>
      <c r="B858" s="10">
        <v>2016</v>
      </c>
      <c r="C858" s="3" t="s">
        <v>785</v>
      </c>
      <c r="D858" s="3" t="s">
        <v>9</v>
      </c>
      <c r="E858" s="4" t="s">
        <v>7</v>
      </c>
      <c r="F858" s="11" t="s">
        <v>8</v>
      </c>
      <c r="H858" t="str">
        <f>TRIM(SUBSTITUTE(PROPER(C858)&amp;" "&amp;IF(OR(D858="County",D858="Township",D858="Village",D858="Charter Township"),D858,"")&amp;IF(D858="Township"," "&amp;"("&amp;VLOOKUP(A858,counties,3,0)&amp;")",""),"  "," "))</f>
        <v>Peninsula Township (Grand Traverse County)</v>
      </c>
    </row>
    <row r="859" spans="1:8" ht="15.75" thickBot="1" x14ac:dyDescent="0.3">
      <c r="A859">
        <f t="shared" si="14"/>
        <v>28</v>
      </c>
      <c r="B859" s="8">
        <v>2016</v>
      </c>
      <c r="C859" s="1" t="s">
        <v>786</v>
      </c>
      <c r="D859" s="1" t="s">
        <v>42</v>
      </c>
      <c r="E859" s="2" t="s">
        <v>7</v>
      </c>
      <c r="F859" s="9" t="s">
        <v>8</v>
      </c>
      <c r="H859" t="str">
        <f>TRIM(SUBSTITUTE(PROPER(C859)&amp;" "&amp;IF(OR(D859="County",D859="Township",D859="Village",D859="Charter Township"),D859,"")&amp;IF(D859="Township"," "&amp;"("&amp;VLOOKUP(A859,counties,3,0)&amp;")",""),"  "," "))</f>
        <v>Peninsula Community Library</v>
      </c>
    </row>
    <row r="860" spans="1:8" ht="15.75" thickBot="1" x14ac:dyDescent="0.3">
      <c r="A860">
        <f t="shared" si="14"/>
        <v>28</v>
      </c>
      <c r="B860" s="10">
        <v>2016</v>
      </c>
      <c r="C860" s="3" t="s">
        <v>787</v>
      </c>
      <c r="D860" s="3" t="s">
        <v>42</v>
      </c>
      <c r="E860" s="4" t="s">
        <v>7</v>
      </c>
      <c r="F860" s="11" t="s">
        <v>8</v>
      </c>
      <c r="H860" t="str">
        <f>TRIM(SUBSTITUTE(PROPER(C860)&amp;" "&amp;IF(OR(D860="County",D860="Township",D860="Village",D860="Charter Township"),D860,"")&amp;IF(D860="Township"," "&amp;"("&amp;VLOOKUP(A860,counties,3,0)&amp;")",""),"  "," "))</f>
        <v>Traverse Area District Library</v>
      </c>
    </row>
    <row r="861" spans="1:8" ht="15.75" thickBot="1" x14ac:dyDescent="0.3">
      <c r="A861">
        <f t="shared" si="14"/>
        <v>28</v>
      </c>
      <c r="B861" s="8">
        <v>2016</v>
      </c>
      <c r="C861" s="1" t="s">
        <v>788</v>
      </c>
      <c r="D861" s="1" t="s">
        <v>15</v>
      </c>
      <c r="E861" s="2" t="s">
        <v>7</v>
      </c>
      <c r="F861" s="9" t="s">
        <v>8</v>
      </c>
      <c r="H861" t="str">
        <f>TRIM(SUBSTITUTE(PROPER(C861)&amp;" "&amp;IF(OR(D861="County",D861="Township",D861="Village",D861="Charter Township"),D861,"")&amp;IF(D861="Township"," "&amp;"("&amp;VLOOKUP(A861,counties,3,0)&amp;")",""),"  "," "))</f>
        <v>Traverse City</v>
      </c>
    </row>
    <row r="862" spans="1:8" ht="15.75" thickBot="1" x14ac:dyDescent="0.3">
      <c r="A862">
        <f t="shared" si="14"/>
        <v>28</v>
      </c>
      <c r="B862" s="10">
        <v>2016</v>
      </c>
      <c r="C862" s="3" t="s">
        <v>789</v>
      </c>
      <c r="D862" s="3" t="s">
        <v>17</v>
      </c>
      <c r="E862" s="4" t="s">
        <v>7</v>
      </c>
      <c r="F862" s="11" t="s">
        <v>8</v>
      </c>
      <c r="H862" t="str">
        <f>TRIM(SUBSTITUTE(PROPER(C862)&amp;" "&amp;IF(OR(D862="County",D862="Township",D862="Village",D862="Charter Township"),D862,"")&amp;IF(D862="Township"," "&amp;"("&amp;VLOOKUP(A862,counties,3,0)&amp;")",""),"  "," "))</f>
        <v>Traverse City Downtown Development Authority</v>
      </c>
    </row>
    <row r="863" spans="1:8" ht="15.75" thickBot="1" x14ac:dyDescent="0.3">
      <c r="A863">
        <f t="shared" si="14"/>
        <v>28</v>
      </c>
      <c r="B863" s="8">
        <v>2016</v>
      </c>
      <c r="C863" s="1" t="s">
        <v>790</v>
      </c>
      <c r="D863" s="1" t="s">
        <v>17</v>
      </c>
      <c r="E863" s="2" t="s">
        <v>7</v>
      </c>
      <c r="F863" s="9" t="s">
        <v>8</v>
      </c>
      <c r="H863" t="str">
        <f>TRIM(SUBSTITUTE(PROPER(C863)&amp;" "&amp;IF(OR(D863="County",D863="Township",D863="Village",D863="Charter Township"),D863,"")&amp;IF(D863="Township"," "&amp;"("&amp;VLOOKUP(A863,counties,3,0)&amp;")",""),"  "," "))</f>
        <v>Traverse City Housing Commission</v>
      </c>
    </row>
    <row r="864" spans="1:8" ht="15.75" thickBot="1" x14ac:dyDescent="0.3">
      <c r="A864">
        <f t="shared" si="14"/>
        <v>28</v>
      </c>
      <c r="B864" s="10">
        <v>2016</v>
      </c>
      <c r="C864" s="3" t="s">
        <v>791</v>
      </c>
      <c r="D864" s="3" t="s">
        <v>17</v>
      </c>
      <c r="E864" s="4" t="s">
        <v>7</v>
      </c>
      <c r="F864" s="11" t="s">
        <v>8</v>
      </c>
      <c r="H864" t="str">
        <f>TRIM(SUBSTITUTE(PROPER(C864)&amp;" "&amp;IF(OR(D864="County",D864="Township",D864="Village",D864="Charter Township"),D864,"")&amp;IF(D864="Township"," "&amp;"("&amp;VLOOKUP(A864,counties,3,0)&amp;")",""),"  "," "))</f>
        <v>Traverse City Light &amp; Power</v>
      </c>
    </row>
    <row r="865" spans="1:8" ht="15.75" thickBot="1" x14ac:dyDescent="0.3">
      <c r="A865">
        <f t="shared" si="14"/>
        <v>28</v>
      </c>
      <c r="B865" s="8">
        <v>2016</v>
      </c>
      <c r="C865" s="1" t="s">
        <v>336</v>
      </c>
      <c r="D865" s="1" t="s">
        <v>9</v>
      </c>
      <c r="E865" s="2" t="s">
        <v>7</v>
      </c>
      <c r="F865" s="9" t="s">
        <v>19</v>
      </c>
      <c r="H865" t="str">
        <f>TRIM(SUBSTITUTE(PROPER(C865)&amp;" "&amp;IF(OR(D865="County",D865="Township",D865="Village",D865="Charter Township"),D865,"")&amp;IF(D865="Township"," "&amp;"("&amp;VLOOKUP(A865,counties,3,0)&amp;")",""),"  "," "))</f>
        <v>Union Township (Grand Traverse County)</v>
      </c>
    </row>
    <row r="866" spans="1:8" ht="15.75" thickBot="1" x14ac:dyDescent="0.3">
      <c r="A866">
        <f t="shared" si="14"/>
        <v>28</v>
      </c>
      <c r="B866" s="12">
        <v>2016</v>
      </c>
      <c r="C866" s="13" t="s">
        <v>792</v>
      </c>
      <c r="D866" s="13" t="s">
        <v>9</v>
      </c>
      <c r="E866" s="14" t="s">
        <v>7</v>
      </c>
      <c r="F866" s="15" t="s">
        <v>8</v>
      </c>
      <c r="H866" t="str">
        <f>TRIM(SUBSTITUTE(PROPER(C866)&amp;" "&amp;IF(OR(D866="County",D866="Township",D866="Village",D866="Charter Township"),D866,"")&amp;IF(D866="Township"," "&amp;"("&amp;VLOOKUP(A866,counties,3,0)&amp;")",""),"  "," "))</f>
        <v>Whitewater Township (Grand Traverse County)</v>
      </c>
    </row>
    <row r="867" spans="1:8" ht="16.5" thickTop="1" thickBot="1" x14ac:dyDescent="0.3">
      <c r="A867">
        <f t="shared" si="14"/>
        <v>29</v>
      </c>
      <c r="B867" s="5" t="s">
        <v>0</v>
      </c>
      <c r="C867" s="6" t="s">
        <v>1</v>
      </c>
      <c r="D867" s="6" t="s">
        <v>2</v>
      </c>
      <c r="E867" s="6" t="s">
        <v>3</v>
      </c>
      <c r="F867" s="7" t="s">
        <v>4</v>
      </c>
      <c r="H867" t="str">
        <f>TRIM(SUBSTITUTE(PROPER(C867)&amp;" "&amp;IF(OR(D867="County",D867="Township",D867="Village",D867="Charter Township"),D867,"")&amp;IF(D867="Township"," "&amp;"("&amp;VLOOKUP(A867,counties,3,0)&amp;")",""),"  "," "))</f>
        <v>Municipality</v>
      </c>
    </row>
    <row r="868" spans="1:8" ht="15.75" thickBot="1" x14ac:dyDescent="0.3">
      <c r="A868">
        <f t="shared" si="14"/>
        <v>29</v>
      </c>
      <c r="B868" s="8">
        <v>2016</v>
      </c>
      <c r="C868" s="1" t="s">
        <v>793</v>
      </c>
      <c r="D868" s="1" t="s">
        <v>15</v>
      </c>
      <c r="E868" s="2" t="s">
        <v>7</v>
      </c>
      <c r="F868" s="9" t="s">
        <v>8</v>
      </c>
      <c r="H868" t="str">
        <f>TRIM(SUBSTITUTE(PROPER(C868)&amp;" "&amp;IF(OR(D868="County",D868="Township",D868="Village",D868="Charter Township"),D868,"")&amp;IF(D868="Township"," "&amp;"("&amp;VLOOKUP(A868,counties,3,0)&amp;")",""),"  "," "))</f>
        <v>Alma</v>
      </c>
    </row>
    <row r="869" spans="1:8" ht="15.75" thickBot="1" x14ac:dyDescent="0.3">
      <c r="A869">
        <f t="shared" si="14"/>
        <v>29</v>
      </c>
      <c r="B869" s="10">
        <v>2016</v>
      </c>
      <c r="C869" s="3" t="s">
        <v>794</v>
      </c>
      <c r="D869" s="3" t="s">
        <v>17</v>
      </c>
      <c r="E869" s="4" t="s">
        <v>7</v>
      </c>
      <c r="F869" s="11" t="s">
        <v>8</v>
      </c>
      <c r="H869" t="str">
        <f>TRIM(SUBSTITUTE(PROPER(C869)&amp;" "&amp;IF(OR(D869="County",D869="Township",D869="Village",D869="Charter Township"),D869,"")&amp;IF(D869="Township"," "&amp;"("&amp;VLOOKUP(A869,counties,3,0)&amp;")",""),"  "," "))</f>
        <v>Alma City Housing Commission</v>
      </c>
    </row>
    <row r="870" spans="1:8" ht="15.75" thickBot="1" x14ac:dyDescent="0.3">
      <c r="A870">
        <f t="shared" si="14"/>
        <v>29</v>
      </c>
      <c r="B870" s="8">
        <v>2016</v>
      </c>
      <c r="C870" s="1" t="s">
        <v>795</v>
      </c>
      <c r="D870" s="1" t="s">
        <v>9</v>
      </c>
      <c r="E870" s="2" t="s">
        <v>7</v>
      </c>
      <c r="F870" s="9" t="s">
        <v>19</v>
      </c>
      <c r="H870" t="str">
        <f>TRIM(SUBSTITUTE(PROPER(C870)&amp;" "&amp;IF(OR(D870="County",D870="Township",D870="Village",D870="Charter Township"),D870,"")&amp;IF(D870="Township"," "&amp;"("&amp;VLOOKUP(A870,counties,3,0)&amp;")",""),"  "," "))</f>
        <v>Arcada Township (Gratiot County)</v>
      </c>
    </row>
    <row r="871" spans="1:8" ht="15.75" thickBot="1" x14ac:dyDescent="0.3">
      <c r="A871">
        <f t="shared" si="14"/>
        <v>29</v>
      </c>
      <c r="B871" s="10">
        <v>2016</v>
      </c>
      <c r="C871" s="3" t="s">
        <v>796</v>
      </c>
      <c r="D871" s="3" t="s">
        <v>21</v>
      </c>
      <c r="E871" s="4" t="s">
        <v>7</v>
      </c>
      <c r="F871" s="11" t="s">
        <v>8</v>
      </c>
      <c r="H871" t="str">
        <f>TRIM(SUBSTITUTE(PROPER(C871)&amp;" "&amp;IF(OR(D871="County",D871="Township",D871="Village",D871="Charter Township"),D871,"")&amp;IF(D871="Township"," "&amp;"("&amp;VLOOKUP(A871,counties,3,0)&amp;")",""),"  "," "))</f>
        <v>Ashley Village</v>
      </c>
    </row>
    <row r="872" spans="1:8" ht="15.75" thickBot="1" x14ac:dyDescent="0.3">
      <c r="A872">
        <f t="shared" si="14"/>
        <v>29</v>
      </c>
      <c r="B872" s="8">
        <v>2016</v>
      </c>
      <c r="C872" s="1" t="s">
        <v>797</v>
      </c>
      <c r="D872" s="1" t="s">
        <v>9</v>
      </c>
      <c r="E872" s="2" t="s">
        <v>7</v>
      </c>
      <c r="F872" s="9" t="s">
        <v>8</v>
      </c>
      <c r="H872" t="str">
        <f>TRIM(SUBSTITUTE(PROPER(C872)&amp;" "&amp;IF(OR(D872="County",D872="Township",D872="Village",D872="Charter Township"),D872,"")&amp;IF(D872="Township"," "&amp;"("&amp;VLOOKUP(A872,counties,3,0)&amp;")",""),"  "," "))</f>
        <v>Emerson Township (Gratiot County)</v>
      </c>
    </row>
    <row r="873" spans="1:8" ht="15.75" thickBot="1" x14ac:dyDescent="0.3">
      <c r="A873">
        <f t="shared" si="14"/>
        <v>29</v>
      </c>
      <c r="B873" s="10">
        <v>2016</v>
      </c>
      <c r="C873" s="3" t="s">
        <v>798</v>
      </c>
      <c r="D873" s="3" t="s">
        <v>9</v>
      </c>
      <c r="E873" s="4" t="s">
        <v>7</v>
      </c>
      <c r="F873" s="11" t="s">
        <v>8</v>
      </c>
      <c r="H873" t="str">
        <f>TRIM(SUBSTITUTE(PROPER(C873)&amp;" "&amp;IF(OR(D873="County",D873="Township",D873="Village",D873="Charter Township"),D873,"")&amp;IF(D873="Township"," "&amp;"("&amp;VLOOKUP(A873,counties,3,0)&amp;")",""),"  "," "))</f>
        <v>Fulton Township (Gratiot County)</v>
      </c>
    </row>
    <row r="874" spans="1:8" ht="15.75" thickBot="1" x14ac:dyDescent="0.3">
      <c r="A874">
        <f t="shared" si="14"/>
        <v>29</v>
      </c>
      <c r="B874" s="8">
        <v>2016</v>
      </c>
      <c r="C874" s="1" t="s">
        <v>799</v>
      </c>
      <c r="D874" s="1" t="s">
        <v>6</v>
      </c>
      <c r="E874" s="2" t="s">
        <v>7</v>
      </c>
      <c r="F874" s="9" t="s">
        <v>8</v>
      </c>
      <c r="H874" t="str">
        <f>TRIM(SUBSTITUTE(PROPER(C874)&amp;" "&amp;IF(OR(D874="County",D874="Township",D874="Village",D874="Charter Township"),D874,"")&amp;IF(D874="Township"," "&amp;"("&amp;VLOOKUP(A874,counties,3,0)&amp;")",""),"  "," "))</f>
        <v>Gratiot County</v>
      </c>
    </row>
    <row r="875" spans="1:8" ht="15.75" thickBot="1" x14ac:dyDescent="0.3">
      <c r="A875">
        <f t="shared" si="14"/>
        <v>29</v>
      </c>
      <c r="B875" s="10">
        <v>2016</v>
      </c>
      <c r="C875" s="3" t="s">
        <v>800</v>
      </c>
      <c r="D875" s="3" t="s">
        <v>17</v>
      </c>
      <c r="E875" s="4" t="s">
        <v>7</v>
      </c>
      <c r="F875" s="11" t="s">
        <v>8</v>
      </c>
      <c r="H875" t="str">
        <f>TRIM(SUBSTITUTE(PROPER(C875)&amp;" "&amp;IF(OR(D875="County",D875="Township",D875="Village",D875="Charter Township"),D875,"")&amp;IF(D875="Township"," "&amp;"("&amp;VLOOKUP(A875,counties,3,0)&amp;")",""),"  "," "))</f>
        <v>Gratiot Co Community Mental Health Services</v>
      </c>
    </row>
    <row r="876" spans="1:8" ht="15.75" thickBot="1" x14ac:dyDescent="0.3">
      <c r="A876">
        <f t="shared" si="14"/>
        <v>29</v>
      </c>
      <c r="B876" s="8">
        <v>2016</v>
      </c>
      <c r="C876" s="1" t="s">
        <v>801</v>
      </c>
      <c r="D876" s="1" t="s">
        <v>11</v>
      </c>
      <c r="E876" s="2" t="s">
        <v>7</v>
      </c>
      <c r="F876" s="9" t="s">
        <v>8</v>
      </c>
      <c r="H876" t="str">
        <f>TRIM(SUBSTITUTE(PROPER(C876)&amp;" "&amp;IF(OR(D876="County",D876="Township",D876="Village",D876="Charter Township"),D876,"")&amp;IF(D876="Township"," "&amp;"("&amp;VLOOKUP(A876,counties,3,0)&amp;")",""),"  "," "))</f>
        <v>Gratiot Co Road Commission</v>
      </c>
    </row>
    <row r="877" spans="1:8" ht="15.75" thickBot="1" x14ac:dyDescent="0.3">
      <c r="A877">
        <f t="shared" si="14"/>
        <v>29</v>
      </c>
      <c r="B877" s="10">
        <v>2016</v>
      </c>
      <c r="C877" s="3" t="s">
        <v>802</v>
      </c>
      <c r="D877" s="3" t="s">
        <v>9</v>
      </c>
      <c r="E877" s="4" t="s">
        <v>7</v>
      </c>
      <c r="F877" s="11" t="s">
        <v>8</v>
      </c>
      <c r="H877" t="str">
        <f>TRIM(SUBSTITUTE(PROPER(C877)&amp;" "&amp;IF(OR(D877="County",D877="Township",D877="Village",D877="Charter Township"),D877,"")&amp;IF(D877="Township"," "&amp;"("&amp;VLOOKUP(A877,counties,3,0)&amp;")",""),"  "," "))</f>
        <v>Hamilton Township (Gratiot County)</v>
      </c>
    </row>
    <row r="878" spans="1:8" ht="15.75" thickBot="1" x14ac:dyDescent="0.3">
      <c r="A878">
        <f t="shared" si="14"/>
        <v>29</v>
      </c>
      <c r="B878" s="8">
        <v>2016</v>
      </c>
      <c r="C878" s="1" t="s">
        <v>803</v>
      </c>
      <c r="D878" s="1" t="s">
        <v>15</v>
      </c>
      <c r="E878" s="2" t="s">
        <v>7</v>
      </c>
      <c r="F878" s="9" t="s">
        <v>8</v>
      </c>
      <c r="H878" t="str">
        <f>TRIM(SUBSTITUTE(PROPER(C878)&amp;" "&amp;IF(OR(D878="County",D878="Township",D878="Village",D878="Charter Township"),D878,"")&amp;IF(D878="Township"," "&amp;"("&amp;VLOOKUP(A878,counties,3,0)&amp;")",""),"  "," "))</f>
        <v>Ithaca</v>
      </c>
    </row>
    <row r="879" spans="1:8" ht="15.75" thickBot="1" x14ac:dyDescent="0.3">
      <c r="A879">
        <f t="shared" si="14"/>
        <v>29</v>
      </c>
      <c r="B879" s="10">
        <v>2016</v>
      </c>
      <c r="C879" s="3" t="s">
        <v>804</v>
      </c>
      <c r="D879" s="3" t="s">
        <v>9</v>
      </c>
      <c r="E879" s="4" t="s">
        <v>7</v>
      </c>
      <c r="F879" s="11" t="s">
        <v>8</v>
      </c>
      <c r="H879" t="str">
        <f>TRIM(SUBSTITUTE(PROPER(C879)&amp;" "&amp;IF(OR(D879="County",D879="Township",D879="Village",D879="Charter Township"),D879,"")&amp;IF(D879="Township"," "&amp;"("&amp;VLOOKUP(A879,counties,3,0)&amp;")",""),"  "," "))</f>
        <v>Lafayette Township (Gratiot County)</v>
      </c>
    </row>
    <row r="880" spans="1:8" ht="15.75" thickBot="1" x14ac:dyDescent="0.3">
      <c r="A880">
        <f t="shared" si="14"/>
        <v>29</v>
      </c>
      <c r="B880" s="8">
        <v>2016</v>
      </c>
      <c r="C880" s="1" t="s">
        <v>805</v>
      </c>
      <c r="D880" s="1" t="s">
        <v>17</v>
      </c>
      <c r="E880" s="2" t="s">
        <v>7</v>
      </c>
      <c r="F880" s="9" t="s">
        <v>8</v>
      </c>
      <c r="H880" t="str">
        <f>TRIM(SUBSTITUTE(PROPER(C880)&amp;" "&amp;IF(OR(D880="County",D880="Township",D880="Village",D880="Charter Township"),D880,"")&amp;IF(D880="Township"," "&amp;"("&amp;VLOOKUP(A880,counties,3,0)&amp;")",""),"  "," "))</f>
        <v>Mid-Michigan Area Cable Communications Consortium</v>
      </c>
    </row>
    <row r="881" spans="1:8" ht="15.75" thickBot="1" x14ac:dyDescent="0.3">
      <c r="A881">
        <f t="shared" si="14"/>
        <v>29</v>
      </c>
      <c r="B881" s="10">
        <v>2016</v>
      </c>
      <c r="C881" s="3" t="s">
        <v>806</v>
      </c>
      <c r="D881" s="3" t="s">
        <v>17</v>
      </c>
      <c r="E881" s="4" t="s">
        <v>7</v>
      </c>
      <c r="F881" s="11" t="s">
        <v>8</v>
      </c>
      <c r="H881" t="str">
        <f>TRIM(SUBSTITUTE(PROPER(C881)&amp;" "&amp;IF(OR(D881="County",D881="Township",D881="Village",D881="Charter Township"),D881,"")&amp;IF(D881="Township"," "&amp;"("&amp;VLOOKUP(A881,counties,3,0)&amp;")",""),"  "," "))</f>
        <v>Mid-Michigan Community Fire Board</v>
      </c>
    </row>
    <row r="882" spans="1:8" ht="15.75" thickBot="1" x14ac:dyDescent="0.3">
      <c r="A882">
        <f t="shared" si="14"/>
        <v>29</v>
      </c>
      <c r="B882" s="8">
        <v>2016</v>
      </c>
      <c r="C882" s="1" t="s">
        <v>807</v>
      </c>
      <c r="D882" s="1" t="s">
        <v>9</v>
      </c>
      <c r="E882" s="2" t="s">
        <v>7</v>
      </c>
      <c r="F882" s="9" t="s">
        <v>8</v>
      </c>
      <c r="H882" t="str">
        <f>TRIM(SUBSTITUTE(PROPER(C882)&amp;" "&amp;IF(OR(D882="County",D882="Township",D882="Village",D882="Charter Township"),D882,"")&amp;IF(D882="Township"," "&amp;"("&amp;VLOOKUP(A882,counties,3,0)&amp;")",""),"  "," "))</f>
        <v>New Haven Township (Gratiot County)</v>
      </c>
    </row>
    <row r="883" spans="1:8" ht="15.75" thickBot="1" x14ac:dyDescent="0.3">
      <c r="A883">
        <f t="shared" si="14"/>
        <v>29</v>
      </c>
      <c r="B883" s="10">
        <v>2016</v>
      </c>
      <c r="C883" s="3" t="s">
        <v>808</v>
      </c>
      <c r="D883" s="3" t="s">
        <v>9</v>
      </c>
      <c r="E883" s="4" t="s">
        <v>7</v>
      </c>
      <c r="F883" s="11" t="s">
        <v>8</v>
      </c>
      <c r="H883" t="str">
        <f>TRIM(SUBSTITUTE(PROPER(C883)&amp;" "&amp;IF(OR(D883="County",D883="Township",D883="Village",D883="Charter Township"),D883,"")&amp;IF(D883="Township"," "&amp;"("&amp;VLOOKUP(A883,counties,3,0)&amp;")",""),"  "," "))</f>
        <v>Newark Township (Gratiot County)</v>
      </c>
    </row>
    <row r="884" spans="1:8" ht="15.75" thickBot="1" x14ac:dyDescent="0.3">
      <c r="A884">
        <f t="shared" si="14"/>
        <v>29</v>
      </c>
      <c r="B884" s="8">
        <v>2016</v>
      </c>
      <c r="C884" s="1" t="s">
        <v>809</v>
      </c>
      <c r="D884" s="1" t="s">
        <v>9</v>
      </c>
      <c r="E884" s="2" t="s">
        <v>7</v>
      </c>
      <c r="F884" s="9" t="s">
        <v>8</v>
      </c>
      <c r="H884" t="str">
        <f>TRIM(SUBSTITUTE(PROPER(C884)&amp;" "&amp;IF(OR(D884="County",D884="Township",D884="Village",D884="Charter Township"),D884,"")&amp;IF(D884="Township"," "&amp;"("&amp;VLOOKUP(A884,counties,3,0)&amp;")",""),"  "," "))</f>
        <v>North Shade Township (Gratiot County)</v>
      </c>
    </row>
    <row r="885" spans="1:8" ht="15.75" thickBot="1" x14ac:dyDescent="0.3">
      <c r="A885">
        <f t="shared" si="14"/>
        <v>29</v>
      </c>
      <c r="B885" s="10">
        <v>2016</v>
      </c>
      <c r="C885" s="3" t="s">
        <v>810</v>
      </c>
      <c r="D885" s="3" t="s">
        <v>9</v>
      </c>
      <c r="E885" s="4" t="s">
        <v>7</v>
      </c>
      <c r="F885" s="11" t="s">
        <v>8</v>
      </c>
      <c r="H885" t="str">
        <f>TRIM(SUBSTITUTE(PROPER(C885)&amp;" "&amp;IF(OR(D885="County",D885="Township",D885="Village",D885="Charter Township"),D885,"")&amp;IF(D885="Township"," "&amp;"("&amp;VLOOKUP(A885,counties,3,0)&amp;")",""),"  "," "))</f>
        <v>North Star Township (Gratiot County)</v>
      </c>
    </row>
    <row r="886" spans="1:8" ht="15.75" thickBot="1" x14ac:dyDescent="0.3">
      <c r="A886">
        <f t="shared" si="14"/>
        <v>29</v>
      </c>
      <c r="B886" s="8">
        <v>2016</v>
      </c>
      <c r="C886" s="1" t="s">
        <v>811</v>
      </c>
      <c r="D886" s="1" t="s">
        <v>21</v>
      </c>
      <c r="E886" s="2" t="s">
        <v>7</v>
      </c>
      <c r="F886" s="9" t="s">
        <v>8</v>
      </c>
      <c r="H886" t="str">
        <f>TRIM(SUBSTITUTE(PROPER(C886)&amp;" "&amp;IF(OR(D886="County",D886="Township",D886="Village",D886="Charter Township"),D886,"")&amp;IF(D886="Township"," "&amp;"("&amp;VLOOKUP(A886,counties,3,0)&amp;")",""),"  "," "))</f>
        <v>Perrinton Village</v>
      </c>
    </row>
    <row r="887" spans="1:8" ht="15.75" thickBot="1" x14ac:dyDescent="0.3">
      <c r="A887">
        <f t="shared" si="14"/>
        <v>29</v>
      </c>
      <c r="B887" s="10">
        <v>2016</v>
      </c>
      <c r="C887" s="3" t="s">
        <v>812</v>
      </c>
      <c r="D887" s="3" t="s">
        <v>9</v>
      </c>
      <c r="E887" s="4" t="s">
        <v>7</v>
      </c>
      <c r="F887" s="11" t="s">
        <v>8</v>
      </c>
      <c r="H887" t="str">
        <f>TRIM(SUBSTITUTE(PROPER(C887)&amp;" "&amp;IF(OR(D887="County",D887="Township",D887="Village",D887="Charter Township"),D887,"")&amp;IF(D887="Township"," "&amp;"("&amp;VLOOKUP(A887,counties,3,0)&amp;")",""),"  "," "))</f>
        <v>Seville Township (Gratiot County)</v>
      </c>
    </row>
    <row r="888" spans="1:8" ht="15.75" thickBot="1" x14ac:dyDescent="0.3">
      <c r="A888">
        <f t="shared" si="14"/>
        <v>29</v>
      </c>
      <c r="B888" s="8">
        <v>2016</v>
      </c>
      <c r="C888" s="1" t="s">
        <v>813</v>
      </c>
      <c r="D888" s="1" t="s">
        <v>15</v>
      </c>
      <c r="E888" s="2" t="s">
        <v>7</v>
      </c>
      <c r="F888" s="9" t="s">
        <v>8</v>
      </c>
      <c r="H888" t="str">
        <f>TRIM(SUBSTITUTE(PROPER(C888)&amp;" "&amp;IF(OR(D888="County",D888="Township",D888="Village",D888="Charter Township"),D888,"")&amp;IF(D888="Township"," "&amp;"("&amp;VLOOKUP(A888,counties,3,0)&amp;")",""),"  "," "))</f>
        <v>St Louis</v>
      </c>
    </row>
    <row r="889" spans="1:8" ht="15.75" thickBot="1" x14ac:dyDescent="0.3">
      <c r="A889">
        <f t="shared" si="14"/>
        <v>29</v>
      </c>
      <c r="B889" s="10">
        <v>2016</v>
      </c>
      <c r="C889" s="3" t="s">
        <v>814</v>
      </c>
      <c r="D889" s="3" t="s">
        <v>17</v>
      </c>
      <c r="E889" s="4" t="s">
        <v>7</v>
      </c>
      <c r="F889" s="11" t="s">
        <v>8</v>
      </c>
      <c r="H889" t="str">
        <f>TRIM(SUBSTITUTE(PROPER(C889)&amp;" "&amp;IF(OR(D889="County",D889="Township",D889="Village",D889="Charter Township"),D889,"")&amp;IF(D889="Township"," "&amp;"("&amp;VLOOKUP(A889,counties,3,0)&amp;")",""),"  "," "))</f>
        <v>St Louis City Housing Commission</v>
      </c>
    </row>
    <row r="890" spans="1:8" ht="15.75" thickBot="1" x14ac:dyDescent="0.3">
      <c r="A890">
        <f t="shared" si="14"/>
        <v>29</v>
      </c>
      <c r="B890" s="8">
        <v>2016</v>
      </c>
      <c r="C890" s="1" t="s">
        <v>815</v>
      </c>
      <c r="D890" s="1" t="s">
        <v>9</v>
      </c>
      <c r="E890" s="2" t="s">
        <v>7</v>
      </c>
      <c r="F890" s="9" t="s">
        <v>8</v>
      </c>
      <c r="H890" t="str">
        <f>TRIM(SUBSTITUTE(PROPER(C890)&amp;" "&amp;IF(OR(D890="County",D890="Township",D890="Village",D890="Charter Township"),D890,"")&amp;IF(D890="Township"," "&amp;"("&amp;VLOOKUP(A890,counties,3,0)&amp;")",""),"  "," "))</f>
        <v>Sumner Township (Gratiot County)</v>
      </c>
    </row>
    <row r="891" spans="1:8" ht="15.75" thickBot="1" x14ac:dyDescent="0.3">
      <c r="A891">
        <f t="shared" si="14"/>
        <v>29</v>
      </c>
      <c r="B891" s="10">
        <v>2016</v>
      </c>
      <c r="C891" s="3" t="s">
        <v>816</v>
      </c>
      <c r="D891" s="3" t="s">
        <v>17</v>
      </c>
      <c r="E891" s="4" t="s">
        <v>7</v>
      </c>
      <c r="F891" s="11" t="s">
        <v>8</v>
      </c>
      <c r="H891" t="str">
        <f>TRIM(SUBSTITUTE(PROPER(C891)&amp;" "&amp;IF(OR(D891="County",D891="Township",D891="Village",D891="Charter Township"),D891,"")&amp;IF(D891="Township"," "&amp;"("&amp;VLOOKUP(A891,counties,3,0)&amp;")",""),"  "," "))</f>
        <v>Transit Service Fund Of The City Of Alma</v>
      </c>
    </row>
    <row r="892" spans="1:8" ht="15.75" thickBot="1" x14ac:dyDescent="0.3">
      <c r="A892">
        <f t="shared" si="14"/>
        <v>29</v>
      </c>
      <c r="B892" s="8">
        <v>2016</v>
      </c>
      <c r="C892" s="1" t="s">
        <v>817</v>
      </c>
      <c r="D892" s="1" t="s">
        <v>9</v>
      </c>
      <c r="E892" s="2" t="s">
        <v>7</v>
      </c>
      <c r="F892" s="9" t="s">
        <v>8</v>
      </c>
      <c r="H892" t="str">
        <f>TRIM(SUBSTITUTE(PROPER(C892)&amp;" "&amp;IF(OR(D892="County",D892="Township",D892="Village",D892="Charter Township"),D892,"")&amp;IF(D892="Township"," "&amp;"("&amp;VLOOKUP(A892,counties,3,0)&amp;")",""),"  "," "))</f>
        <v>Washington Township (Gratiot County)</v>
      </c>
    </row>
    <row r="893" spans="1:8" ht="15.75" thickBot="1" x14ac:dyDescent="0.3">
      <c r="A893">
        <f t="shared" si="14"/>
        <v>29</v>
      </c>
      <c r="B893" s="12">
        <v>2016</v>
      </c>
      <c r="C893" s="13" t="s">
        <v>818</v>
      </c>
      <c r="D893" s="13" t="s">
        <v>9</v>
      </c>
      <c r="E893" s="14" t="s">
        <v>7</v>
      </c>
      <c r="F893" s="15" t="s">
        <v>8</v>
      </c>
      <c r="H893" t="str">
        <f>TRIM(SUBSTITUTE(PROPER(C893)&amp;" "&amp;IF(OR(D893="County",D893="Township",D893="Village",D893="Charter Township"),D893,"")&amp;IF(D893="Township"," "&amp;"("&amp;VLOOKUP(A893,counties,3,0)&amp;")",""),"  "," "))</f>
        <v>Wheeler Township (Gratiot County)</v>
      </c>
    </row>
    <row r="894" spans="1:8" ht="16.5" thickTop="1" thickBot="1" x14ac:dyDescent="0.3">
      <c r="A894">
        <f t="shared" si="14"/>
        <v>30</v>
      </c>
      <c r="B894" s="5" t="s">
        <v>0</v>
      </c>
      <c r="C894" s="6" t="s">
        <v>1</v>
      </c>
      <c r="D894" s="6" t="s">
        <v>2</v>
      </c>
      <c r="E894" s="6" t="s">
        <v>3</v>
      </c>
      <c r="F894" s="7" t="s">
        <v>4</v>
      </c>
      <c r="H894" t="str">
        <f>TRIM(SUBSTITUTE(PROPER(C894)&amp;" "&amp;IF(OR(D894="County",D894="Township",D894="Village",D894="Charter Township"),D894,"")&amp;IF(D894="Township"," "&amp;"("&amp;VLOOKUP(A894,counties,3,0)&amp;")",""),"  "," "))</f>
        <v>Municipality</v>
      </c>
    </row>
    <row r="895" spans="1:8" ht="15.75" thickBot="1" x14ac:dyDescent="0.3">
      <c r="A895">
        <f t="shared" si="14"/>
        <v>30</v>
      </c>
      <c r="B895" s="8">
        <v>2016</v>
      </c>
      <c r="C895" s="1" t="s">
        <v>123</v>
      </c>
      <c r="D895" s="1" t="s">
        <v>9</v>
      </c>
      <c r="E895" s="2" t="s">
        <v>7</v>
      </c>
      <c r="F895" s="9" t="s">
        <v>19</v>
      </c>
      <c r="H895" t="str">
        <f>TRIM(SUBSTITUTE(PROPER(C895)&amp;" "&amp;IF(OR(D895="County",D895="Township",D895="Village",D895="Charter Township"),D895,"")&amp;IF(D895="Township"," "&amp;"("&amp;VLOOKUP(A895,counties,3,0)&amp;")",""),"  "," "))</f>
        <v>Adams Township (Hillsdale County)</v>
      </c>
    </row>
    <row r="896" spans="1:8" ht="15.75" thickBot="1" x14ac:dyDescent="0.3">
      <c r="A896">
        <f t="shared" si="14"/>
        <v>30</v>
      </c>
      <c r="B896" s="10">
        <v>2016</v>
      </c>
      <c r="C896" s="3" t="s">
        <v>819</v>
      </c>
      <c r="D896" s="3" t="s">
        <v>9</v>
      </c>
      <c r="E896" s="4" t="s">
        <v>7</v>
      </c>
      <c r="F896" s="11" t="s">
        <v>8</v>
      </c>
      <c r="H896" t="str">
        <f>TRIM(SUBSTITUTE(PROPER(C896)&amp;" "&amp;IF(OR(D896="County",D896="Township",D896="Village",D896="Charter Township"),D896,"")&amp;IF(D896="Township"," "&amp;"("&amp;VLOOKUP(A896,counties,3,0)&amp;")",""),"  "," "))</f>
        <v>Allen Township (Hillsdale County)</v>
      </c>
    </row>
    <row r="897" spans="1:8" ht="15.75" thickBot="1" x14ac:dyDescent="0.3">
      <c r="A897">
        <f t="shared" si="14"/>
        <v>30</v>
      </c>
      <c r="B897" s="8">
        <v>2016</v>
      </c>
      <c r="C897" s="1" t="s">
        <v>819</v>
      </c>
      <c r="D897" s="1" t="s">
        <v>21</v>
      </c>
      <c r="E897" s="2" t="s">
        <v>7</v>
      </c>
      <c r="F897" s="9" t="s">
        <v>8</v>
      </c>
      <c r="H897" t="str">
        <f>TRIM(SUBSTITUTE(PROPER(C897)&amp;" "&amp;IF(OR(D897="County",D897="Township",D897="Village",D897="Charter Township"),D897,"")&amp;IF(D897="Township"," "&amp;"("&amp;VLOOKUP(A897,counties,3,0)&amp;")",""),"  "," "))</f>
        <v>Allen Village</v>
      </c>
    </row>
    <row r="898" spans="1:8" ht="15.75" thickBot="1" x14ac:dyDescent="0.3">
      <c r="A898">
        <f t="shared" si="14"/>
        <v>30</v>
      </c>
      <c r="B898" s="10">
        <v>2016</v>
      </c>
      <c r="C898" s="3" t="s">
        <v>820</v>
      </c>
      <c r="D898" s="3" t="s">
        <v>9</v>
      </c>
      <c r="E898" s="4" t="s">
        <v>7</v>
      </c>
      <c r="F898" s="11" t="s">
        <v>8</v>
      </c>
      <c r="H898" t="str">
        <f>TRIM(SUBSTITUTE(PROPER(C898)&amp;" "&amp;IF(OR(D898="County",D898="Township",D898="Village",D898="Charter Township"),D898,"")&amp;IF(D898="Township"," "&amp;"("&amp;VLOOKUP(A898,counties,3,0)&amp;")",""),"  "," "))</f>
        <v>Amboy Township (Hillsdale County)</v>
      </c>
    </row>
    <row r="899" spans="1:8" ht="15.75" thickBot="1" x14ac:dyDescent="0.3">
      <c r="A899">
        <f t="shared" ref="A899:A962" si="15">IF(B899="Year",A898+1,A898)</f>
        <v>30</v>
      </c>
      <c r="B899" s="8">
        <v>2016</v>
      </c>
      <c r="C899" s="1" t="s">
        <v>821</v>
      </c>
      <c r="D899" s="1" t="s">
        <v>9</v>
      </c>
      <c r="E899" s="2" t="s">
        <v>7</v>
      </c>
      <c r="F899" s="9" t="s">
        <v>8</v>
      </c>
      <c r="H899" t="str">
        <f>TRIM(SUBSTITUTE(PROPER(C899)&amp;" "&amp;IF(OR(D899="County",D899="Township",D899="Village",D899="Charter Township"),D899,"")&amp;IF(D899="Township"," "&amp;"("&amp;VLOOKUP(A899,counties,3,0)&amp;")",""),"  "," "))</f>
        <v>Cambria Township (Hillsdale County)</v>
      </c>
    </row>
    <row r="900" spans="1:8" ht="15.75" thickBot="1" x14ac:dyDescent="0.3">
      <c r="A900">
        <f t="shared" si="15"/>
        <v>30</v>
      </c>
      <c r="B900" s="10">
        <v>2016</v>
      </c>
      <c r="C900" s="3" t="s">
        <v>822</v>
      </c>
      <c r="D900" s="3" t="s">
        <v>21</v>
      </c>
      <c r="E900" s="4" t="s">
        <v>7</v>
      </c>
      <c r="F900" s="11" t="s">
        <v>8</v>
      </c>
      <c r="H900" t="str">
        <f>TRIM(SUBSTITUTE(PROPER(C900)&amp;" "&amp;IF(OR(D900="County",D900="Township",D900="Village",D900="Charter Township"),D900,"")&amp;IF(D900="Township"," "&amp;"("&amp;VLOOKUP(A900,counties,3,0)&amp;")",""),"  "," "))</f>
        <v>Camden Village</v>
      </c>
    </row>
    <row r="901" spans="1:8" ht="15.75" thickBot="1" x14ac:dyDescent="0.3">
      <c r="A901">
        <f t="shared" si="15"/>
        <v>30</v>
      </c>
      <c r="B901" s="8">
        <v>2016</v>
      </c>
      <c r="C901" s="1" t="s">
        <v>823</v>
      </c>
      <c r="D901" s="1" t="s">
        <v>15</v>
      </c>
      <c r="E901" s="2" t="s">
        <v>7</v>
      </c>
      <c r="F901" s="9" t="s">
        <v>8</v>
      </c>
      <c r="H901" t="str">
        <f>TRIM(SUBSTITUTE(PROPER(C901)&amp;" "&amp;IF(OR(D901="County",D901="Township",D901="Village",D901="Charter Township"),D901,"")&amp;IF(D901="Township"," "&amp;"("&amp;VLOOKUP(A901,counties,3,0)&amp;")",""),"  "," "))</f>
        <v>Hillsdale</v>
      </c>
    </row>
    <row r="902" spans="1:8" ht="15.75" thickBot="1" x14ac:dyDescent="0.3">
      <c r="A902">
        <f t="shared" si="15"/>
        <v>30</v>
      </c>
      <c r="B902" s="10">
        <v>2016</v>
      </c>
      <c r="C902" s="3" t="s">
        <v>823</v>
      </c>
      <c r="D902" s="3" t="s">
        <v>6</v>
      </c>
      <c r="E902" s="4" t="s">
        <v>7</v>
      </c>
      <c r="F902" s="11" t="s">
        <v>8</v>
      </c>
      <c r="H902" t="str">
        <f>TRIM(SUBSTITUTE(PROPER(C902)&amp;" "&amp;IF(OR(D902="County",D902="Township",D902="Village",D902="Charter Township"),D902,"")&amp;IF(D902="Township"," "&amp;"("&amp;VLOOKUP(A902,counties,3,0)&amp;")",""),"  "," "))</f>
        <v>Hillsdale County</v>
      </c>
    </row>
    <row r="903" spans="1:8" ht="15.75" thickBot="1" x14ac:dyDescent="0.3">
      <c r="A903">
        <f t="shared" si="15"/>
        <v>30</v>
      </c>
      <c r="B903" s="8">
        <v>2016</v>
      </c>
      <c r="C903" s="1" t="s">
        <v>823</v>
      </c>
      <c r="D903" s="1" t="s">
        <v>9</v>
      </c>
      <c r="E903" s="2" t="s">
        <v>7</v>
      </c>
      <c r="F903" s="9" t="s">
        <v>8</v>
      </c>
      <c r="H903" t="str">
        <f>TRIM(SUBSTITUTE(PROPER(C903)&amp;" "&amp;IF(OR(D903="County",D903="Township",D903="Village",D903="Charter Township"),D903,"")&amp;IF(D903="Township"," "&amp;"("&amp;VLOOKUP(A903,counties,3,0)&amp;")",""),"  "," "))</f>
        <v>Hillsdale Township (Hillsdale County)</v>
      </c>
    </row>
    <row r="904" spans="1:8" ht="15.75" thickBot="1" x14ac:dyDescent="0.3">
      <c r="A904">
        <f t="shared" si="15"/>
        <v>30</v>
      </c>
      <c r="B904" s="10">
        <v>2016</v>
      </c>
      <c r="C904" s="3" t="s">
        <v>824</v>
      </c>
      <c r="D904" s="3" t="s">
        <v>17</v>
      </c>
      <c r="E904" s="4" t="s">
        <v>7</v>
      </c>
      <c r="F904" s="11" t="s">
        <v>8</v>
      </c>
      <c r="H904" t="str">
        <f>TRIM(SUBSTITUTE(PROPER(C904)&amp;" "&amp;IF(OR(D904="County",D904="Township",D904="Village",D904="Charter Township"),D904,"")&amp;IF(D904="Township"," "&amp;"("&amp;VLOOKUP(A904,counties,3,0)&amp;")",""),"  "," "))</f>
        <v>Hillsdale City Board Of Public Utilities</v>
      </c>
    </row>
    <row r="905" spans="1:8" ht="15.75" thickBot="1" x14ac:dyDescent="0.3">
      <c r="A905">
        <f t="shared" si="15"/>
        <v>30</v>
      </c>
      <c r="B905" s="8">
        <v>2016</v>
      </c>
      <c r="C905" s="1" t="s">
        <v>825</v>
      </c>
      <c r="D905" s="1" t="s">
        <v>17</v>
      </c>
      <c r="E905" s="2" t="s">
        <v>7</v>
      </c>
      <c r="F905" s="9" t="s">
        <v>8</v>
      </c>
      <c r="H905" t="str">
        <f>TRIM(SUBSTITUTE(PROPER(C905)&amp;" "&amp;IF(OR(D905="County",D905="Township",D905="Village",D905="Charter Township"),D905,"")&amp;IF(D905="Township"," "&amp;"("&amp;VLOOKUP(A905,counties,3,0)&amp;")",""),"  "," "))</f>
        <v>Hillsdale City Housing Commission</v>
      </c>
    </row>
    <row r="906" spans="1:8" ht="15.75" thickBot="1" x14ac:dyDescent="0.3">
      <c r="A906">
        <f t="shared" si="15"/>
        <v>30</v>
      </c>
      <c r="B906" s="10">
        <v>2016</v>
      </c>
      <c r="C906" s="3" t="s">
        <v>826</v>
      </c>
      <c r="D906" s="3" t="s">
        <v>11</v>
      </c>
      <c r="E906" s="4" t="s">
        <v>7</v>
      </c>
      <c r="F906" s="11" t="s">
        <v>8</v>
      </c>
      <c r="H906" t="str">
        <f>TRIM(SUBSTITUTE(PROPER(C906)&amp;" "&amp;IF(OR(D906="County",D906="Township",D906="Village",D906="Charter Township"),D906,"")&amp;IF(D906="Township"," "&amp;"("&amp;VLOOKUP(A906,counties,3,0)&amp;")",""),"  "," "))</f>
        <v>Hillsdale Co Road Commission</v>
      </c>
    </row>
    <row r="907" spans="1:8" ht="15.75" thickBot="1" x14ac:dyDescent="0.3">
      <c r="A907">
        <f t="shared" si="15"/>
        <v>30</v>
      </c>
      <c r="B907" s="8">
        <v>2016</v>
      </c>
      <c r="C907" s="1" t="s">
        <v>827</v>
      </c>
      <c r="D907" s="1" t="s">
        <v>17</v>
      </c>
      <c r="E907" s="2" t="s">
        <v>7</v>
      </c>
      <c r="F907" s="9" t="s">
        <v>8</v>
      </c>
      <c r="H907" t="str">
        <f>TRIM(SUBSTITUTE(PROPER(C907)&amp;" "&amp;IF(OR(D907="County",D907="Township",D907="Village",D907="Charter Township"),D907,"")&amp;IF(D907="Township"," "&amp;"("&amp;VLOOKUP(A907,counties,3,0)&amp;")",""),"  "," "))</f>
        <v>Hillsdale County Medical Care Facility</v>
      </c>
    </row>
    <row r="908" spans="1:8" ht="15.75" thickBot="1" x14ac:dyDescent="0.3">
      <c r="A908">
        <f t="shared" si="15"/>
        <v>30</v>
      </c>
      <c r="B908" s="10">
        <v>2016</v>
      </c>
      <c r="C908" s="3" t="s">
        <v>828</v>
      </c>
      <c r="D908" s="3" t="s">
        <v>17</v>
      </c>
      <c r="E908" s="4" t="s">
        <v>7</v>
      </c>
      <c r="F908" s="11" t="s">
        <v>8</v>
      </c>
      <c r="H908" t="str">
        <f>TRIM(SUBSTITUTE(PROPER(C908)&amp;" "&amp;IF(OR(D908="County",D908="Township",D908="Village",D908="Charter Township"),D908,"")&amp;IF(D908="Township"," "&amp;"("&amp;VLOOKUP(A908,counties,3,0)&amp;")",""),"  "," "))</f>
        <v>Hillsdale County Park Commission</v>
      </c>
    </row>
    <row r="909" spans="1:8" ht="15.75" thickBot="1" x14ac:dyDescent="0.3">
      <c r="A909">
        <f t="shared" si="15"/>
        <v>30</v>
      </c>
      <c r="B909" s="8">
        <v>2016</v>
      </c>
      <c r="C909" s="1" t="s">
        <v>829</v>
      </c>
      <c r="D909" s="1" t="s">
        <v>9</v>
      </c>
      <c r="E909" s="2" t="s">
        <v>7</v>
      </c>
      <c r="F909" s="9" t="s">
        <v>8</v>
      </c>
      <c r="H909" t="str">
        <f>TRIM(SUBSTITUTE(PROPER(C909)&amp;" "&amp;IF(OR(D909="County",D909="Township",D909="Village",D909="Charter Township"),D909,"")&amp;IF(D909="Township"," "&amp;"("&amp;VLOOKUP(A909,counties,3,0)&amp;")",""),"  "," "))</f>
        <v>Jefferson Township (Hillsdale County)</v>
      </c>
    </row>
    <row r="910" spans="1:8" ht="15.75" thickBot="1" x14ac:dyDescent="0.3">
      <c r="A910">
        <f t="shared" si="15"/>
        <v>30</v>
      </c>
      <c r="B910" s="10">
        <v>2016</v>
      </c>
      <c r="C910" s="3" t="s">
        <v>830</v>
      </c>
      <c r="D910" s="3" t="s">
        <v>15</v>
      </c>
      <c r="E910" s="4" t="s">
        <v>7</v>
      </c>
      <c r="F910" s="11" t="s">
        <v>8</v>
      </c>
      <c r="H910" t="str">
        <f>TRIM(SUBSTITUTE(PROPER(C910)&amp;" "&amp;IF(OR(D910="County",D910="Township",D910="Village",D910="Charter Township"),D910,"")&amp;IF(D910="Township"," "&amp;"("&amp;VLOOKUP(A910,counties,3,0)&amp;")",""),"  "," "))</f>
        <v>Jonesville</v>
      </c>
    </row>
    <row r="911" spans="1:8" ht="15.75" thickBot="1" x14ac:dyDescent="0.3">
      <c r="A911">
        <f t="shared" si="15"/>
        <v>30</v>
      </c>
      <c r="B911" s="8">
        <v>2016</v>
      </c>
      <c r="C911" s="1" t="s">
        <v>831</v>
      </c>
      <c r="D911" s="1" t="s">
        <v>15</v>
      </c>
      <c r="E911" s="2" t="s">
        <v>7</v>
      </c>
      <c r="F911" s="9" t="s">
        <v>8</v>
      </c>
      <c r="H911" t="str">
        <f>TRIM(SUBSTITUTE(PROPER(C911)&amp;" "&amp;IF(OR(D911="County",D911="Township",D911="Village",D911="Charter Township"),D911,"")&amp;IF(D911="Township"," "&amp;"("&amp;VLOOKUP(A911,counties,3,0)&amp;")",""),"  "," "))</f>
        <v>Litchfield</v>
      </c>
    </row>
    <row r="912" spans="1:8" ht="15.75" thickBot="1" x14ac:dyDescent="0.3">
      <c r="A912">
        <f t="shared" si="15"/>
        <v>30</v>
      </c>
      <c r="B912" s="10">
        <v>2016</v>
      </c>
      <c r="C912" s="3" t="s">
        <v>831</v>
      </c>
      <c r="D912" s="3" t="s">
        <v>9</v>
      </c>
      <c r="E912" s="4" t="s">
        <v>7</v>
      </c>
      <c r="F912" s="11" t="s">
        <v>8</v>
      </c>
      <c r="H912" t="str">
        <f>TRIM(SUBSTITUTE(PROPER(C912)&amp;" "&amp;IF(OR(D912="County",D912="Township",D912="Village",D912="Charter Township"),D912,"")&amp;IF(D912="Township"," "&amp;"("&amp;VLOOKUP(A912,counties,3,0)&amp;")",""),"  "," "))</f>
        <v>Litchfield Township (Hillsdale County)</v>
      </c>
    </row>
    <row r="913" spans="1:8" ht="15.75" thickBot="1" x14ac:dyDescent="0.3">
      <c r="A913">
        <f t="shared" si="15"/>
        <v>30</v>
      </c>
      <c r="B913" s="8">
        <v>2016</v>
      </c>
      <c r="C913" s="1" t="s">
        <v>832</v>
      </c>
      <c r="D913" s="1" t="s">
        <v>17</v>
      </c>
      <c r="E913" s="2" t="s">
        <v>7</v>
      </c>
      <c r="F913" s="9" t="s">
        <v>8</v>
      </c>
      <c r="H913" t="str">
        <f>TRIM(SUBSTITUTE(PROPER(C913)&amp;" "&amp;IF(OR(D913="County",D913="Township",D913="Village",D913="Charter Township"),D913,"")&amp;IF(D913="Township"," "&amp;"("&amp;VLOOKUP(A913,counties,3,0)&amp;")",""),"  "," "))</f>
        <v>Litchfield City Tifa</v>
      </c>
    </row>
    <row r="914" spans="1:8" ht="15.75" thickBot="1" x14ac:dyDescent="0.3">
      <c r="A914">
        <f t="shared" si="15"/>
        <v>30</v>
      </c>
      <c r="B914" s="10">
        <v>2016</v>
      </c>
      <c r="C914" s="3" t="s">
        <v>833</v>
      </c>
      <c r="D914" s="3" t="s">
        <v>42</v>
      </c>
      <c r="E914" s="4" t="s">
        <v>7</v>
      </c>
      <c r="F914" s="11" t="s">
        <v>8</v>
      </c>
      <c r="H914" t="str">
        <f>TRIM(SUBSTITUTE(PROPER(C914)&amp;" "&amp;IF(OR(D914="County",D914="Township",D914="Village",D914="Charter Township"),D914,"")&amp;IF(D914="Township"," "&amp;"("&amp;VLOOKUP(A914,counties,3,0)&amp;")",""),"  "," "))</f>
        <v>Litchfield District Library</v>
      </c>
    </row>
    <row r="915" spans="1:8" ht="15.75" thickBot="1" x14ac:dyDescent="0.3">
      <c r="A915">
        <f t="shared" si="15"/>
        <v>30</v>
      </c>
      <c r="B915" s="8">
        <v>2016</v>
      </c>
      <c r="C915" s="1" t="s">
        <v>834</v>
      </c>
      <c r="D915" s="1" t="s">
        <v>17</v>
      </c>
      <c r="E915" s="2" t="s">
        <v>7</v>
      </c>
      <c r="F915" s="9" t="s">
        <v>8</v>
      </c>
      <c r="H915" t="str">
        <f>TRIM(SUBSTITUTE(PROPER(C915)&amp;" "&amp;IF(OR(D915="County",D915="Township",D915="Village",D915="Charter Township"),D915,"")&amp;IF(D915="Township"," "&amp;"("&amp;VLOOKUP(A915,counties,3,0)&amp;")",""),"  "," "))</f>
        <v>Litchfield Fire Department</v>
      </c>
    </row>
    <row r="916" spans="1:8" ht="15.75" thickBot="1" x14ac:dyDescent="0.3">
      <c r="A916">
        <f t="shared" si="15"/>
        <v>30</v>
      </c>
      <c r="B916" s="10">
        <v>2016</v>
      </c>
      <c r="C916" s="3" t="s">
        <v>835</v>
      </c>
      <c r="D916" s="3" t="s">
        <v>17</v>
      </c>
      <c r="E916" s="4" t="s">
        <v>7</v>
      </c>
      <c r="F916" s="11" t="s">
        <v>8</v>
      </c>
      <c r="H916" t="str">
        <f>TRIM(SUBSTITUTE(PROPER(C916)&amp;" "&amp;IF(OR(D916="County",D916="Township",D916="Village",D916="Charter Township"),D916,"")&amp;IF(D916="Township"," "&amp;"("&amp;VLOOKUP(A916,counties,3,0)&amp;")",""),"  "," "))</f>
        <v>Michigan South Central Power Agency</v>
      </c>
    </row>
    <row r="917" spans="1:8" ht="15.75" thickBot="1" x14ac:dyDescent="0.3">
      <c r="A917">
        <f t="shared" si="15"/>
        <v>30</v>
      </c>
      <c r="B917" s="8">
        <v>2016</v>
      </c>
      <c r="C917" s="1" t="s">
        <v>836</v>
      </c>
      <c r="D917" s="1" t="s">
        <v>21</v>
      </c>
      <c r="E917" s="2" t="s">
        <v>7</v>
      </c>
      <c r="F917" s="9" t="s">
        <v>8</v>
      </c>
      <c r="H917" t="str">
        <f>TRIM(SUBSTITUTE(PROPER(C917)&amp;" "&amp;IF(OR(D917="County",D917="Township",D917="Village",D917="Charter Township"),D917,"")&amp;IF(D917="Township"," "&amp;"("&amp;VLOOKUP(A917,counties,3,0)&amp;")",""),"  "," "))</f>
        <v>Montgomery Village</v>
      </c>
    </row>
    <row r="918" spans="1:8" ht="15.75" thickBot="1" x14ac:dyDescent="0.3">
      <c r="A918">
        <f t="shared" si="15"/>
        <v>30</v>
      </c>
      <c r="B918" s="10">
        <v>2016</v>
      </c>
      <c r="C918" s="3" t="s">
        <v>837</v>
      </c>
      <c r="D918" s="3" t="s">
        <v>9</v>
      </c>
      <c r="E918" s="4" t="s">
        <v>7</v>
      </c>
      <c r="F918" s="11" t="s">
        <v>8</v>
      </c>
      <c r="H918" t="str">
        <f>TRIM(SUBSTITUTE(PROPER(C918)&amp;" "&amp;IF(OR(D918="County",D918="Township",D918="Village",D918="Charter Township"),D918,"")&amp;IF(D918="Township"," "&amp;"("&amp;VLOOKUP(A918,counties,3,0)&amp;")",""),"  "," "))</f>
        <v>Moscow Township (Hillsdale County)</v>
      </c>
    </row>
    <row r="919" spans="1:8" ht="15.75" thickBot="1" x14ac:dyDescent="0.3">
      <c r="A919">
        <f t="shared" si="15"/>
        <v>30</v>
      </c>
      <c r="B919" s="8">
        <v>2016</v>
      </c>
      <c r="C919" s="1" t="s">
        <v>838</v>
      </c>
      <c r="D919" s="1" t="s">
        <v>21</v>
      </c>
      <c r="E919" s="2" t="s">
        <v>7</v>
      </c>
      <c r="F919" s="9" t="s">
        <v>8</v>
      </c>
      <c r="H919" t="str">
        <f>TRIM(SUBSTITUTE(PROPER(C919)&amp;" "&amp;IF(OR(D919="County",D919="Township",D919="Village",D919="Charter Township"),D919,"")&amp;IF(D919="Township"," "&amp;"("&amp;VLOOKUP(A919,counties,3,0)&amp;")",""),"  "," "))</f>
        <v>North Adams Village</v>
      </c>
    </row>
    <row r="920" spans="1:8" ht="15.75" thickBot="1" x14ac:dyDescent="0.3">
      <c r="A920">
        <f t="shared" si="15"/>
        <v>30</v>
      </c>
      <c r="B920" s="10">
        <v>2016</v>
      </c>
      <c r="C920" s="3" t="s">
        <v>839</v>
      </c>
      <c r="D920" s="3" t="s">
        <v>9</v>
      </c>
      <c r="E920" s="4" t="s">
        <v>7</v>
      </c>
      <c r="F920" s="11" t="s">
        <v>8</v>
      </c>
      <c r="H920" t="str">
        <f>TRIM(SUBSTITUTE(PROPER(C920)&amp;" "&amp;IF(OR(D920="County",D920="Township",D920="Village",D920="Charter Township"),D920,"")&amp;IF(D920="Township"," "&amp;"("&amp;VLOOKUP(A920,counties,3,0)&amp;")",""),"  "," "))</f>
        <v>Pittsford Township (Hillsdale County)</v>
      </c>
    </row>
    <row r="921" spans="1:8" ht="15.75" thickBot="1" x14ac:dyDescent="0.3">
      <c r="A921">
        <f t="shared" si="15"/>
        <v>30</v>
      </c>
      <c r="B921" s="8">
        <v>2016</v>
      </c>
      <c r="C921" s="1" t="s">
        <v>840</v>
      </c>
      <c r="D921" s="1" t="s">
        <v>9</v>
      </c>
      <c r="E921" s="2" t="s">
        <v>7</v>
      </c>
      <c r="F921" s="9" t="s">
        <v>8</v>
      </c>
      <c r="H921" t="str">
        <f>TRIM(SUBSTITUTE(PROPER(C921)&amp;" "&amp;IF(OR(D921="County",D921="Township",D921="Village",D921="Charter Township"),D921,"")&amp;IF(D921="Township"," "&amp;"("&amp;VLOOKUP(A921,counties,3,0)&amp;")",""),"  "," "))</f>
        <v>Ransom Township (Hillsdale County)</v>
      </c>
    </row>
    <row r="922" spans="1:8" ht="15.75" thickBot="1" x14ac:dyDescent="0.3">
      <c r="A922">
        <f t="shared" si="15"/>
        <v>30</v>
      </c>
      <c r="B922" s="10">
        <v>2016</v>
      </c>
      <c r="C922" s="3" t="s">
        <v>841</v>
      </c>
      <c r="D922" s="3" t="s">
        <v>15</v>
      </c>
      <c r="E922" s="4" t="s">
        <v>7</v>
      </c>
      <c r="F922" s="11" t="s">
        <v>8</v>
      </c>
      <c r="H922" t="str">
        <f>TRIM(SUBSTITUTE(PROPER(C922)&amp;" "&amp;IF(OR(D922="County",D922="Township",D922="Village",D922="Charter Township"),D922,"")&amp;IF(D922="Township"," "&amp;"("&amp;VLOOKUP(A922,counties,3,0)&amp;")",""),"  "," "))</f>
        <v>Reading</v>
      </c>
    </row>
    <row r="923" spans="1:8" ht="15.75" thickBot="1" x14ac:dyDescent="0.3">
      <c r="A923">
        <f t="shared" si="15"/>
        <v>30</v>
      </c>
      <c r="B923" s="8">
        <v>2016</v>
      </c>
      <c r="C923" s="1" t="s">
        <v>841</v>
      </c>
      <c r="D923" s="1" t="s">
        <v>9</v>
      </c>
      <c r="E923" s="2" t="s">
        <v>7</v>
      </c>
      <c r="F923" s="9" t="s">
        <v>8</v>
      </c>
      <c r="H923" t="str">
        <f>TRIM(SUBSTITUTE(PROPER(C923)&amp;" "&amp;IF(OR(D923="County",D923="Township",D923="Village",D923="Charter Township"),D923,"")&amp;IF(D923="Township"," "&amp;"("&amp;VLOOKUP(A923,counties,3,0)&amp;")",""),"  "," "))</f>
        <v>Reading Township (Hillsdale County)</v>
      </c>
    </row>
    <row r="924" spans="1:8" ht="15.75" thickBot="1" x14ac:dyDescent="0.3">
      <c r="A924">
        <f t="shared" si="15"/>
        <v>30</v>
      </c>
      <c r="B924" s="10">
        <v>2016</v>
      </c>
      <c r="C924" s="3" t="s">
        <v>842</v>
      </c>
      <c r="D924" s="3" t="s">
        <v>42</v>
      </c>
      <c r="E924" s="4" t="s">
        <v>7</v>
      </c>
      <c r="F924" s="11" t="s">
        <v>8</v>
      </c>
      <c r="H924" t="str">
        <f>TRIM(SUBSTITUTE(PROPER(C924)&amp;" "&amp;IF(OR(D924="County",D924="Township",D924="Village",D924="Charter Township"),D924,"")&amp;IF(D924="Township"," "&amp;"("&amp;VLOOKUP(A924,counties,3,0)&amp;")",""),"  "," "))</f>
        <v>Reading Community Library</v>
      </c>
    </row>
    <row r="925" spans="1:8" ht="15.75" thickBot="1" x14ac:dyDescent="0.3">
      <c r="A925">
        <f t="shared" si="15"/>
        <v>30</v>
      </c>
      <c r="B925" s="8">
        <v>2016</v>
      </c>
      <c r="C925" s="1" t="s">
        <v>843</v>
      </c>
      <c r="D925" s="1" t="s">
        <v>9</v>
      </c>
      <c r="E925" s="2" t="s">
        <v>7</v>
      </c>
      <c r="F925" s="9" t="s">
        <v>8</v>
      </c>
      <c r="H925" t="str">
        <f>TRIM(SUBSTITUTE(PROPER(C925)&amp;" "&amp;IF(OR(D925="County",D925="Township",D925="Village",D925="Charter Township"),D925,"")&amp;IF(D925="Township"," "&amp;"("&amp;VLOOKUP(A925,counties,3,0)&amp;")",""),"  "," "))</f>
        <v>Somerset Township (Hillsdale County)</v>
      </c>
    </row>
    <row r="926" spans="1:8" ht="21.75" thickBot="1" x14ac:dyDescent="0.3">
      <c r="A926">
        <f t="shared" si="15"/>
        <v>30</v>
      </c>
      <c r="B926" s="10">
        <v>2016</v>
      </c>
      <c r="C926" s="3" t="s">
        <v>844</v>
      </c>
      <c r="D926" s="3" t="s">
        <v>17</v>
      </c>
      <c r="E926" s="4" t="s">
        <v>7</v>
      </c>
      <c r="F926" s="11" t="s">
        <v>8</v>
      </c>
      <c r="H926" t="str">
        <f>TRIM(SUBSTITUTE(PROPER(C926)&amp;" "&amp;IF(OR(D926="County",D926="Township",D926="Village",D926="Charter Township"),D926,"")&amp;IF(D926="Township"," "&amp;"("&amp;VLOOKUP(A926,counties,3,0)&amp;")",""),"  "," "))</f>
        <v>Townships Of Pittsford &amp; Jefferson Fire Department</v>
      </c>
    </row>
    <row r="927" spans="1:8" ht="15.75" thickBot="1" x14ac:dyDescent="0.3">
      <c r="A927">
        <f t="shared" si="15"/>
        <v>30</v>
      </c>
      <c r="B927" s="8">
        <v>2016</v>
      </c>
      <c r="C927" s="1" t="s">
        <v>845</v>
      </c>
      <c r="D927" s="1" t="s">
        <v>21</v>
      </c>
      <c r="E927" s="2" t="s">
        <v>7</v>
      </c>
      <c r="F927" s="9" t="s">
        <v>8</v>
      </c>
      <c r="H927" t="str">
        <f>TRIM(SUBSTITUTE(PROPER(C927)&amp;" "&amp;IF(OR(D927="County",D927="Township",D927="Village",D927="Charter Township"),D927,"")&amp;IF(D927="Township"," "&amp;"("&amp;VLOOKUP(A927,counties,3,0)&amp;")",""),"  "," "))</f>
        <v>Waldron Village</v>
      </c>
    </row>
    <row r="928" spans="1:8" ht="15.75" thickBot="1" x14ac:dyDescent="0.3">
      <c r="A928">
        <f t="shared" si="15"/>
        <v>30</v>
      </c>
      <c r="B928" s="10">
        <v>2016</v>
      </c>
      <c r="C928" s="3" t="s">
        <v>846</v>
      </c>
      <c r="D928" s="3" t="s">
        <v>42</v>
      </c>
      <c r="E928" s="4" t="s">
        <v>7</v>
      </c>
      <c r="F928" s="11" t="s">
        <v>8</v>
      </c>
      <c r="H928" t="str">
        <f>TRIM(SUBSTITUTE(PROPER(C928)&amp;" "&amp;IF(OR(D928="County",D928="Township",D928="Village",D928="Charter Township"),D928,"")&amp;IF(D928="Township"," "&amp;"("&amp;VLOOKUP(A928,counties,3,0)&amp;")",""),"  "," "))</f>
        <v>Waldron District Library</v>
      </c>
    </row>
    <row r="929" spans="1:8" ht="15.75" thickBot="1" x14ac:dyDescent="0.3">
      <c r="A929">
        <f t="shared" si="15"/>
        <v>30</v>
      </c>
      <c r="B929" s="8">
        <v>2016</v>
      </c>
      <c r="C929" s="1" t="s">
        <v>847</v>
      </c>
      <c r="D929" s="1" t="s">
        <v>9</v>
      </c>
      <c r="E929" s="2" t="s">
        <v>7</v>
      </c>
      <c r="F929" s="9" t="s">
        <v>8</v>
      </c>
      <c r="H929" t="str">
        <f>TRIM(SUBSTITUTE(PROPER(C929)&amp;" "&amp;IF(OR(D929="County",D929="Township",D929="Village",D929="Charter Township"),D929,"")&amp;IF(D929="Township"," "&amp;"("&amp;VLOOKUP(A929,counties,3,0)&amp;")",""),"  "," "))</f>
        <v>Wheatland Township (Hillsdale County)</v>
      </c>
    </row>
    <row r="930" spans="1:8" ht="15.75" thickBot="1" x14ac:dyDescent="0.3">
      <c r="A930">
        <f t="shared" si="15"/>
        <v>30</v>
      </c>
      <c r="B930" s="12">
        <v>2016</v>
      </c>
      <c r="C930" s="13" t="s">
        <v>848</v>
      </c>
      <c r="D930" s="13" t="s">
        <v>9</v>
      </c>
      <c r="E930" s="14" t="s">
        <v>7</v>
      </c>
      <c r="F930" s="15" t="s">
        <v>8</v>
      </c>
      <c r="H930" t="str">
        <f>TRIM(SUBSTITUTE(PROPER(C930)&amp;" "&amp;IF(OR(D930="County",D930="Township",D930="Village",D930="Charter Township"),D930,"")&amp;IF(D930="Township"," "&amp;"("&amp;VLOOKUP(A930,counties,3,0)&amp;")",""),"  "," "))</f>
        <v>Wright Township (Hillsdale County)</v>
      </c>
    </row>
    <row r="931" spans="1:8" ht="16.5" thickTop="1" thickBot="1" x14ac:dyDescent="0.3">
      <c r="A931">
        <f t="shared" si="15"/>
        <v>31</v>
      </c>
      <c r="B931" s="5" t="s">
        <v>0</v>
      </c>
      <c r="C931" s="6" t="s">
        <v>1</v>
      </c>
      <c r="D931" s="6" t="s">
        <v>2</v>
      </c>
      <c r="E931" s="6" t="s">
        <v>3</v>
      </c>
      <c r="F931" s="7" t="s">
        <v>4</v>
      </c>
      <c r="H931" t="str">
        <f>TRIM(SUBSTITUTE(PROPER(C931)&amp;" "&amp;IF(OR(D931="County",D931="Township",D931="Village",D931="Charter Township"),D931,"")&amp;IF(D931="Township"," "&amp;"("&amp;VLOOKUP(A931,counties,3,0)&amp;")",""),"  "," "))</f>
        <v>Municipality</v>
      </c>
    </row>
    <row r="932" spans="1:8" ht="15.75" thickBot="1" x14ac:dyDescent="0.3">
      <c r="A932">
        <f t="shared" si="15"/>
        <v>31</v>
      </c>
      <c r="B932" s="8">
        <v>2016</v>
      </c>
      <c r="C932" s="1" t="s">
        <v>123</v>
      </c>
      <c r="D932" s="1" t="s">
        <v>9</v>
      </c>
      <c r="E932" s="2" t="s">
        <v>7</v>
      </c>
      <c r="F932" s="9" t="s">
        <v>8</v>
      </c>
      <c r="H932" t="str">
        <f>TRIM(SUBSTITUTE(PROPER(C932)&amp;" "&amp;IF(OR(D932="County",D932="Township",D932="Village",D932="Charter Township"),D932,"")&amp;IF(D932="Township"," "&amp;"("&amp;VLOOKUP(A932,counties,3,0)&amp;")",""),"  "," "))</f>
        <v>Adams Township (Houghton County)</v>
      </c>
    </row>
    <row r="933" spans="1:8" ht="15.75" thickBot="1" x14ac:dyDescent="0.3">
      <c r="A933">
        <f t="shared" si="15"/>
        <v>31</v>
      </c>
      <c r="B933" s="10">
        <v>2016</v>
      </c>
      <c r="C933" s="3" t="s">
        <v>849</v>
      </c>
      <c r="D933" s="3" t="s">
        <v>21</v>
      </c>
      <c r="E933" s="4" t="s">
        <v>7</v>
      </c>
      <c r="F933" s="11" t="s">
        <v>19</v>
      </c>
      <c r="H933" t="str">
        <f>TRIM(SUBSTITUTE(PROPER(C933)&amp;" "&amp;IF(OR(D933="County",D933="Township",D933="Village",D933="Charter Township"),D933,"")&amp;IF(D933="Township"," "&amp;"("&amp;VLOOKUP(A933,counties,3,0)&amp;")",""),"  "," "))</f>
        <v>Calumet Village</v>
      </c>
    </row>
    <row r="934" spans="1:8" ht="15.75" thickBot="1" x14ac:dyDescent="0.3">
      <c r="A934">
        <f t="shared" si="15"/>
        <v>31</v>
      </c>
      <c r="B934" s="8">
        <v>2016</v>
      </c>
      <c r="C934" s="1" t="s">
        <v>850</v>
      </c>
      <c r="D934" s="1" t="s">
        <v>9</v>
      </c>
      <c r="E934" s="2" t="s">
        <v>7</v>
      </c>
      <c r="F934" s="9" t="s">
        <v>8</v>
      </c>
      <c r="H934" t="str">
        <f>TRIM(SUBSTITUTE(PROPER(C934)&amp;" "&amp;IF(OR(D934="County",D934="Township",D934="Village",D934="Charter Township"),D934,"")&amp;IF(D934="Township"," "&amp;"("&amp;VLOOKUP(A934,counties,3,0)&amp;")",""),"  "," "))</f>
        <v>Calumet Charter Township (Houghton County)</v>
      </c>
    </row>
    <row r="935" spans="1:8" ht="15.75" thickBot="1" x14ac:dyDescent="0.3">
      <c r="A935">
        <f t="shared" si="15"/>
        <v>31</v>
      </c>
      <c r="B935" s="10">
        <v>2016</v>
      </c>
      <c r="C935" s="3" t="s">
        <v>851</v>
      </c>
      <c r="D935" s="3" t="s">
        <v>17</v>
      </c>
      <c r="E935" s="4" t="s">
        <v>7</v>
      </c>
      <c r="F935" s="11" t="s">
        <v>8</v>
      </c>
      <c r="H935" t="str">
        <f>TRIM(SUBSTITUTE(PROPER(C935)&amp;" "&amp;IF(OR(D935="County",D935="Township",D935="Village",D935="Charter Township"),D935,"")&amp;IF(D935="Township"," "&amp;"("&amp;VLOOKUP(A935,counties,3,0)&amp;")",""),"  "," "))</f>
        <v>Calumet Village Housing Commission</v>
      </c>
    </row>
    <row r="936" spans="1:8" ht="15.75" thickBot="1" x14ac:dyDescent="0.3">
      <c r="A936">
        <f t="shared" si="15"/>
        <v>31</v>
      </c>
      <c r="B936" s="8">
        <v>2016</v>
      </c>
      <c r="C936" s="1" t="s">
        <v>852</v>
      </c>
      <c r="D936" s="1" t="s">
        <v>9</v>
      </c>
      <c r="E936" s="2" t="s">
        <v>7</v>
      </c>
      <c r="F936" s="9" t="s">
        <v>19</v>
      </c>
      <c r="H936" t="str">
        <f>TRIM(SUBSTITUTE(PROPER(C936)&amp;" "&amp;IF(OR(D936="County",D936="Township",D936="Village",D936="Charter Township"),D936,"")&amp;IF(D936="Township"," "&amp;"("&amp;VLOOKUP(A936,counties,3,0)&amp;")",""),"  "," "))</f>
        <v>Chassell Township (Houghton County)</v>
      </c>
    </row>
    <row r="937" spans="1:8" ht="15.75" thickBot="1" x14ac:dyDescent="0.3">
      <c r="A937">
        <f t="shared" si="15"/>
        <v>31</v>
      </c>
      <c r="B937" s="10">
        <v>2016</v>
      </c>
      <c r="C937" s="3" t="s">
        <v>853</v>
      </c>
      <c r="D937" s="3" t="s">
        <v>9</v>
      </c>
      <c r="E937" s="4" t="s">
        <v>7</v>
      </c>
      <c r="F937" s="11" t="s">
        <v>19</v>
      </c>
      <c r="H937" t="str">
        <f>TRIM(SUBSTITUTE(PROPER(C937)&amp;" "&amp;IF(OR(D937="County",D937="Township",D937="Village",D937="Charter Township"),D937,"")&amp;IF(D937="Township"," "&amp;"("&amp;VLOOKUP(A937,counties,3,0)&amp;")",""),"  "," "))</f>
        <v>Elm River Township (Houghton County)</v>
      </c>
    </row>
    <row r="938" spans="1:8" ht="15.75" thickBot="1" x14ac:dyDescent="0.3">
      <c r="A938">
        <f t="shared" si="15"/>
        <v>31</v>
      </c>
      <c r="B938" s="8">
        <v>2016</v>
      </c>
      <c r="C938" s="1" t="s">
        <v>489</v>
      </c>
      <c r="D938" s="1" t="s">
        <v>9</v>
      </c>
      <c r="E938" s="2" t="s">
        <v>7</v>
      </c>
      <c r="F938" s="9" t="s">
        <v>8</v>
      </c>
      <c r="H938" t="str">
        <f>TRIM(SUBSTITUTE(PROPER(C938)&amp;" "&amp;IF(OR(D938="County",D938="Township",D938="Village",D938="Charter Township"),D938,"")&amp;IF(D938="Township"," "&amp;"("&amp;VLOOKUP(A938,counties,3,0)&amp;")",""),"  "," "))</f>
        <v>Franklin Township (Houghton County)</v>
      </c>
    </row>
    <row r="939" spans="1:8" ht="15.75" thickBot="1" x14ac:dyDescent="0.3">
      <c r="A939">
        <f t="shared" si="15"/>
        <v>31</v>
      </c>
      <c r="B939" s="10">
        <v>2016</v>
      </c>
      <c r="C939" s="3" t="s">
        <v>854</v>
      </c>
      <c r="D939" s="3" t="s">
        <v>17</v>
      </c>
      <c r="E939" s="4" t="s">
        <v>7</v>
      </c>
      <c r="F939" s="11" t="s">
        <v>8</v>
      </c>
      <c r="H939" t="str">
        <f>TRIM(SUBSTITUTE(PROPER(C939)&amp;" "&amp;IF(OR(D939="County",D939="Township",D939="Village",D939="Charter Township"),D939,"")&amp;IF(D939="Township"," "&amp;"("&amp;VLOOKUP(A939,counties,3,0)&amp;")",""),"  "," "))</f>
        <v>Franklin-Quincy Twp Water Auth</v>
      </c>
    </row>
    <row r="940" spans="1:8" ht="15.75" thickBot="1" x14ac:dyDescent="0.3">
      <c r="A940">
        <f t="shared" si="15"/>
        <v>31</v>
      </c>
      <c r="B940" s="8">
        <v>2016</v>
      </c>
      <c r="C940" s="1" t="s">
        <v>855</v>
      </c>
      <c r="D940" s="1" t="s">
        <v>15</v>
      </c>
      <c r="E940" s="2" t="s">
        <v>7</v>
      </c>
      <c r="F940" s="9" t="s">
        <v>8</v>
      </c>
      <c r="H940" t="str">
        <f>TRIM(SUBSTITUTE(PROPER(C940)&amp;" "&amp;IF(OR(D940="County",D940="Township",D940="Village",D940="Charter Township"),D940,"")&amp;IF(D940="Township"," "&amp;"("&amp;VLOOKUP(A940,counties,3,0)&amp;")",""),"  "," "))</f>
        <v>Hancock</v>
      </c>
    </row>
    <row r="941" spans="1:8" ht="15.75" thickBot="1" x14ac:dyDescent="0.3">
      <c r="A941">
        <f t="shared" si="15"/>
        <v>31</v>
      </c>
      <c r="B941" s="10">
        <v>2016</v>
      </c>
      <c r="C941" s="3" t="s">
        <v>855</v>
      </c>
      <c r="D941" s="3" t="s">
        <v>9</v>
      </c>
      <c r="E941" s="4" t="s">
        <v>7</v>
      </c>
      <c r="F941" s="11" t="s">
        <v>19</v>
      </c>
      <c r="H941" t="str">
        <f>TRIM(SUBSTITUTE(PROPER(C941)&amp;" "&amp;IF(OR(D941="County",D941="Township",D941="Village",D941="Charter Township"),D941,"")&amp;IF(D941="Township"," "&amp;"("&amp;VLOOKUP(A941,counties,3,0)&amp;")",""),"  "," "))</f>
        <v>Hancock Township (Houghton County)</v>
      </c>
    </row>
    <row r="942" spans="1:8" ht="15.75" thickBot="1" x14ac:dyDescent="0.3">
      <c r="A942">
        <f t="shared" si="15"/>
        <v>31</v>
      </c>
      <c r="B942" s="8">
        <v>2016</v>
      </c>
      <c r="C942" s="1" t="s">
        <v>856</v>
      </c>
      <c r="D942" s="1" t="s">
        <v>17</v>
      </c>
      <c r="E942" s="2" t="s">
        <v>7</v>
      </c>
      <c r="F942" s="9" t="s">
        <v>8</v>
      </c>
      <c r="H942" t="str">
        <f>TRIM(SUBSTITUTE(PROPER(C942)&amp;" "&amp;IF(OR(D942="County",D942="Township",D942="Village",D942="Charter Township"),D942,"")&amp;IF(D942="Township"," "&amp;"("&amp;VLOOKUP(A942,counties,3,0)&amp;")",""),"  "," "))</f>
        <v>Hancock City Housing Commission</v>
      </c>
    </row>
    <row r="943" spans="1:8" ht="15.75" thickBot="1" x14ac:dyDescent="0.3">
      <c r="A943">
        <f t="shared" si="15"/>
        <v>31</v>
      </c>
      <c r="B943" s="10">
        <v>2016</v>
      </c>
      <c r="C943" s="3" t="s">
        <v>857</v>
      </c>
      <c r="D943" s="3" t="s">
        <v>15</v>
      </c>
      <c r="E943" s="4" t="s">
        <v>7</v>
      </c>
      <c r="F943" s="11" t="s">
        <v>8</v>
      </c>
      <c r="H943" t="str">
        <f>TRIM(SUBSTITUTE(PROPER(C943)&amp;" "&amp;IF(OR(D943="County",D943="Township",D943="Village",D943="Charter Township"),D943,"")&amp;IF(D943="Township"," "&amp;"("&amp;VLOOKUP(A943,counties,3,0)&amp;")",""),"  "," "))</f>
        <v>Houghton</v>
      </c>
    </row>
    <row r="944" spans="1:8" ht="15.75" thickBot="1" x14ac:dyDescent="0.3">
      <c r="A944">
        <f t="shared" si="15"/>
        <v>31</v>
      </c>
      <c r="B944" s="8">
        <v>2016</v>
      </c>
      <c r="C944" s="1" t="s">
        <v>857</v>
      </c>
      <c r="D944" s="1" t="s">
        <v>6</v>
      </c>
      <c r="E944" s="2" t="s">
        <v>7</v>
      </c>
      <c r="F944" s="9" t="s">
        <v>8</v>
      </c>
      <c r="H944" t="str">
        <f>TRIM(SUBSTITUTE(PROPER(C944)&amp;" "&amp;IF(OR(D944="County",D944="Township",D944="Village",D944="Charter Township"),D944,"")&amp;IF(D944="Township"," "&amp;"("&amp;VLOOKUP(A944,counties,3,0)&amp;")",""),"  "," "))</f>
        <v>Houghton County</v>
      </c>
    </row>
    <row r="945" spans="1:8" ht="15.75" thickBot="1" x14ac:dyDescent="0.3">
      <c r="A945">
        <f t="shared" si="15"/>
        <v>31</v>
      </c>
      <c r="B945" s="10">
        <v>2016</v>
      </c>
      <c r="C945" s="3" t="s">
        <v>858</v>
      </c>
      <c r="D945" s="3" t="s">
        <v>17</v>
      </c>
      <c r="E945" s="4" t="s">
        <v>7</v>
      </c>
      <c r="F945" s="11" t="s">
        <v>8</v>
      </c>
      <c r="H945" t="str">
        <f>TRIM(SUBSTITUTE(PROPER(C945)&amp;" "&amp;IF(OR(D945="County",D945="Township",D945="Village",D945="Charter Township"),D945,"")&amp;IF(D945="Township"," "&amp;"("&amp;VLOOKUP(A945,counties,3,0)&amp;")",""),"  "," "))</f>
        <v>Houghton City Housing Commission</v>
      </c>
    </row>
    <row r="946" spans="1:8" ht="21.75" thickBot="1" x14ac:dyDescent="0.3">
      <c r="A946">
        <f t="shared" si="15"/>
        <v>31</v>
      </c>
      <c r="B946" s="8">
        <v>2016</v>
      </c>
      <c r="C946" s="1" t="s">
        <v>859</v>
      </c>
      <c r="D946" s="1" t="s">
        <v>17</v>
      </c>
      <c r="E946" s="2" t="s">
        <v>7</v>
      </c>
      <c r="F946" s="9" t="s">
        <v>8</v>
      </c>
      <c r="H946" t="str">
        <f>TRIM(SUBSTITUTE(PROPER(C946)&amp;" "&amp;IF(OR(D946="County",D946="Township",D946="Village",D946="Charter Township"),D946,"")&amp;IF(D946="Township"," "&amp;"("&amp;VLOOKUP(A946,counties,3,0)&amp;")",""),"  "," "))</f>
        <v>Houghton City Local Development Finance Authority</v>
      </c>
    </row>
    <row r="947" spans="1:8" ht="15.75" thickBot="1" x14ac:dyDescent="0.3">
      <c r="A947">
        <f t="shared" si="15"/>
        <v>31</v>
      </c>
      <c r="B947" s="10">
        <v>2016</v>
      </c>
      <c r="C947" s="3" t="s">
        <v>860</v>
      </c>
      <c r="D947" s="3" t="s">
        <v>17</v>
      </c>
      <c r="E947" s="4" t="s">
        <v>7</v>
      </c>
      <c r="F947" s="11" t="s">
        <v>8</v>
      </c>
      <c r="H947" t="str">
        <f>TRIM(SUBSTITUTE(PROPER(C947)&amp;" "&amp;IF(OR(D947="County",D947="Township",D947="Village",D947="Charter Township"),D947,"")&amp;IF(D947="Township"," "&amp;"("&amp;VLOOKUP(A947,counties,3,0)&amp;")",""),"  "," "))</f>
        <v>Houghton County Medical Care Facility</v>
      </c>
    </row>
    <row r="948" spans="1:8" ht="15.75" thickBot="1" x14ac:dyDescent="0.3">
      <c r="A948">
        <f t="shared" si="15"/>
        <v>31</v>
      </c>
      <c r="B948" s="8">
        <v>2016</v>
      </c>
      <c r="C948" s="1" t="s">
        <v>861</v>
      </c>
      <c r="D948" s="1" t="s">
        <v>11</v>
      </c>
      <c r="E948" s="2" t="s">
        <v>7</v>
      </c>
      <c r="F948" s="9" t="s">
        <v>8</v>
      </c>
      <c r="H948" t="str">
        <f>TRIM(SUBSTITUTE(PROPER(C948)&amp;" "&amp;IF(OR(D948="County",D948="Township",D948="Village",D948="Charter Township"),D948,"")&amp;IF(D948="Township"," "&amp;"("&amp;VLOOKUP(A948,counties,3,0)&amp;")",""),"  "," "))</f>
        <v>Houghton County Road Commission</v>
      </c>
    </row>
    <row r="949" spans="1:8" ht="15.75" thickBot="1" x14ac:dyDescent="0.3">
      <c r="A949">
        <f t="shared" si="15"/>
        <v>31</v>
      </c>
      <c r="B949" s="10">
        <v>2016</v>
      </c>
      <c r="C949" s="3" t="s">
        <v>862</v>
      </c>
      <c r="D949" s="3" t="s">
        <v>21</v>
      </c>
      <c r="E949" s="4" t="s">
        <v>7</v>
      </c>
      <c r="F949" s="11" t="s">
        <v>8</v>
      </c>
      <c r="H949" t="str">
        <f>TRIM(SUBSTITUTE(PROPER(C949)&amp;" "&amp;IF(OR(D949="County",D949="Township",D949="Village",D949="Charter Township"),D949,"")&amp;IF(D949="Township"," "&amp;"("&amp;VLOOKUP(A949,counties,3,0)&amp;")",""),"  "," "))</f>
        <v>Lake Linden Village</v>
      </c>
    </row>
    <row r="950" spans="1:8" ht="15.75" thickBot="1" x14ac:dyDescent="0.3">
      <c r="A950">
        <f t="shared" si="15"/>
        <v>31</v>
      </c>
      <c r="B950" s="8">
        <v>2016</v>
      </c>
      <c r="C950" s="1" t="s">
        <v>863</v>
      </c>
      <c r="D950" s="1" t="s">
        <v>21</v>
      </c>
      <c r="E950" s="2" t="s">
        <v>7</v>
      </c>
      <c r="F950" s="9" t="s">
        <v>8</v>
      </c>
      <c r="H950" t="str">
        <f>TRIM(SUBSTITUTE(PROPER(C950)&amp;" "&amp;IF(OR(D950="County",D950="Township",D950="Village",D950="Charter Township"),D950,"")&amp;IF(D950="Township"," "&amp;"("&amp;VLOOKUP(A950,counties,3,0)&amp;")",""),"  "," "))</f>
        <v>Laurium Village</v>
      </c>
    </row>
    <row r="951" spans="1:8" ht="15.75" thickBot="1" x14ac:dyDescent="0.3">
      <c r="A951">
        <f t="shared" si="15"/>
        <v>31</v>
      </c>
      <c r="B951" s="10">
        <v>2016</v>
      </c>
      <c r="C951" s="3" t="s">
        <v>864</v>
      </c>
      <c r="D951" s="3" t="s">
        <v>17</v>
      </c>
      <c r="E951" s="4" t="s">
        <v>7</v>
      </c>
      <c r="F951" s="11" t="s">
        <v>8</v>
      </c>
      <c r="H951" t="str">
        <f>TRIM(SUBSTITUTE(PROPER(C951)&amp;" "&amp;IF(OR(D951="County",D951="Township",D951="Village",D951="Charter Township"),D951,"")&amp;IF(D951="Township"," "&amp;"("&amp;VLOOKUP(A951,counties,3,0)&amp;")",""),"  "," "))</f>
        <v>Laurium Village Housing Commission</v>
      </c>
    </row>
    <row r="952" spans="1:8" ht="15.75" thickBot="1" x14ac:dyDescent="0.3">
      <c r="A952">
        <f t="shared" si="15"/>
        <v>31</v>
      </c>
      <c r="B952" s="8">
        <v>2016</v>
      </c>
      <c r="C952" s="1" t="s">
        <v>865</v>
      </c>
      <c r="D952" s="1" t="s">
        <v>17</v>
      </c>
      <c r="E952" s="2" t="s">
        <v>7</v>
      </c>
      <c r="F952" s="9" t="s">
        <v>8</v>
      </c>
      <c r="H952" t="str">
        <f>TRIM(SUBSTITUTE(PROPER(C952)&amp;" "&amp;IF(OR(D952="County",D952="Township",D952="Village",D952="Charter Township"),D952,"")&amp;IF(D952="Township"," "&amp;"("&amp;VLOOKUP(A952,counties,3,0)&amp;")",""),"  "," "))</f>
        <v>North Houghton County Water &amp; Sewage Authority</v>
      </c>
    </row>
    <row r="953" spans="1:8" ht="15.75" thickBot="1" x14ac:dyDescent="0.3">
      <c r="A953">
        <f t="shared" si="15"/>
        <v>31</v>
      </c>
      <c r="B953" s="10">
        <v>2016</v>
      </c>
      <c r="C953" s="3" t="s">
        <v>866</v>
      </c>
      <c r="D953" s="3" t="s">
        <v>9</v>
      </c>
      <c r="E953" s="4" t="s">
        <v>7</v>
      </c>
      <c r="F953" s="11" t="s">
        <v>19</v>
      </c>
      <c r="H953" t="str">
        <f>TRIM(SUBSTITUTE(PROPER(C953)&amp;" "&amp;IF(OR(D953="County",D953="Township",D953="Village",D953="Charter Township"),D953,"")&amp;IF(D953="Township"," "&amp;"("&amp;VLOOKUP(A953,counties,3,0)&amp;")",""),"  "," "))</f>
        <v>Osceola Township (Houghton County)</v>
      </c>
    </row>
    <row r="954" spans="1:8" ht="15.75" thickBot="1" x14ac:dyDescent="0.3">
      <c r="A954">
        <f t="shared" si="15"/>
        <v>31</v>
      </c>
      <c r="B954" s="8">
        <v>2016</v>
      </c>
      <c r="C954" s="1" t="s">
        <v>867</v>
      </c>
      <c r="D954" s="1" t="s">
        <v>9</v>
      </c>
      <c r="E954" s="2" t="s">
        <v>7</v>
      </c>
      <c r="F954" s="9" t="s">
        <v>8</v>
      </c>
      <c r="H954" t="str">
        <f>TRIM(SUBSTITUTE(PROPER(C954)&amp;" "&amp;IF(OR(D954="County",D954="Township",D954="Village",D954="Charter Township"),D954,"")&amp;IF(D954="Township"," "&amp;"("&amp;VLOOKUP(A954,counties,3,0)&amp;")",""),"  "," "))</f>
        <v>Portage Charter Township (Houghton County)</v>
      </c>
    </row>
    <row r="955" spans="1:8" ht="15.75" thickBot="1" x14ac:dyDescent="0.3">
      <c r="A955">
        <f t="shared" si="15"/>
        <v>31</v>
      </c>
      <c r="B955" s="10">
        <v>2016</v>
      </c>
      <c r="C955" s="3" t="s">
        <v>868</v>
      </c>
      <c r="D955" s="3" t="s">
        <v>42</v>
      </c>
      <c r="E955" s="4" t="s">
        <v>7</v>
      </c>
      <c r="F955" s="11" t="s">
        <v>8</v>
      </c>
      <c r="H955" t="str">
        <f>TRIM(SUBSTITUTE(PROPER(C955)&amp;" "&amp;IF(OR(D955="County",D955="Township",D955="Village",D955="Charter Township"),D955,"")&amp;IF(D955="Township"," "&amp;"("&amp;VLOOKUP(A955,counties,3,0)&amp;")",""),"  "," "))</f>
        <v>Portage Lake District Library</v>
      </c>
    </row>
    <row r="956" spans="1:8" ht="15.75" thickBot="1" x14ac:dyDescent="0.3">
      <c r="A956">
        <f t="shared" si="15"/>
        <v>31</v>
      </c>
      <c r="B956" s="8">
        <v>2016</v>
      </c>
      <c r="C956" s="1" t="s">
        <v>869</v>
      </c>
      <c r="D956" s="1" t="s">
        <v>17</v>
      </c>
      <c r="E956" s="2" t="s">
        <v>7</v>
      </c>
      <c r="F956" s="9" t="s">
        <v>8</v>
      </c>
      <c r="H956" t="str">
        <f>TRIM(SUBSTITUTE(PROPER(C956)&amp;" "&amp;IF(OR(D956="County",D956="Township",D956="Village",D956="Charter Township"),D956,"")&amp;IF(D956="Township"," "&amp;"("&amp;VLOOKUP(A956,counties,3,0)&amp;")",""),"  "," "))</f>
        <v>Portage Lake Water And Sewage Authority</v>
      </c>
    </row>
    <row r="957" spans="1:8" ht="15.75" thickBot="1" x14ac:dyDescent="0.3">
      <c r="A957">
        <f t="shared" si="15"/>
        <v>31</v>
      </c>
      <c r="B957" s="10">
        <v>2016</v>
      </c>
      <c r="C957" s="3" t="s">
        <v>333</v>
      </c>
      <c r="D957" s="3" t="s">
        <v>9</v>
      </c>
      <c r="E957" s="4" t="s">
        <v>7</v>
      </c>
      <c r="F957" s="11" t="s">
        <v>19</v>
      </c>
      <c r="H957" t="str">
        <f>TRIM(SUBSTITUTE(PROPER(C957)&amp;" "&amp;IF(OR(D957="County",D957="Township",D957="Village",D957="Charter Township"),D957,"")&amp;IF(D957="Township"," "&amp;"("&amp;VLOOKUP(A957,counties,3,0)&amp;")",""),"  "," "))</f>
        <v>Quincy Township (Houghton County)</v>
      </c>
    </row>
    <row r="958" spans="1:8" ht="15.75" thickBot="1" x14ac:dyDescent="0.3">
      <c r="A958">
        <f t="shared" si="15"/>
        <v>31</v>
      </c>
      <c r="B958" s="8">
        <v>2016</v>
      </c>
      <c r="C958" s="1" t="s">
        <v>870</v>
      </c>
      <c r="D958" s="1" t="s">
        <v>9</v>
      </c>
      <c r="E958" s="2" t="s">
        <v>7</v>
      </c>
      <c r="F958" s="9" t="s">
        <v>8</v>
      </c>
      <c r="H958" t="str">
        <f>TRIM(SUBSTITUTE(PROPER(C958)&amp;" "&amp;IF(OR(D958="County",D958="Township",D958="Village",D958="Charter Township"),D958,"")&amp;IF(D958="Township"," "&amp;"("&amp;VLOOKUP(A958,counties,3,0)&amp;")",""),"  "," "))</f>
        <v>Schoolcraft Township (Houghton County)</v>
      </c>
    </row>
    <row r="959" spans="1:8" ht="15.75" thickBot="1" x14ac:dyDescent="0.3">
      <c r="A959">
        <f t="shared" si="15"/>
        <v>31</v>
      </c>
      <c r="B959" s="10">
        <v>2016</v>
      </c>
      <c r="C959" s="3" t="s">
        <v>871</v>
      </c>
      <c r="D959" s="3" t="s">
        <v>21</v>
      </c>
      <c r="E959" s="4" t="s">
        <v>7</v>
      </c>
      <c r="F959" s="11" t="s">
        <v>19</v>
      </c>
      <c r="H959" t="str">
        <f>TRIM(SUBSTITUTE(PROPER(C959)&amp;" "&amp;IF(OR(D959="County",D959="Township",D959="Village",D959="Charter Township"),D959,"")&amp;IF(D959="Township"," "&amp;"("&amp;VLOOKUP(A959,counties,3,0)&amp;")",""),"  "," "))</f>
        <v>South Range Village</v>
      </c>
    </row>
    <row r="960" spans="1:8" ht="15.75" thickBot="1" x14ac:dyDescent="0.3">
      <c r="A960">
        <f t="shared" si="15"/>
        <v>31</v>
      </c>
      <c r="B960" s="8">
        <v>2016</v>
      </c>
      <c r="C960" s="1" t="s">
        <v>872</v>
      </c>
      <c r="D960" s="1" t="s">
        <v>9</v>
      </c>
      <c r="E960" s="2" t="s">
        <v>7</v>
      </c>
      <c r="F960" s="9" t="s">
        <v>8</v>
      </c>
      <c r="H960" t="str">
        <f>TRIM(SUBSTITUTE(PROPER(C960)&amp;" "&amp;IF(OR(D960="County",D960="Township",D960="Village",D960="Charter Township"),D960,"")&amp;IF(D960="Township"," "&amp;"("&amp;VLOOKUP(A960,counties,3,0)&amp;")",""),"  "," "))</f>
        <v>Stanton Township (Houghton County)</v>
      </c>
    </row>
    <row r="961" spans="1:8" ht="15.75" thickBot="1" x14ac:dyDescent="0.3">
      <c r="A961">
        <f t="shared" si="15"/>
        <v>31</v>
      </c>
      <c r="B961" s="10">
        <v>2016</v>
      </c>
      <c r="C961" s="3" t="s">
        <v>873</v>
      </c>
      <c r="D961" s="3" t="s">
        <v>17</v>
      </c>
      <c r="E961" s="4" t="s">
        <v>7</v>
      </c>
      <c r="F961" s="11" t="s">
        <v>8</v>
      </c>
      <c r="H961" t="str">
        <f>TRIM(SUBSTITUTE(PROPER(C961)&amp;" "&amp;IF(OR(D961="County",D961="Township",D961="Village",D961="Charter Township"),D961,"")&amp;IF(D961="Township"," "&amp;"("&amp;VLOOKUP(A961,counties,3,0)&amp;")",""),"  "," "))</f>
        <v>Torch Lake Area Sewage Authority</v>
      </c>
    </row>
    <row r="962" spans="1:8" ht="15.75" thickBot="1" x14ac:dyDescent="0.3">
      <c r="A962">
        <f t="shared" si="15"/>
        <v>31</v>
      </c>
      <c r="B962" s="8">
        <v>2016</v>
      </c>
      <c r="C962" s="1" t="s">
        <v>874</v>
      </c>
      <c r="D962" s="1" t="s">
        <v>17</v>
      </c>
      <c r="E962" s="2" t="s">
        <v>7</v>
      </c>
      <c r="F962" s="9" t="s">
        <v>8</v>
      </c>
      <c r="H962" t="str">
        <f>TRIM(SUBSTITUTE(PROPER(C962)&amp;" "&amp;IF(OR(D962="County",D962="Township",D962="Village",D962="Charter Township"),D962,"")&amp;IF(D962="Township"," "&amp;"("&amp;VLOOKUP(A962,counties,3,0)&amp;")",""),"  "," "))</f>
        <v>Western Up District Health Department</v>
      </c>
    </row>
    <row r="963" spans="1:8" ht="15.75" thickBot="1" x14ac:dyDescent="0.3">
      <c r="A963">
        <f t="shared" ref="A963:A1026" si="16">IF(B963="Year",A962+1,A962)</f>
        <v>31</v>
      </c>
      <c r="B963" s="12">
        <v>2016</v>
      </c>
      <c r="C963" s="13" t="s">
        <v>875</v>
      </c>
      <c r="D963" s="13" t="s">
        <v>17</v>
      </c>
      <c r="E963" s="14" t="s">
        <v>7</v>
      </c>
      <c r="F963" s="15" t="s">
        <v>8</v>
      </c>
      <c r="H963" t="str">
        <f>TRIM(SUBSTITUTE(PROPER(C963)&amp;" "&amp;IF(OR(D963="County",D963="Township",D963="Village",D963="Charter Township"),D963,"")&amp;IF(D963="Township"," "&amp;"("&amp;VLOOKUP(A963,counties,3,0)&amp;")",""),"  "," "))</f>
        <v>Western Up Planning &amp; Development Region Commission</v>
      </c>
    </row>
    <row r="964" spans="1:8" ht="16.5" thickTop="1" thickBot="1" x14ac:dyDescent="0.3">
      <c r="A964">
        <f t="shared" si="16"/>
        <v>32</v>
      </c>
      <c r="B964" s="5" t="s">
        <v>0</v>
      </c>
      <c r="C964" s="6" t="s">
        <v>1</v>
      </c>
      <c r="D964" s="6" t="s">
        <v>2</v>
      </c>
      <c r="E964" s="6" t="s">
        <v>3</v>
      </c>
      <c r="F964" s="7" t="s">
        <v>4</v>
      </c>
      <c r="H964" t="str">
        <f>TRIM(SUBSTITUTE(PROPER(C964)&amp;" "&amp;IF(OR(D964="County",D964="Township",D964="Village",D964="Charter Township"),D964,"")&amp;IF(D964="Township"," "&amp;"("&amp;VLOOKUP(A964,counties,3,0)&amp;")",""),"  "," "))</f>
        <v>Municipality</v>
      </c>
    </row>
    <row r="965" spans="1:8" ht="15.75" thickBot="1" x14ac:dyDescent="0.3">
      <c r="A965">
        <f t="shared" si="16"/>
        <v>32</v>
      </c>
      <c r="B965" s="8">
        <v>2016</v>
      </c>
      <c r="C965" s="1" t="s">
        <v>876</v>
      </c>
      <c r="D965" s="1" t="s">
        <v>15</v>
      </c>
      <c r="E965" s="2" t="s">
        <v>7</v>
      </c>
      <c r="F965" s="9" t="s">
        <v>8</v>
      </c>
      <c r="H965" t="str">
        <f>TRIM(SUBSTITUTE(PROPER(C965)&amp;" "&amp;IF(OR(D965="County",D965="Township",D965="Village",D965="Charter Township"),D965,"")&amp;IF(D965="Township"," "&amp;"("&amp;VLOOKUP(A965,counties,3,0)&amp;")",""),"  "," "))</f>
        <v>Bad Axe</v>
      </c>
    </row>
    <row r="966" spans="1:8" ht="15.75" thickBot="1" x14ac:dyDescent="0.3">
      <c r="A966">
        <f t="shared" si="16"/>
        <v>32</v>
      </c>
      <c r="B966" s="10">
        <v>2016</v>
      </c>
      <c r="C966" s="3" t="s">
        <v>877</v>
      </c>
      <c r="D966" s="3" t="s">
        <v>42</v>
      </c>
      <c r="E966" s="4" t="s">
        <v>7</v>
      </c>
      <c r="F966" s="11" t="s">
        <v>8</v>
      </c>
      <c r="H966" t="str">
        <f>TRIM(SUBSTITUTE(PROPER(C966)&amp;" "&amp;IF(OR(D966="County",D966="Township",D966="Village",D966="Charter Township"),D966,"")&amp;IF(D966="Township"," "&amp;"("&amp;VLOOKUP(A966,counties,3,0)&amp;")",""),"  "," "))</f>
        <v>Bad Axe Area District Library</v>
      </c>
    </row>
    <row r="967" spans="1:8" ht="15.75" thickBot="1" x14ac:dyDescent="0.3">
      <c r="A967">
        <f t="shared" si="16"/>
        <v>32</v>
      </c>
      <c r="B967" s="8">
        <v>2016</v>
      </c>
      <c r="C967" s="1" t="s">
        <v>878</v>
      </c>
      <c r="D967" s="1" t="s">
        <v>17</v>
      </c>
      <c r="E967" s="2" t="s">
        <v>7</v>
      </c>
      <c r="F967" s="9" t="s">
        <v>8</v>
      </c>
      <c r="H967" t="str">
        <f>TRIM(SUBSTITUTE(PROPER(C967)&amp;" "&amp;IF(OR(D967="County",D967="Township",D967="Village",D967="Charter Township"),D967,"")&amp;IF(D967="Township"," "&amp;"("&amp;VLOOKUP(A967,counties,3,0)&amp;")",""),"  "," "))</f>
        <v>Bad Axe Area Fire Protection Association</v>
      </c>
    </row>
    <row r="968" spans="1:8" ht="15.75" thickBot="1" x14ac:dyDescent="0.3">
      <c r="A968">
        <f t="shared" si="16"/>
        <v>32</v>
      </c>
      <c r="B968" s="10">
        <v>2016</v>
      </c>
      <c r="C968" s="3" t="s">
        <v>597</v>
      </c>
      <c r="D968" s="3" t="s">
        <v>9</v>
      </c>
      <c r="E968" s="4" t="s">
        <v>7</v>
      </c>
      <c r="F968" s="11" t="s">
        <v>8</v>
      </c>
      <c r="H968" t="str">
        <f>TRIM(SUBSTITUTE(PROPER(C968)&amp;" "&amp;IF(OR(D968="County",D968="Township",D968="Village",D968="Charter Township"),D968,"")&amp;IF(D968="Township"," "&amp;"("&amp;VLOOKUP(A968,counties,3,0)&amp;")",""),"  "," "))</f>
        <v>Brookfield Township (Huron County)</v>
      </c>
    </row>
    <row r="969" spans="1:8" ht="15.75" thickBot="1" x14ac:dyDescent="0.3">
      <c r="A969">
        <f t="shared" si="16"/>
        <v>32</v>
      </c>
      <c r="B969" s="8">
        <v>2016</v>
      </c>
      <c r="C969" s="1" t="s">
        <v>879</v>
      </c>
      <c r="D969" s="1" t="s">
        <v>15</v>
      </c>
      <c r="E969" s="2" t="s">
        <v>7</v>
      </c>
      <c r="F969" s="9" t="s">
        <v>8</v>
      </c>
      <c r="H969" t="str">
        <f>TRIM(SUBSTITUTE(PROPER(C969)&amp;" "&amp;IF(OR(D969="County",D969="Township",D969="Village",D969="Charter Township"),D969,"")&amp;IF(D969="Township"," "&amp;"("&amp;VLOOKUP(A969,counties,3,0)&amp;")",""),"  "," "))</f>
        <v>Caseville</v>
      </c>
    </row>
    <row r="970" spans="1:8" ht="15.75" thickBot="1" x14ac:dyDescent="0.3">
      <c r="A970">
        <f t="shared" si="16"/>
        <v>32</v>
      </c>
      <c r="B970" s="10">
        <v>2016</v>
      </c>
      <c r="C970" s="3" t="s">
        <v>879</v>
      </c>
      <c r="D970" s="3" t="s">
        <v>9</v>
      </c>
      <c r="E970" s="4" t="s">
        <v>7</v>
      </c>
      <c r="F970" s="11" t="s">
        <v>8</v>
      </c>
      <c r="H970" t="str">
        <f>TRIM(SUBSTITUTE(PROPER(C970)&amp;" "&amp;IF(OR(D970="County",D970="Township",D970="Village",D970="Charter Township"),D970,"")&amp;IF(D970="Township"," "&amp;"("&amp;VLOOKUP(A970,counties,3,0)&amp;")",""),"  "," "))</f>
        <v>Caseville Township (Huron County)</v>
      </c>
    </row>
    <row r="971" spans="1:8" ht="15.75" thickBot="1" x14ac:dyDescent="0.3">
      <c r="A971">
        <f t="shared" si="16"/>
        <v>32</v>
      </c>
      <c r="B971" s="8">
        <v>2016</v>
      </c>
      <c r="C971" s="1" t="s">
        <v>880</v>
      </c>
      <c r="D971" s="1" t="s">
        <v>17</v>
      </c>
      <c r="E971" s="2" t="s">
        <v>7</v>
      </c>
      <c r="F971" s="9" t="s">
        <v>19</v>
      </c>
      <c r="H971" t="str">
        <f>TRIM(SUBSTITUTE(PROPER(C971)&amp;" "&amp;IF(OR(D971="County",D971="Township",D971="Village",D971="Charter Township"),D971,"")&amp;IF(D971="Township"," "&amp;"("&amp;VLOOKUP(A971,counties,3,0)&amp;")",""),"  "," "))</f>
        <v>Caseville Area Fire Protection Association</v>
      </c>
    </row>
    <row r="972" spans="1:8" ht="15.75" thickBot="1" x14ac:dyDescent="0.3">
      <c r="A972">
        <f t="shared" si="16"/>
        <v>32</v>
      </c>
      <c r="B972" s="10">
        <v>2016</v>
      </c>
      <c r="C972" s="3" t="s">
        <v>881</v>
      </c>
      <c r="D972" s="3" t="s">
        <v>17</v>
      </c>
      <c r="E972" s="4" t="s">
        <v>7</v>
      </c>
      <c r="F972" s="11" t="s">
        <v>19</v>
      </c>
      <c r="H972" t="str">
        <f>TRIM(SUBSTITUTE(PROPER(C972)&amp;" "&amp;IF(OR(D972="County",D972="Township",D972="Village",D972="Charter Township"),D972,"")&amp;IF(D972="Township"," "&amp;"("&amp;VLOOKUP(A972,counties,3,0)&amp;")",""),"  "," "))</f>
        <v>Caseville Harbor Commission</v>
      </c>
    </row>
    <row r="973" spans="1:8" ht="15.75" thickBot="1" x14ac:dyDescent="0.3">
      <c r="A973">
        <f t="shared" si="16"/>
        <v>32</v>
      </c>
      <c r="B973" s="8">
        <v>2016</v>
      </c>
      <c r="C973" s="1" t="s">
        <v>882</v>
      </c>
      <c r="D973" s="1" t="s">
        <v>17</v>
      </c>
      <c r="E973" s="2" t="s">
        <v>7</v>
      </c>
      <c r="F973" s="9" t="s">
        <v>8</v>
      </c>
      <c r="H973" t="str">
        <f>TRIM(SUBSTITUTE(PROPER(C973)&amp;" "&amp;IF(OR(D973="County",D973="Township",D973="Village",D973="Charter Township"),D973,"")&amp;IF(D973="Township"," "&amp;"("&amp;VLOOKUP(A973,counties,3,0)&amp;")",""),"  "," "))</f>
        <v>Caseville Village Housing Commission</v>
      </c>
    </row>
    <row r="974" spans="1:8" ht="15.75" thickBot="1" x14ac:dyDescent="0.3">
      <c r="A974">
        <f t="shared" si="16"/>
        <v>32</v>
      </c>
      <c r="B974" s="10">
        <v>2016</v>
      </c>
      <c r="C974" s="3" t="s">
        <v>883</v>
      </c>
      <c r="D974" s="3" t="s">
        <v>17</v>
      </c>
      <c r="E974" s="4" t="s">
        <v>7</v>
      </c>
      <c r="F974" s="11" t="s">
        <v>8</v>
      </c>
      <c r="H974" t="str">
        <f>TRIM(SUBSTITUTE(PROPER(C974)&amp;" "&amp;IF(OR(D974="County",D974="Township",D974="Village",D974="Charter Township"),D974,"")&amp;IF(D974="Township"," "&amp;"("&amp;VLOOKUP(A974,counties,3,0)&amp;")",""),"  "," "))</f>
        <v>Central Huron Ambulance Service Assoc</v>
      </c>
    </row>
    <row r="975" spans="1:8" ht="15.75" thickBot="1" x14ac:dyDescent="0.3">
      <c r="A975">
        <f t="shared" si="16"/>
        <v>32</v>
      </c>
      <c r="B975" s="8">
        <v>2016</v>
      </c>
      <c r="C975" s="1" t="s">
        <v>418</v>
      </c>
      <c r="D975" s="1" t="s">
        <v>9</v>
      </c>
      <c r="E975" s="2" t="s">
        <v>7</v>
      </c>
      <c r="F975" s="9" t="s">
        <v>8</v>
      </c>
      <c r="H975" t="str">
        <f>TRIM(SUBSTITUTE(PROPER(C975)&amp;" "&amp;IF(OR(D975="County",D975="Township",D975="Village",D975="Charter Township"),D975,"")&amp;IF(D975="Township"," "&amp;"("&amp;VLOOKUP(A975,counties,3,0)&amp;")",""),"  "," "))</f>
        <v>Chandler Township (Huron County)</v>
      </c>
    </row>
    <row r="976" spans="1:8" ht="15.75" thickBot="1" x14ac:dyDescent="0.3">
      <c r="A976">
        <f t="shared" si="16"/>
        <v>32</v>
      </c>
      <c r="B976" s="10">
        <v>2016</v>
      </c>
      <c r="C976" s="3" t="s">
        <v>884</v>
      </c>
      <c r="D976" s="3" t="s">
        <v>9</v>
      </c>
      <c r="E976" s="4" t="s">
        <v>7</v>
      </c>
      <c r="F976" s="11" t="s">
        <v>8</v>
      </c>
      <c r="H976" t="str">
        <f>TRIM(SUBSTITUTE(PROPER(C976)&amp;" "&amp;IF(OR(D976="County",D976="Township",D976="Village",D976="Charter Township"),D976,"")&amp;IF(D976="Township"," "&amp;"("&amp;VLOOKUP(A976,counties,3,0)&amp;")",""),"  "," "))</f>
        <v>Colfax Township (Huron County)</v>
      </c>
    </row>
    <row r="977" spans="1:8" ht="15.75" thickBot="1" x14ac:dyDescent="0.3">
      <c r="A977">
        <f t="shared" si="16"/>
        <v>32</v>
      </c>
      <c r="B977" s="8">
        <v>2016</v>
      </c>
      <c r="C977" s="1" t="s">
        <v>885</v>
      </c>
      <c r="D977" s="1" t="s">
        <v>17</v>
      </c>
      <c r="E977" s="2" t="s">
        <v>7</v>
      </c>
      <c r="F977" s="9" t="s">
        <v>8</v>
      </c>
      <c r="H977" t="str">
        <f>TRIM(SUBSTITUTE(PROPER(C977)&amp;" "&amp;IF(OR(D977="County",D977="Township",D977="Village",D977="Charter Township"),D977,"")&amp;IF(D977="Township"," "&amp;"("&amp;VLOOKUP(A977,counties,3,0)&amp;")",""),"  "," "))</f>
        <v>Eastern Huron Ambulance Service Association</v>
      </c>
    </row>
    <row r="978" spans="1:8" ht="15.75" thickBot="1" x14ac:dyDescent="0.3">
      <c r="A978">
        <f t="shared" si="16"/>
        <v>32</v>
      </c>
      <c r="B978" s="10">
        <v>2016</v>
      </c>
      <c r="C978" s="3" t="s">
        <v>886</v>
      </c>
      <c r="D978" s="3" t="s">
        <v>21</v>
      </c>
      <c r="E978" s="4" t="s">
        <v>7</v>
      </c>
      <c r="F978" s="11" t="s">
        <v>8</v>
      </c>
      <c r="H978" t="str">
        <f>TRIM(SUBSTITUTE(PROPER(C978)&amp;" "&amp;IF(OR(D978="County",D978="Township",D978="Village",D978="Charter Township"),D978,"")&amp;IF(D978="Township"," "&amp;"("&amp;VLOOKUP(A978,counties,3,0)&amp;")",""),"  "," "))</f>
        <v>Elkton Village</v>
      </c>
    </row>
    <row r="979" spans="1:8" ht="15.75" thickBot="1" x14ac:dyDescent="0.3">
      <c r="A979">
        <f t="shared" si="16"/>
        <v>32</v>
      </c>
      <c r="B979" s="8">
        <v>2016</v>
      </c>
      <c r="C979" s="1" t="s">
        <v>887</v>
      </c>
      <c r="D979" s="1" t="s">
        <v>9</v>
      </c>
      <c r="E979" s="2" t="s">
        <v>7</v>
      </c>
      <c r="F979" s="9" t="s">
        <v>8</v>
      </c>
      <c r="H979" t="str">
        <f>TRIM(SUBSTITUTE(PROPER(C979)&amp;" "&amp;IF(OR(D979="County",D979="Township",D979="Village",D979="Charter Township"),D979,"")&amp;IF(D979="Township"," "&amp;"("&amp;VLOOKUP(A979,counties,3,0)&amp;")",""),"  "," "))</f>
        <v>Fairhaven Township Township (Huron County)</v>
      </c>
    </row>
    <row r="980" spans="1:8" ht="15.75" thickBot="1" x14ac:dyDescent="0.3">
      <c r="A980">
        <f t="shared" si="16"/>
        <v>32</v>
      </c>
      <c r="B980" s="10">
        <v>2016</v>
      </c>
      <c r="C980" s="3" t="s">
        <v>888</v>
      </c>
      <c r="D980" s="3" t="s">
        <v>9</v>
      </c>
      <c r="E980" s="4" t="s">
        <v>7</v>
      </c>
      <c r="F980" s="11" t="s">
        <v>8</v>
      </c>
      <c r="H980" t="str">
        <f>TRIM(SUBSTITUTE(PROPER(C980)&amp;" "&amp;IF(OR(D980="County",D980="Township",D980="Village",D980="Charter Township"),D980,"")&amp;IF(D980="Township"," "&amp;"("&amp;VLOOKUP(A980,counties,3,0)&amp;")",""),"  "," "))</f>
        <v>Gore Township (Huron County)</v>
      </c>
    </row>
    <row r="981" spans="1:8" ht="15.75" thickBot="1" x14ac:dyDescent="0.3">
      <c r="A981">
        <f t="shared" si="16"/>
        <v>32</v>
      </c>
      <c r="B981" s="8">
        <v>2016</v>
      </c>
      <c r="C981" s="1" t="s">
        <v>449</v>
      </c>
      <c r="D981" s="1" t="s">
        <v>9</v>
      </c>
      <c r="E981" s="2" t="s">
        <v>7</v>
      </c>
      <c r="F981" s="9" t="s">
        <v>8</v>
      </c>
      <c r="H981" t="str">
        <f>TRIM(SUBSTITUTE(PROPER(C981)&amp;" "&amp;IF(OR(D981="County",D981="Township",D981="Village",D981="Charter Township"),D981,"")&amp;IF(D981="Township"," "&amp;"("&amp;VLOOKUP(A981,counties,3,0)&amp;")",""),"  "," "))</f>
        <v>Grant Township (Huron County)</v>
      </c>
    </row>
    <row r="982" spans="1:8" ht="15.75" thickBot="1" x14ac:dyDescent="0.3">
      <c r="A982">
        <f t="shared" si="16"/>
        <v>32</v>
      </c>
      <c r="B982" s="10">
        <v>2016</v>
      </c>
      <c r="C982" s="3" t="s">
        <v>889</v>
      </c>
      <c r="D982" s="3" t="s">
        <v>15</v>
      </c>
      <c r="E982" s="4" t="s">
        <v>7</v>
      </c>
      <c r="F982" s="11" t="s">
        <v>8</v>
      </c>
      <c r="H982" t="str">
        <f>TRIM(SUBSTITUTE(PROPER(C982)&amp;" "&amp;IF(OR(D982="County",D982="Township",D982="Village",D982="Charter Township"),D982,"")&amp;IF(D982="Township"," "&amp;"("&amp;VLOOKUP(A982,counties,3,0)&amp;")",""),"  "," "))</f>
        <v>Harbor Beach</v>
      </c>
    </row>
    <row r="983" spans="1:8" ht="15.75" thickBot="1" x14ac:dyDescent="0.3">
      <c r="A983">
        <f t="shared" si="16"/>
        <v>32</v>
      </c>
      <c r="B983" s="8">
        <v>2016</v>
      </c>
      <c r="C983" s="1" t="s">
        <v>890</v>
      </c>
      <c r="D983" s="1" t="s">
        <v>42</v>
      </c>
      <c r="E983" s="2" t="s">
        <v>7</v>
      </c>
      <c r="F983" s="9" t="s">
        <v>8</v>
      </c>
      <c r="H983" t="str">
        <f>TRIM(SUBSTITUTE(PROPER(C983)&amp;" "&amp;IF(OR(D983="County",D983="Township",D983="Village",D983="Charter Township"),D983,"")&amp;IF(D983="Township"," "&amp;"("&amp;VLOOKUP(A983,counties,3,0)&amp;")",""),"  "," "))</f>
        <v>Harbor Beach Area District Library</v>
      </c>
    </row>
    <row r="984" spans="1:8" ht="15.75" thickBot="1" x14ac:dyDescent="0.3">
      <c r="A984">
        <f t="shared" si="16"/>
        <v>32</v>
      </c>
      <c r="B984" s="10">
        <v>2016</v>
      </c>
      <c r="C984" s="3" t="s">
        <v>891</v>
      </c>
      <c r="D984" s="3" t="s">
        <v>17</v>
      </c>
      <c r="E984" s="4" t="s">
        <v>7</v>
      </c>
      <c r="F984" s="11" t="s">
        <v>8</v>
      </c>
      <c r="H984" t="str">
        <f>TRIM(SUBSTITUTE(PROPER(C984)&amp;" "&amp;IF(OR(D984="County",D984="Township",D984="Village",D984="Charter Township"),D984,"")&amp;IF(D984="Township"," "&amp;"("&amp;VLOOKUP(A984,counties,3,0)&amp;")",""),"  "," "))</f>
        <v>Harbor Beach Community Fire Protection Assoc</v>
      </c>
    </row>
    <row r="985" spans="1:8" ht="15.75" thickBot="1" x14ac:dyDescent="0.3">
      <c r="A985">
        <f t="shared" si="16"/>
        <v>32</v>
      </c>
      <c r="B985" s="8">
        <v>2016</v>
      </c>
      <c r="C985" s="1" t="s">
        <v>892</v>
      </c>
      <c r="D985" s="1" t="s">
        <v>6</v>
      </c>
      <c r="E985" s="2" t="s">
        <v>7</v>
      </c>
      <c r="F985" s="9" t="s">
        <v>8</v>
      </c>
      <c r="H985" t="str">
        <f>TRIM(SUBSTITUTE(PROPER(C985)&amp;" "&amp;IF(OR(D985="County",D985="Township",D985="Village",D985="Charter Township"),D985,"")&amp;IF(D985="Township"," "&amp;"("&amp;VLOOKUP(A985,counties,3,0)&amp;")",""),"  "," "))</f>
        <v>Huron County</v>
      </c>
    </row>
    <row r="986" spans="1:8" ht="15.75" thickBot="1" x14ac:dyDescent="0.3">
      <c r="A986">
        <f t="shared" si="16"/>
        <v>32</v>
      </c>
      <c r="B986" s="10">
        <v>2016</v>
      </c>
      <c r="C986" s="3" t="s">
        <v>893</v>
      </c>
      <c r="D986" s="3" t="s">
        <v>17</v>
      </c>
      <c r="E986" s="4" t="s">
        <v>7</v>
      </c>
      <c r="F986" s="11" t="s">
        <v>8</v>
      </c>
      <c r="H986" t="str">
        <f>TRIM(SUBSTITUTE(PROPER(C986)&amp;" "&amp;IF(OR(D986="County",D986="Township",D986="Village",D986="Charter Township"),D986,"")&amp;IF(D986="Township"," "&amp;"("&amp;VLOOKUP(A986,counties,3,0)&amp;")",""),"  "," "))</f>
        <v>Huron Behavioral Health</v>
      </c>
    </row>
    <row r="987" spans="1:8" ht="15.75" thickBot="1" x14ac:dyDescent="0.3">
      <c r="A987">
        <f t="shared" si="16"/>
        <v>32</v>
      </c>
      <c r="B987" s="8">
        <v>2016</v>
      </c>
      <c r="C987" s="1" t="s">
        <v>894</v>
      </c>
      <c r="D987" s="1" t="s">
        <v>17</v>
      </c>
      <c r="E987" s="2" t="s">
        <v>7</v>
      </c>
      <c r="F987" s="9" t="s">
        <v>8</v>
      </c>
      <c r="H987" t="str">
        <f>TRIM(SUBSTITUTE(PROPER(C987)&amp;" "&amp;IF(OR(D987="County",D987="Township",D987="Village",D987="Charter Township"),D987,"")&amp;IF(D987="Township"," "&amp;"("&amp;VLOOKUP(A987,counties,3,0)&amp;")",""),"  "," "))</f>
        <v>Huron Conservation District</v>
      </c>
    </row>
    <row r="988" spans="1:8" ht="15.75" thickBot="1" x14ac:dyDescent="0.3">
      <c r="A988">
        <f t="shared" si="16"/>
        <v>32</v>
      </c>
      <c r="B988" s="10">
        <v>2016</v>
      </c>
      <c r="C988" s="3" t="s">
        <v>895</v>
      </c>
      <c r="D988" s="3" t="s">
        <v>17</v>
      </c>
      <c r="E988" s="4" t="s">
        <v>7</v>
      </c>
      <c r="F988" s="11" t="s">
        <v>8</v>
      </c>
      <c r="H988" t="str">
        <f>TRIM(SUBSTITUTE(PROPER(C988)&amp;" "&amp;IF(OR(D988="County",D988="Township",D988="Village",D988="Charter Township"),D988,"")&amp;IF(D988="Township"," "&amp;"("&amp;VLOOKUP(A988,counties,3,0)&amp;")",""),"  "," "))</f>
        <v>Huron County Airport</v>
      </c>
    </row>
    <row r="989" spans="1:8" ht="15.75" thickBot="1" x14ac:dyDescent="0.3">
      <c r="A989">
        <f t="shared" si="16"/>
        <v>32</v>
      </c>
      <c r="B989" s="8">
        <v>2016</v>
      </c>
      <c r="C989" s="1" t="s">
        <v>896</v>
      </c>
      <c r="D989" s="1" t="s">
        <v>17</v>
      </c>
      <c r="E989" s="2" t="s">
        <v>7</v>
      </c>
      <c r="F989" s="9" t="s">
        <v>8</v>
      </c>
      <c r="H989" t="str">
        <f>TRIM(SUBSTITUTE(PROPER(C989)&amp;" "&amp;IF(OR(D989="County",D989="Township",D989="Village",D989="Charter Township"),D989,"")&amp;IF(D989="Township"," "&amp;"("&amp;VLOOKUP(A989,counties,3,0)&amp;")",""),"  "," "))</f>
        <v>Huron County Drain Funds</v>
      </c>
    </row>
    <row r="990" spans="1:8" ht="15.75" thickBot="1" x14ac:dyDescent="0.3">
      <c r="A990">
        <f t="shared" si="16"/>
        <v>32</v>
      </c>
      <c r="B990" s="10">
        <v>2016</v>
      </c>
      <c r="C990" s="3" t="s">
        <v>897</v>
      </c>
      <c r="D990" s="3" t="s">
        <v>17</v>
      </c>
      <c r="E990" s="4" t="s">
        <v>7</v>
      </c>
      <c r="F990" s="11" t="s">
        <v>8</v>
      </c>
      <c r="H990" t="str">
        <f>TRIM(SUBSTITUTE(PROPER(C990)&amp;" "&amp;IF(OR(D990="County",D990="Township",D990="Village",D990="Charter Township"),D990,"")&amp;IF(D990="Township"," "&amp;"("&amp;VLOOKUP(A990,counties,3,0)&amp;")",""),"  "," "))</f>
        <v>Huron County Parks</v>
      </c>
    </row>
    <row r="991" spans="1:8" ht="15.75" thickBot="1" x14ac:dyDescent="0.3">
      <c r="A991">
        <f t="shared" si="16"/>
        <v>32</v>
      </c>
      <c r="B991" s="8">
        <v>2016</v>
      </c>
      <c r="C991" s="1" t="s">
        <v>898</v>
      </c>
      <c r="D991" s="1" t="s">
        <v>11</v>
      </c>
      <c r="E991" s="2" t="s">
        <v>7</v>
      </c>
      <c r="F991" s="9" t="s">
        <v>8</v>
      </c>
      <c r="H991" t="str">
        <f>TRIM(SUBSTITUTE(PROPER(C991)&amp;" "&amp;IF(OR(D991="County",D991="Township",D991="Village",D991="Charter Township"),D991,"")&amp;IF(D991="Township"," "&amp;"("&amp;VLOOKUP(A991,counties,3,0)&amp;")",""),"  "," "))</f>
        <v>Huron County Road Commission</v>
      </c>
    </row>
    <row r="992" spans="1:8" ht="15.75" thickBot="1" x14ac:dyDescent="0.3">
      <c r="A992">
        <f t="shared" si="16"/>
        <v>32</v>
      </c>
      <c r="B992" s="10">
        <v>2016</v>
      </c>
      <c r="C992" s="3" t="s">
        <v>899</v>
      </c>
      <c r="D992" s="3" t="s">
        <v>17</v>
      </c>
      <c r="E992" s="4" t="s">
        <v>7</v>
      </c>
      <c r="F992" s="11" t="s">
        <v>8</v>
      </c>
      <c r="H992" t="str">
        <f>TRIM(SUBSTITUTE(PROPER(C992)&amp;" "&amp;IF(OR(D992="County",D992="Township",D992="Village",D992="Charter Township"),D992,"")&amp;IF(D992="Township"," "&amp;"("&amp;VLOOKUP(A992,counties,3,0)&amp;")",""),"  "," "))</f>
        <v>Huron County Transit Funds</v>
      </c>
    </row>
    <row r="993" spans="1:8" ht="15.75" thickBot="1" x14ac:dyDescent="0.3">
      <c r="A993">
        <f t="shared" si="16"/>
        <v>32</v>
      </c>
      <c r="B993" s="8">
        <v>2016</v>
      </c>
      <c r="C993" s="1" t="s">
        <v>900</v>
      </c>
      <c r="D993" s="1" t="s">
        <v>17</v>
      </c>
      <c r="E993" s="2" t="s">
        <v>7</v>
      </c>
      <c r="F993" s="9" t="s">
        <v>8</v>
      </c>
      <c r="H993" t="str">
        <f>TRIM(SUBSTITUTE(PROPER(C993)&amp;" "&amp;IF(OR(D993="County",D993="Township",D993="Village",D993="Charter Township"),D993,"")&amp;IF(D993="Township"," "&amp;"("&amp;VLOOKUP(A993,counties,3,0)&amp;")",""),"  "," "))</f>
        <v>Huron Regional Water Authority</v>
      </c>
    </row>
    <row r="994" spans="1:8" ht="15.75" thickBot="1" x14ac:dyDescent="0.3">
      <c r="A994">
        <f t="shared" si="16"/>
        <v>32</v>
      </c>
      <c r="B994" s="10">
        <v>2016</v>
      </c>
      <c r="C994" s="3" t="s">
        <v>901</v>
      </c>
      <c r="D994" s="3" t="s">
        <v>21</v>
      </c>
      <c r="E994" s="4" t="s">
        <v>7</v>
      </c>
      <c r="F994" s="11" t="s">
        <v>19</v>
      </c>
      <c r="H994" t="str">
        <f>TRIM(SUBSTITUTE(PROPER(C994)&amp;" "&amp;IF(OR(D994="County",D994="Township",D994="Village",D994="Charter Township"),D994,"")&amp;IF(D994="Township"," "&amp;"("&amp;VLOOKUP(A994,counties,3,0)&amp;")",""),"  "," "))</f>
        <v>Kinde Village</v>
      </c>
    </row>
    <row r="995" spans="1:8" ht="15.75" thickBot="1" x14ac:dyDescent="0.3">
      <c r="A995">
        <f t="shared" si="16"/>
        <v>32</v>
      </c>
      <c r="B995" s="8">
        <v>2016</v>
      </c>
      <c r="C995" s="1" t="s">
        <v>902</v>
      </c>
      <c r="D995" s="1" t="s">
        <v>17</v>
      </c>
      <c r="E995" s="2" t="s">
        <v>7</v>
      </c>
      <c r="F995" s="9" t="s">
        <v>8</v>
      </c>
      <c r="H995" t="str">
        <f>TRIM(SUBSTITUTE(PROPER(C995)&amp;" "&amp;IF(OR(D995="County",D995="Township",D995="Village",D995="Charter Township"),D995,"")&amp;IF(D995="Township"," "&amp;"("&amp;VLOOKUP(A995,counties,3,0)&amp;")",""),"  "," "))</f>
        <v>Kinde Area Fire Board</v>
      </c>
    </row>
    <row r="996" spans="1:8" ht="15.75" thickBot="1" x14ac:dyDescent="0.3">
      <c r="A996">
        <f t="shared" si="16"/>
        <v>32</v>
      </c>
      <c r="B996" s="10">
        <v>2016</v>
      </c>
      <c r="C996" s="3" t="s">
        <v>240</v>
      </c>
      <c r="D996" s="3" t="s">
        <v>9</v>
      </c>
      <c r="E996" s="4" t="s">
        <v>7</v>
      </c>
      <c r="F996" s="11" t="s">
        <v>8</v>
      </c>
      <c r="H996" t="str">
        <f>TRIM(SUBSTITUTE(PROPER(C996)&amp;" "&amp;IF(OR(D996="County",D996="Township",D996="Village",D996="Charter Township"),D996,"")&amp;IF(D996="Township"," "&amp;"("&amp;VLOOKUP(A996,counties,3,0)&amp;")",""),"  "," "))</f>
        <v>Lake Township (Huron County)</v>
      </c>
    </row>
    <row r="997" spans="1:8" ht="15.75" thickBot="1" x14ac:dyDescent="0.3">
      <c r="A997">
        <f t="shared" si="16"/>
        <v>32</v>
      </c>
      <c r="B997" s="8">
        <v>2016</v>
      </c>
      <c r="C997" s="1" t="s">
        <v>20</v>
      </c>
      <c r="D997" s="1" t="s">
        <v>9</v>
      </c>
      <c r="E997" s="2" t="s">
        <v>7</v>
      </c>
      <c r="F997" s="9" t="s">
        <v>8</v>
      </c>
      <c r="H997" t="str">
        <f>TRIM(SUBSTITUTE(PROPER(C997)&amp;" "&amp;IF(OR(D997="County",D997="Township",D997="Village",D997="Charter Township"),D997,"")&amp;IF(D997="Township"," "&amp;"("&amp;VLOOKUP(A997,counties,3,0)&amp;")",""),"  "," "))</f>
        <v>Lincoln Township (Huron County)</v>
      </c>
    </row>
    <row r="998" spans="1:8" ht="15.75" thickBot="1" x14ac:dyDescent="0.3">
      <c r="A998">
        <f t="shared" si="16"/>
        <v>32</v>
      </c>
      <c r="B998" s="10">
        <v>2016</v>
      </c>
      <c r="C998" s="3" t="s">
        <v>903</v>
      </c>
      <c r="D998" s="3" t="s">
        <v>9</v>
      </c>
      <c r="E998" s="4" t="s">
        <v>7</v>
      </c>
      <c r="F998" s="11" t="s">
        <v>8</v>
      </c>
      <c r="H998" t="str">
        <f>TRIM(SUBSTITUTE(PROPER(C998)&amp;" "&amp;IF(OR(D998="County",D998="Township",D998="Village",D998="Charter Township"),D998,"")&amp;IF(D998="Township"," "&amp;"("&amp;VLOOKUP(A998,counties,3,0)&amp;")",""),"  "," "))</f>
        <v>Paris Township (Huron County)</v>
      </c>
    </row>
    <row r="999" spans="1:8" ht="15.75" thickBot="1" x14ac:dyDescent="0.3">
      <c r="A999">
        <f t="shared" si="16"/>
        <v>32</v>
      </c>
      <c r="B999" s="8">
        <v>2016</v>
      </c>
      <c r="C999" s="1" t="s">
        <v>904</v>
      </c>
      <c r="D999" s="1" t="s">
        <v>21</v>
      </c>
      <c r="E999" s="2" t="s">
        <v>7</v>
      </c>
      <c r="F999" s="9" t="s">
        <v>8</v>
      </c>
      <c r="H999" t="str">
        <f>TRIM(SUBSTITUTE(PROPER(C999)&amp;" "&amp;IF(OR(D999="County",D999="Township",D999="Village",D999="Charter Township"),D999,"")&amp;IF(D999="Township"," "&amp;"("&amp;VLOOKUP(A999,counties,3,0)&amp;")",""),"  "," "))</f>
        <v>Pigeon Village</v>
      </c>
    </row>
    <row r="1000" spans="1:8" ht="15.75" thickBot="1" x14ac:dyDescent="0.3">
      <c r="A1000">
        <f t="shared" si="16"/>
        <v>32</v>
      </c>
      <c r="B1000" s="10">
        <v>2016</v>
      </c>
      <c r="C1000" s="3" t="s">
        <v>905</v>
      </c>
      <c r="D1000" s="3" t="s">
        <v>42</v>
      </c>
      <c r="E1000" s="4" t="s">
        <v>7</v>
      </c>
      <c r="F1000" s="11" t="s">
        <v>8</v>
      </c>
      <c r="H1000" t="str">
        <f>TRIM(SUBSTITUTE(PROPER(C1000)&amp;" "&amp;IF(OR(D1000="County",D1000="Township",D1000="Village",D1000="Charter Township"),D1000,"")&amp;IF(D1000="Township"," "&amp;"("&amp;VLOOKUP(A1000,counties,3,0)&amp;")",""),"  "," "))</f>
        <v>Pigeon District Library</v>
      </c>
    </row>
    <row r="1001" spans="1:8" ht="15.75" thickBot="1" x14ac:dyDescent="0.3">
      <c r="A1001">
        <f t="shared" si="16"/>
        <v>32</v>
      </c>
      <c r="B1001" s="8">
        <v>2016</v>
      </c>
      <c r="C1001" s="1" t="s">
        <v>906</v>
      </c>
      <c r="D1001" s="1" t="s">
        <v>21</v>
      </c>
      <c r="E1001" s="2" t="s">
        <v>7</v>
      </c>
      <c r="F1001" s="9" t="s">
        <v>8</v>
      </c>
      <c r="H1001" t="str">
        <f>TRIM(SUBSTITUTE(PROPER(C1001)&amp;" "&amp;IF(OR(D1001="County",D1001="Township",D1001="Village",D1001="Charter Township"),D1001,"")&amp;IF(D1001="Township"," "&amp;"("&amp;VLOOKUP(A1001,counties,3,0)&amp;")",""),"  "," "))</f>
        <v>Port Austin Village</v>
      </c>
    </row>
    <row r="1002" spans="1:8" ht="15.75" thickBot="1" x14ac:dyDescent="0.3">
      <c r="A1002">
        <f t="shared" si="16"/>
        <v>32</v>
      </c>
      <c r="B1002" s="10">
        <v>2016</v>
      </c>
      <c r="C1002" s="3" t="s">
        <v>907</v>
      </c>
      <c r="D1002" s="3" t="s">
        <v>17</v>
      </c>
      <c r="E1002" s="4" t="s">
        <v>7</v>
      </c>
      <c r="F1002" s="11" t="s">
        <v>8</v>
      </c>
      <c r="H1002" t="str">
        <f>TRIM(SUBSTITUTE(PROPER(C1002)&amp;" "&amp;IF(OR(D1002="County",D1002="Township",D1002="Village",D1002="Charter Township"),D1002,"")&amp;IF(D1002="Township"," "&amp;"("&amp;VLOOKUP(A1002,counties,3,0)&amp;")",""),"  "," "))</f>
        <v>Port Austin Area Sewer And Water Authority</v>
      </c>
    </row>
    <row r="1003" spans="1:8" ht="15.75" thickBot="1" x14ac:dyDescent="0.3">
      <c r="A1003">
        <f t="shared" si="16"/>
        <v>32</v>
      </c>
      <c r="B1003" s="8">
        <v>2016</v>
      </c>
      <c r="C1003" s="1" t="s">
        <v>908</v>
      </c>
      <c r="D1003" s="1" t="s">
        <v>21</v>
      </c>
      <c r="E1003" s="2" t="s">
        <v>7</v>
      </c>
      <c r="F1003" s="9" t="s">
        <v>8</v>
      </c>
      <c r="H1003" t="str">
        <f>TRIM(SUBSTITUTE(PROPER(C1003)&amp;" "&amp;IF(OR(D1003="County",D1003="Township",D1003="Village",D1003="Charter Township"),D1003,"")&amp;IF(D1003="Township"," "&amp;"("&amp;VLOOKUP(A1003,counties,3,0)&amp;")",""),"  "," "))</f>
        <v>Port Hope Village</v>
      </c>
    </row>
    <row r="1004" spans="1:8" ht="15.75" thickBot="1" x14ac:dyDescent="0.3">
      <c r="A1004">
        <f t="shared" si="16"/>
        <v>32</v>
      </c>
      <c r="B1004" s="10">
        <v>2016</v>
      </c>
      <c r="C1004" s="3" t="s">
        <v>909</v>
      </c>
      <c r="D1004" s="3" t="s">
        <v>17</v>
      </c>
      <c r="E1004" s="4" t="s">
        <v>7</v>
      </c>
      <c r="F1004" s="11" t="s">
        <v>19</v>
      </c>
      <c r="H1004" t="str">
        <f>TRIM(SUBSTITUTE(PROPER(C1004)&amp;" "&amp;IF(OR(D1004="County",D1004="Township",D1004="Village",D1004="Charter Township"),D1004,"")&amp;IF(D1004="Township"," "&amp;"("&amp;VLOOKUP(A1004,counties,3,0)&amp;")",""),"  "," "))</f>
        <v>Port Hope-Gore-Rubicon Utility Authority</v>
      </c>
    </row>
    <row r="1005" spans="1:8" ht="15.75" thickBot="1" x14ac:dyDescent="0.3">
      <c r="A1005">
        <f t="shared" si="16"/>
        <v>32</v>
      </c>
      <c r="B1005" s="8">
        <v>2016</v>
      </c>
      <c r="C1005" s="1" t="s">
        <v>910</v>
      </c>
      <c r="D1005" s="1" t="s">
        <v>9</v>
      </c>
      <c r="E1005" s="2" t="s">
        <v>7</v>
      </c>
      <c r="F1005" s="9" t="s">
        <v>8</v>
      </c>
      <c r="H1005" t="str">
        <f>TRIM(SUBSTITUTE(PROPER(C1005)&amp;" "&amp;IF(OR(D1005="County",D1005="Township",D1005="Village",D1005="Charter Township"),D1005,"")&amp;IF(D1005="Township"," "&amp;"("&amp;VLOOKUP(A1005,counties,3,0)&amp;")",""),"  "," "))</f>
        <v>Rubicon Township (Huron County)</v>
      </c>
    </row>
    <row r="1006" spans="1:8" ht="15.75" thickBot="1" x14ac:dyDescent="0.3">
      <c r="A1006">
        <f t="shared" si="16"/>
        <v>32</v>
      </c>
      <c r="B1006" s="10">
        <v>2016</v>
      </c>
      <c r="C1006" s="3" t="s">
        <v>911</v>
      </c>
      <c r="D1006" s="3" t="s">
        <v>9</v>
      </c>
      <c r="E1006" s="4" t="s">
        <v>7</v>
      </c>
      <c r="F1006" s="11" t="s">
        <v>8</v>
      </c>
      <c r="H1006" t="str">
        <f>TRIM(SUBSTITUTE(PROPER(C1006)&amp;" "&amp;IF(OR(D1006="County",D1006="Township",D1006="Village",D1006="Charter Township"),D1006,"")&amp;IF(D1006="Township"," "&amp;"("&amp;VLOOKUP(A1006,counties,3,0)&amp;")",""),"  "," "))</f>
        <v>Sand Beach Township (Huron County)</v>
      </c>
    </row>
    <row r="1007" spans="1:8" ht="15.75" thickBot="1" x14ac:dyDescent="0.3">
      <c r="A1007">
        <f t="shared" si="16"/>
        <v>32</v>
      </c>
      <c r="B1007" s="8">
        <v>2016</v>
      </c>
      <c r="C1007" s="1" t="s">
        <v>912</v>
      </c>
      <c r="D1007" s="1" t="s">
        <v>9</v>
      </c>
      <c r="E1007" s="2" t="s">
        <v>7</v>
      </c>
      <c r="F1007" s="9" t="s">
        <v>8</v>
      </c>
      <c r="H1007" t="str">
        <f>TRIM(SUBSTITUTE(PROPER(C1007)&amp;" "&amp;IF(OR(D1007="County",D1007="Township",D1007="Village",D1007="Charter Township"),D1007,"")&amp;IF(D1007="Township"," "&amp;"("&amp;VLOOKUP(A1007,counties,3,0)&amp;")",""),"  "," "))</f>
        <v>Sebewaing Township (Huron County)</v>
      </c>
    </row>
    <row r="1008" spans="1:8" ht="15.75" thickBot="1" x14ac:dyDescent="0.3">
      <c r="A1008">
        <f t="shared" si="16"/>
        <v>32</v>
      </c>
      <c r="B1008" s="10">
        <v>2016</v>
      </c>
      <c r="C1008" s="3" t="s">
        <v>912</v>
      </c>
      <c r="D1008" s="3" t="s">
        <v>21</v>
      </c>
      <c r="E1008" s="4" t="s">
        <v>7</v>
      </c>
      <c r="F1008" s="11" t="s">
        <v>8</v>
      </c>
      <c r="H1008" t="str">
        <f>TRIM(SUBSTITUTE(PROPER(C1008)&amp;" "&amp;IF(OR(D1008="County",D1008="Township",D1008="Village",D1008="Charter Township"),D1008,"")&amp;IF(D1008="Township"," "&amp;"("&amp;VLOOKUP(A1008,counties,3,0)&amp;")",""),"  "," "))</f>
        <v>Sebewaing Village</v>
      </c>
    </row>
    <row r="1009" spans="1:8" ht="15.75" thickBot="1" x14ac:dyDescent="0.3">
      <c r="A1009">
        <f t="shared" si="16"/>
        <v>32</v>
      </c>
      <c r="B1009" s="8">
        <v>2016</v>
      </c>
      <c r="C1009" s="1" t="s">
        <v>913</v>
      </c>
      <c r="D1009" s="1" t="s">
        <v>17</v>
      </c>
      <c r="E1009" s="2" t="s">
        <v>7</v>
      </c>
      <c r="F1009" s="9" t="s">
        <v>19</v>
      </c>
      <c r="H1009" t="str">
        <f>TRIM(SUBSTITUTE(PROPER(C1009)&amp;" "&amp;IF(OR(D1009="County",D1009="Township",D1009="Village",D1009="Charter Township"),D1009,"")&amp;IF(D1009="Township"," "&amp;"("&amp;VLOOKUP(A1009,counties,3,0)&amp;")",""),"  "," "))</f>
        <v>Sebewaing Harbor Commission</v>
      </c>
    </row>
    <row r="1010" spans="1:8" ht="15.75" thickBot="1" x14ac:dyDescent="0.3">
      <c r="A1010">
        <f t="shared" si="16"/>
        <v>32</v>
      </c>
      <c r="B1010" s="10">
        <v>2016</v>
      </c>
      <c r="C1010" s="3" t="s">
        <v>914</v>
      </c>
      <c r="D1010" s="3" t="s">
        <v>17</v>
      </c>
      <c r="E1010" s="4" t="s">
        <v>7</v>
      </c>
      <c r="F1010" s="11" t="s">
        <v>8</v>
      </c>
      <c r="H1010" t="str">
        <f>TRIM(SUBSTITUTE(PROPER(C1010)&amp;" "&amp;IF(OR(D1010="County",D1010="Township",D1010="Village",D1010="Charter Township"),D1010,"")&amp;IF(D1010="Township"," "&amp;"("&amp;VLOOKUP(A1010,counties,3,0)&amp;")",""),"  "," "))</f>
        <v>Sebewaing Light And Water Department</v>
      </c>
    </row>
    <row r="1011" spans="1:8" ht="15.75" thickBot="1" x14ac:dyDescent="0.3">
      <c r="A1011">
        <f t="shared" si="16"/>
        <v>32</v>
      </c>
      <c r="B1011" s="8">
        <v>2016</v>
      </c>
      <c r="C1011" s="1" t="s">
        <v>374</v>
      </c>
      <c r="D1011" s="1" t="s">
        <v>9</v>
      </c>
      <c r="E1011" s="2" t="s">
        <v>7</v>
      </c>
      <c r="F1011" s="9" t="s">
        <v>8</v>
      </c>
      <c r="H1011" t="str">
        <f>TRIM(SUBSTITUTE(PROPER(C1011)&amp;" "&amp;IF(OR(D1011="County",D1011="Township",D1011="Village",D1011="Charter Township"),D1011,"")&amp;IF(D1011="Township"," "&amp;"("&amp;VLOOKUP(A1011,counties,3,0)&amp;")",""),"  "," "))</f>
        <v>Sheridan Township (Huron County)</v>
      </c>
    </row>
    <row r="1012" spans="1:8" ht="15.75" thickBot="1" x14ac:dyDescent="0.3">
      <c r="A1012">
        <f t="shared" si="16"/>
        <v>32</v>
      </c>
      <c r="B1012" s="10">
        <v>2016</v>
      </c>
      <c r="C1012" s="3" t="s">
        <v>738</v>
      </c>
      <c r="D1012" s="3" t="s">
        <v>9</v>
      </c>
      <c r="E1012" s="4" t="s">
        <v>7</v>
      </c>
      <c r="F1012" s="11" t="s">
        <v>19</v>
      </c>
      <c r="H1012" t="str">
        <f>TRIM(SUBSTITUTE(PROPER(C1012)&amp;" "&amp;IF(OR(D1012="County",D1012="Township",D1012="Village",D1012="Charter Township"),D1012,"")&amp;IF(D1012="Township"," "&amp;"("&amp;VLOOKUP(A1012,counties,3,0)&amp;")",""),"  "," "))</f>
        <v>Sherman Township (Huron County)</v>
      </c>
    </row>
    <row r="1013" spans="1:8" ht="15.75" thickBot="1" x14ac:dyDescent="0.3">
      <c r="A1013">
        <f t="shared" si="16"/>
        <v>32</v>
      </c>
      <c r="B1013" s="8">
        <v>2016</v>
      </c>
      <c r="C1013" s="1" t="s">
        <v>915</v>
      </c>
      <c r="D1013" s="1" t="s">
        <v>9</v>
      </c>
      <c r="E1013" s="2" t="s">
        <v>7</v>
      </c>
      <c r="F1013" s="9" t="s">
        <v>8</v>
      </c>
      <c r="H1013" t="str">
        <f>TRIM(SUBSTITUTE(PROPER(C1013)&amp;" "&amp;IF(OR(D1013="County",D1013="Township",D1013="Village",D1013="Charter Township"),D1013,"")&amp;IF(D1013="Township"," "&amp;"("&amp;VLOOKUP(A1013,counties,3,0)&amp;")",""),"  "," "))</f>
        <v>Sigel Township (Huron County)</v>
      </c>
    </row>
    <row r="1014" spans="1:8" ht="15.75" thickBot="1" x14ac:dyDescent="0.3">
      <c r="A1014">
        <f t="shared" si="16"/>
        <v>32</v>
      </c>
      <c r="B1014" s="10">
        <v>2016</v>
      </c>
      <c r="C1014" s="3" t="s">
        <v>916</v>
      </c>
      <c r="D1014" s="3" t="s">
        <v>21</v>
      </c>
      <c r="E1014" s="4" t="s">
        <v>7</v>
      </c>
      <c r="F1014" s="11" t="s">
        <v>19</v>
      </c>
      <c r="H1014" t="str">
        <f>TRIM(SUBSTITUTE(PROPER(C1014)&amp;" "&amp;IF(OR(D1014="County",D1014="Township",D1014="Village",D1014="Charter Township"),D1014,"")&amp;IF(D1014="Township"," "&amp;"("&amp;VLOOKUP(A1014,counties,3,0)&amp;")",""),"  "," "))</f>
        <v>Ubly Village</v>
      </c>
    </row>
    <row r="1015" spans="1:8" ht="15.75" thickBot="1" x14ac:dyDescent="0.3">
      <c r="A1015">
        <f t="shared" si="16"/>
        <v>32</v>
      </c>
      <c r="B1015" s="8">
        <v>2016</v>
      </c>
      <c r="C1015" s="1" t="s">
        <v>917</v>
      </c>
      <c r="D1015" s="1" t="s">
        <v>9</v>
      </c>
      <c r="E1015" s="2" t="s">
        <v>7</v>
      </c>
      <c r="F1015" s="9" t="s">
        <v>8</v>
      </c>
      <c r="H1015" t="str">
        <f>TRIM(SUBSTITUTE(PROPER(C1015)&amp;" "&amp;IF(OR(D1015="County",D1015="Township",D1015="Village",D1015="Charter Township"),D1015,"")&amp;IF(D1015="Township"," "&amp;"("&amp;VLOOKUP(A1015,counties,3,0)&amp;")",""),"  "," "))</f>
        <v>Verona Township (Huron County)</v>
      </c>
    </row>
    <row r="1016" spans="1:8" ht="15.75" thickBot="1" x14ac:dyDescent="0.3">
      <c r="A1016">
        <f t="shared" si="16"/>
        <v>32</v>
      </c>
      <c r="B1016" s="12">
        <v>2016</v>
      </c>
      <c r="C1016" s="13" t="s">
        <v>918</v>
      </c>
      <c r="D1016" s="13" t="s">
        <v>9</v>
      </c>
      <c r="E1016" s="14" t="s">
        <v>7</v>
      </c>
      <c r="F1016" s="15" t="s">
        <v>8</v>
      </c>
      <c r="H1016" t="str">
        <f>TRIM(SUBSTITUTE(PROPER(C1016)&amp;" "&amp;IF(OR(D1016="County",D1016="Township",D1016="Village",D1016="Charter Township"),D1016,"")&amp;IF(D1016="Township"," "&amp;"("&amp;VLOOKUP(A1016,counties,3,0)&amp;")",""),"  "," "))</f>
        <v>Winsor Township (Huron County)</v>
      </c>
    </row>
    <row r="1017" spans="1:8" ht="16.5" thickTop="1" thickBot="1" x14ac:dyDescent="0.3">
      <c r="A1017">
        <f t="shared" si="16"/>
        <v>33</v>
      </c>
      <c r="B1017" s="5" t="s">
        <v>0</v>
      </c>
      <c r="C1017" s="6" t="s">
        <v>1</v>
      </c>
      <c r="D1017" s="6" t="s">
        <v>2</v>
      </c>
      <c r="E1017" s="6" t="s">
        <v>3</v>
      </c>
      <c r="F1017" s="7" t="s">
        <v>4</v>
      </c>
      <c r="H1017" t="str">
        <f>TRIM(SUBSTITUTE(PROPER(C1017)&amp;" "&amp;IF(OR(D1017="County",D1017="Township",D1017="Village",D1017="Charter Township"),D1017,"")&amp;IF(D1017="Township"," "&amp;"("&amp;VLOOKUP(A1017,counties,3,0)&amp;")",""),"  "," "))</f>
        <v>Municipality</v>
      </c>
    </row>
    <row r="1018" spans="1:8" ht="15.75" thickBot="1" x14ac:dyDescent="0.3">
      <c r="A1018">
        <f t="shared" si="16"/>
        <v>33</v>
      </c>
      <c r="B1018" s="8">
        <v>2016</v>
      </c>
      <c r="C1018" s="1" t="s">
        <v>919</v>
      </c>
      <c r="D1018" s="1" t="s">
        <v>9</v>
      </c>
      <c r="E1018" s="2" t="s">
        <v>7</v>
      </c>
      <c r="F1018" s="9" t="s">
        <v>8</v>
      </c>
      <c r="H1018" t="str">
        <f>TRIM(SUBSTITUTE(PROPER(C1018)&amp;" "&amp;IF(OR(D1018="County",D1018="Township",D1018="Village",D1018="Charter Township"),D1018,"")&amp;IF(D1018="Township"," "&amp;"("&amp;VLOOKUP(A1018,counties,3,0)&amp;")",""),"  "," "))</f>
        <v>Aurelius Township (Ingham County)</v>
      </c>
    </row>
    <row r="1019" spans="1:8" ht="15.75" thickBot="1" x14ac:dyDescent="0.3">
      <c r="A1019">
        <f t="shared" si="16"/>
        <v>33</v>
      </c>
      <c r="B1019" s="10">
        <v>2016</v>
      </c>
      <c r="C1019" s="3" t="s">
        <v>920</v>
      </c>
      <c r="D1019" s="3" t="s">
        <v>9</v>
      </c>
      <c r="E1019" s="4" t="s">
        <v>7</v>
      </c>
      <c r="F1019" s="11" t="s">
        <v>8</v>
      </c>
      <c r="H1019" t="str">
        <f>TRIM(SUBSTITUTE(PROPER(C1019)&amp;" "&amp;IF(OR(D1019="County",D1019="Township",D1019="Village",D1019="Charter Township"),D1019,"")&amp;IF(D1019="Township"," "&amp;"("&amp;VLOOKUP(A1019,counties,3,0)&amp;")",""),"  "," "))</f>
        <v>Bunker Hill Township (Ingham County)</v>
      </c>
    </row>
    <row r="1020" spans="1:8" ht="15.75" thickBot="1" x14ac:dyDescent="0.3">
      <c r="A1020">
        <f t="shared" si="16"/>
        <v>33</v>
      </c>
      <c r="B1020" s="8">
        <v>2016</v>
      </c>
      <c r="C1020" s="1" t="s">
        <v>921</v>
      </c>
      <c r="D1020" s="1" t="s">
        <v>42</v>
      </c>
      <c r="E1020" s="2" t="s">
        <v>7</v>
      </c>
      <c r="F1020" s="9" t="s">
        <v>8</v>
      </c>
      <c r="H1020" t="str">
        <f>TRIM(SUBSTITUTE(PROPER(C1020)&amp;" "&amp;IF(OR(D1020="County",D1020="Township",D1020="Village",D1020="Charter Township"),D1020,"")&amp;IF(D1020="Township"," "&amp;"("&amp;VLOOKUP(A1020,counties,3,0)&amp;")",""),"  "," "))</f>
        <v>Capital Area District Library</v>
      </c>
    </row>
    <row r="1021" spans="1:8" ht="15.75" thickBot="1" x14ac:dyDescent="0.3">
      <c r="A1021">
        <f t="shared" si="16"/>
        <v>33</v>
      </c>
      <c r="B1021" s="10">
        <v>2016</v>
      </c>
      <c r="C1021" s="3" t="s">
        <v>922</v>
      </c>
      <c r="D1021" s="3" t="s">
        <v>17</v>
      </c>
      <c r="E1021" s="4" t="s">
        <v>7</v>
      </c>
      <c r="F1021" s="11" t="s">
        <v>8</v>
      </c>
      <c r="H1021" t="str">
        <f>TRIM(SUBSTITUTE(PROPER(C1021)&amp;" "&amp;IF(OR(D1021="County",D1021="Township",D1021="Village",D1021="Charter Township"),D1021,"")&amp;IF(D1021="Township"," "&amp;"("&amp;VLOOKUP(A1021,counties,3,0)&amp;")",""),"  "," "))</f>
        <v>Capital Area Michigan Works!</v>
      </c>
    </row>
    <row r="1022" spans="1:8" ht="15.75" thickBot="1" x14ac:dyDescent="0.3">
      <c r="A1022">
        <f t="shared" si="16"/>
        <v>33</v>
      </c>
      <c r="B1022" s="8">
        <v>2016</v>
      </c>
      <c r="C1022" s="1" t="s">
        <v>923</v>
      </c>
      <c r="D1022" s="1" t="s">
        <v>17</v>
      </c>
      <c r="E1022" s="2" t="s">
        <v>7</v>
      </c>
      <c r="F1022" s="9" t="s">
        <v>8</v>
      </c>
      <c r="H1022" t="str">
        <f>TRIM(SUBSTITUTE(PROPER(C1022)&amp;" "&amp;IF(OR(D1022="County",D1022="Township",D1022="Village",D1022="Charter Township"),D1022,"")&amp;IF(D1022="Township"," "&amp;"("&amp;VLOOKUP(A1022,counties,3,0)&amp;")",""),"  "," "))</f>
        <v>Capital Area Transportation Authority-Cata</v>
      </c>
    </row>
    <row r="1023" spans="1:8" ht="15.75" thickBot="1" x14ac:dyDescent="0.3">
      <c r="A1023">
        <f t="shared" si="16"/>
        <v>33</v>
      </c>
      <c r="B1023" s="10">
        <v>2016</v>
      </c>
      <c r="C1023" s="3" t="s">
        <v>924</v>
      </c>
      <c r="D1023" s="3" t="s">
        <v>17</v>
      </c>
      <c r="E1023" s="4" t="s">
        <v>7</v>
      </c>
      <c r="F1023" s="11" t="s">
        <v>8</v>
      </c>
      <c r="H1023" t="str">
        <f>TRIM(SUBSTITUTE(PROPER(C1023)&amp;" "&amp;IF(OR(D1023="County",D1023="Township",D1023="Village",D1023="Charter Township"),D1023,"")&amp;IF(D1023="Township"," "&amp;"("&amp;VLOOKUP(A1023,counties,3,0)&amp;")",""),"  "," "))</f>
        <v>Capital Region Airport Authority</v>
      </c>
    </row>
    <row r="1024" spans="1:8" ht="15.75" thickBot="1" x14ac:dyDescent="0.3">
      <c r="A1024">
        <f t="shared" si="16"/>
        <v>33</v>
      </c>
      <c r="B1024" s="8">
        <v>2016</v>
      </c>
      <c r="C1024" s="1" t="s">
        <v>925</v>
      </c>
      <c r="D1024" s="1" t="s">
        <v>17</v>
      </c>
      <c r="E1024" s="2" t="s">
        <v>7</v>
      </c>
      <c r="F1024" s="9" t="s">
        <v>8</v>
      </c>
      <c r="H1024" t="str">
        <f>TRIM(SUBSTITUTE(PROPER(C1024)&amp;" "&amp;IF(OR(D1024="County",D1024="Township",D1024="Village",D1024="Charter Township"),D1024,"")&amp;IF(D1024="Township"," "&amp;"("&amp;VLOOKUP(A1024,counties,3,0)&amp;")",""),"  "," "))</f>
        <v>City Of Lansing Building Authority</v>
      </c>
    </row>
    <row r="1025" spans="1:8" ht="15.75" thickBot="1" x14ac:dyDescent="0.3">
      <c r="A1025">
        <f t="shared" si="16"/>
        <v>33</v>
      </c>
      <c r="B1025" s="10">
        <v>2016</v>
      </c>
      <c r="C1025" s="3" t="s">
        <v>926</v>
      </c>
      <c r="D1025" s="3" t="s">
        <v>9</v>
      </c>
      <c r="E1025" s="4" t="s">
        <v>7</v>
      </c>
      <c r="F1025" s="11" t="s">
        <v>8</v>
      </c>
      <c r="H1025" t="str">
        <f>TRIM(SUBSTITUTE(PROPER(C1025)&amp;" "&amp;IF(OR(D1025="County",D1025="Township",D1025="Village",D1025="Charter Township"),D1025,"")&amp;IF(D1025="Township"," "&amp;"("&amp;VLOOKUP(A1025,counties,3,0)&amp;")",""),"  "," "))</f>
        <v>Delhi Charter Township (Ingham County)</v>
      </c>
    </row>
    <row r="1026" spans="1:8" ht="15.75" thickBot="1" x14ac:dyDescent="0.3">
      <c r="A1026">
        <f t="shared" si="16"/>
        <v>33</v>
      </c>
      <c r="B1026" s="8">
        <v>2016</v>
      </c>
      <c r="C1026" s="1" t="s">
        <v>927</v>
      </c>
      <c r="D1026" s="1" t="s">
        <v>15</v>
      </c>
      <c r="E1026" s="2" t="s">
        <v>7</v>
      </c>
      <c r="F1026" s="9" t="s">
        <v>8</v>
      </c>
      <c r="H1026" t="str">
        <f>TRIM(SUBSTITUTE(PROPER(C1026)&amp;" "&amp;IF(OR(D1026="County",D1026="Township",D1026="Village",D1026="Charter Township"),D1026,"")&amp;IF(D1026="Township"," "&amp;"("&amp;VLOOKUP(A1026,counties,3,0)&amp;")",""),"  "," "))</f>
        <v>East Lansing</v>
      </c>
    </row>
    <row r="1027" spans="1:8" ht="15.75" thickBot="1" x14ac:dyDescent="0.3">
      <c r="A1027">
        <f t="shared" ref="A1027:A1090" si="17">IF(B1027="Year",A1026+1,A1026)</f>
        <v>33</v>
      </c>
      <c r="B1027" s="10">
        <v>2016</v>
      </c>
      <c r="C1027" s="3" t="s">
        <v>928</v>
      </c>
      <c r="D1027" s="3" t="s">
        <v>17</v>
      </c>
      <c r="E1027" s="4" t="s">
        <v>7</v>
      </c>
      <c r="F1027" s="11" t="s">
        <v>8</v>
      </c>
      <c r="H1027" t="str">
        <f>TRIM(SUBSTITUTE(PROPER(C1027)&amp;" "&amp;IF(OR(D1027="County",D1027="Township",D1027="Village",D1027="Charter Township"),D1027,"")&amp;IF(D1027="Township"," "&amp;"("&amp;VLOOKUP(A1027,counties,3,0)&amp;")",""),"  "," "))</f>
        <v>East Lansing-Meridian Water &amp; Sewer Authority</v>
      </c>
    </row>
    <row r="1028" spans="1:8" ht="15.75" thickBot="1" x14ac:dyDescent="0.3">
      <c r="A1028">
        <f t="shared" si="17"/>
        <v>33</v>
      </c>
      <c r="B1028" s="8">
        <v>2016</v>
      </c>
      <c r="C1028" s="1" t="s">
        <v>929</v>
      </c>
      <c r="D1028" s="1" t="s">
        <v>6</v>
      </c>
      <c r="E1028" s="2" t="s">
        <v>7</v>
      </c>
      <c r="F1028" s="9" t="s">
        <v>8</v>
      </c>
      <c r="H1028" t="str">
        <f>TRIM(SUBSTITUTE(PROPER(C1028)&amp;" "&amp;IF(OR(D1028="County",D1028="Township",D1028="Village",D1028="Charter Township"),D1028,"")&amp;IF(D1028="Township"," "&amp;"("&amp;VLOOKUP(A1028,counties,3,0)&amp;")",""),"  "," "))</f>
        <v>Ingham County</v>
      </c>
    </row>
    <row r="1029" spans="1:8" ht="15.75" thickBot="1" x14ac:dyDescent="0.3">
      <c r="A1029">
        <f t="shared" si="17"/>
        <v>33</v>
      </c>
      <c r="B1029" s="10">
        <v>2016</v>
      </c>
      <c r="C1029" s="3" t="s">
        <v>930</v>
      </c>
      <c r="D1029" s="3" t="s">
        <v>17</v>
      </c>
      <c r="E1029" s="4" t="s">
        <v>7</v>
      </c>
      <c r="F1029" s="11" t="s">
        <v>8</v>
      </c>
      <c r="H1029" t="str">
        <f>TRIM(SUBSTITUTE(PROPER(C1029)&amp;" "&amp;IF(OR(D1029="County",D1029="Township",D1029="Village",D1029="Charter Township"),D1029,"")&amp;IF(D1029="Township"," "&amp;"("&amp;VLOOKUP(A1029,counties,3,0)&amp;")",""),"  "," "))</f>
        <v>Ingham County Housing Commission</v>
      </c>
    </row>
    <row r="1030" spans="1:8" ht="15.75" thickBot="1" x14ac:dyDescent="0.3">
      <c r="A1030">
        <f t="shared" si="17"/>
        <v>33</v>
      </c>
      <c r="B1030" s="8">
        <v>2016</v>
      </c>
      <c r="C1030" s="1" t="s">
        <v>931</v>
      </c>
      <c r="D1030" s="1" t="s">
        <v>17</v>
      </c>
      <c r="E1030" s="2" t="s">
        <v>7</v>
      </c>
      <c r="F1030" s="9" t="s">
        <v>8</v>
      </c>
      <c r="H1030" t="str">
        <f>TRIM(SUBSTITUTE(PROPER(C1030)&amp;" "&amp;IF(OR(D1030="County",D1030="Township",D1030="Village",D1030="Charter Township"),D1030,"")&amp;IF(D1030="Township"," "&amp;"("&amp;VLOOKUP(A1030,counties,3,0)&amp;")",""),"  "," "))</f>
        <v>Ingham County Land Bank Fast Track Authority</v>
      </c>
    </row>
    <row r="1031" spans="1:8" ht="15.75" thickBot="1" x14ac:dyDescent="0.3">
      <c r="A1031">
        <f t="shared" si="17"/>
        <v>33</v>
      </c>
      <c r="B1031" s="10">
        <v>2016</v>
      </c>
      <c r="C1031" s="3" t="s">
        <v>932</v>
      </c>
      <c r="D1031" s="3" t="s">
        <v>17</v>
      </c>
      <c r="E1031" s="4" t="s">
        <v>7</v>
      </c>
      <c r="F1031" s="11" t="s">
        <v>8</v>
      </c>
      <c r="H1031" t="str">
        <f>TRIM(SUBSTITUTE(PROPER(C1031)&amp;" "&amp;IF(OR(D1031="County",D1031="Township",D1031="Village",D1031="Charter Township"),D1031,"")&amp;IF(D1031="Township"," "&amp;"("&amp;VLOOKUP(A1031,counties,3,0)&amp;")",""),"  "," "))</f>
        <v>Ingham County Medical Care Facility</v>
      </c>
    </row>
    <row r="1032" spans="1:8" ht="15.75" thickBot="1" x14ac:dyDescent="0.3">
      <c r="A1032">
        <f t="shared" si="17"/>
        <v>33</v>
      </c>
      <c r="B1032" s="8">
        <v>2016</v>
      </c>
      <c r="C1032" s="1" t="s">
        <v>933</v>
      </c>
      <c r="D1032" s="1" t="s">
        <v>15</v>
      </c>
      <c r="E1032" s="2" t="s">
        <v>7</v>
      </c>
      <c r="F1032" s="9" t="s">
        <v>8</v>
      </c>
      <c r="H1032" t="str">
        <f>TRIM(SUBSTITUTE(PROPER(C1032)&amp;" "&amp;IF(OR(D1032="County",D1032="Township",D1032="Village",D1032="Charter Township"),D1032,"")&amp;IF(D1032="Township"," "&amp;"("&amp;VLOOKUP(A1032,counties,3,0)&amp;")",""),"  "," "))</f>
        <v>Lansing</v>
      </c>
    </row>
    <row r="1033" spans="1:8" ht="15.75" thickBot="1" x14ac:dyDescent="0.3">
      <c r="A1033">
        <f t="shared" si="17"/>
        <v>33</v>
      </c>
      <c r="B1033" s="10">
        <v>2016</v>
      </c>
      <c r="C1033" s="3" t="s">
        <v>934</v>
      </c>
      <c r="D1033" s="3" t="s">
        <v>17</v>
      </c>
      <c r="E1033" s="4" t="s">
        <v>7</v>
      </c>
      <c r="F1033" s="11" t="s">
        <v>8</v>
      </c>
      <c r="H1033" t="str">
        <f>TRIM(SUBSTITUTE(PROPER(C1033)&amp;" "&amp;IF(OR(D1033="County",D1033="Township",D1033="Village",D1033="Charter Township"),D1033,"")&amp;IF(D1033="Township"," "&amp;"("&amp;VLOOKUP(A1033,counties,3,0)&amp;")",""),"  "," "))</f>
        <v>Lansing Brownfield Redevlopment Authority</v>
      </c>
    </row>
    <row r="1034" spans="1:8" ht="21.75" thickBot="1" x14ac:dyDescent="0.3">
      <c r="A1034">
        <f t="shared" si="17"/>
        <v>33</v>
      </c>
      <c r="B1034" s="8">
        <v>2016</v>
      </c>
      <c r="C1034" s="1" t="s">
        <v>935</v>
      </c>
      <c r="D1034" s="1" t="s">
        <v>17</v>
      </c>
      <c r="E1034" s="2" t="s">
        <v>7</v>
      </c>
      <c r="F1034" s="9" t="s">
        <v>8</v>
      </c>
      <c r="H1034" t="str">
        <f>TRIM(SUBSTITUTE(PROPER(C1034)&amp;" "&amp;IF(OR(D1034="County",D1034="Township",D1034="Village",D1034="Charter Township"),D1034,"")&amp;IF(D1034="Township"," "&amp;"("&amp;VLOOKUP(A1034,counties,3,0)&amp;")",""),"  "," "))</f>
        <v>Lansing Bwl Emp Defined Contribution Pension Plan</v>
      </c>
    </row>
    <row r="1035" spans="1:8" ht="21.75" thickBot="1" x14ac:dyDescent="0.3">
      <c r="A1035">
        <f t="shared" si="17"/>
        <v>33</v>
      </c>
      <c r="B1035" s="10">
        <v>2016</v>
      </c>
      <c r="C1035" s="3" t="s">
        <v>936</v>
      </c>
      <c r="D1035" s="3" t="s">
        <v>17</v>
      </c>
      <c r="E1035" s="4" t="s">
        <v>7</v>
      </c>
      <c r="F1035" s="11" t="s">
        <v>8</v>
      </c>
      <c r="H1035" t="str">
        <f>TRIM(SUBSTITUTE(PROPER(C1035)&amp;" "&amp;IF(OR(D1035="County",D1035="Township",D1035="Village",D1035="Charter Township"),D1035,"")&amp;IF(D1035="Township"," "&amp;"("&amp;VLOOKUP(A1035,counties,3,0)&amp;")",""),"  "," "))</f>
        <v>Lansing Bwl Employees Pension Defined Benefit Plan</v>
      </c>
    </row>
    <row r="1036" spans="1:8" ht="15.75" thickBot="1" x14ac:dyDescent="0.3">
      <c r="A1036">
        <f t="shared" si="17"/>
        <v>33</v>
      </c>
      <c r="B1036" s="8">
        <v>2016</v>
      </c>
      <c r="C1036" s="1" t="s">
        <v>937</v>
      </c>
      <c r="D1036" s="1" t="s">
        <v>17</v>
      </c>
      <c r="E1036" s="2" t="s">
        <v>7</v>
      </c>
      <c r="F1036" s="9" t="s">
        <v>8</v>
      </c>
      <c r="H1036" t="str">
        <f>TRIM(SUBSTITUTE(PROPER(C1036)&amp;" "&amp;IF(OR(D1036="County",D1036="Township",D1036="Village",D1036="Charter Township"),D1036,"")&amp;IF(D1036="Township"," "&amp;"("&amp;VLOOKUP(A1036,counties,3,0)&amp;")",""),"  "," "))</f>
        <v>Lansing Bwl Enterprise Fund</v>
      </c>
    </row>
    <row r="1037" spans="1:8" ht="15.75" thickBot="1" x14ac:dyDescent="0.3">
      <c r="A1037">
        <f t="shared" si="17"/>
        <v>33</v>
      </c>
      <c r="B1037" s="10">
        <v>2016</v>
      </c>
      <c r="C1037" s="3" t="s">
        <v>938</v>
      </c>
      <c r="D1037" s="3" t="s">
        <v>17</v>
      </c>
      <c r="E1037" s="4" t="s">
        <v>7</v>
      </c>
      <c r="F1037" s="11" t="s">
        <v>8</v>
      </c>
      <c r="H1037" t="str">
        <f>TRIM(SUBSTITUTE(PROPER(C1037)&amp;" "&amp;IF(OR(D1037="County",D1037="Township",D1037="Village",D1037="Charter Township"),D1037,"")&amp;IF(D1037="Township"," "&amp;"("&amp;VLOOKUP(A1037,counties,3,0)&amp;")",""),"  "," "))</f>
        <v>Lansing Bwl Retiree Benefit Plan And Trust</v>
      </c>
    </row>
    <row r="1038" spans="1:8" ht="15.75" thickBot="1" x14ac:dyDescent="0.3">
      <c r="A1038">
        <f t="shared" si="17"/>
        <v>33</v>
      </c>
      <c r="B1038" s="8">
        <v>2016</v>
      </c>
      <c r="C1038" s="1" t="s">
        <v>939</v>
      </c>
      <c r="D1038" s="1" t="s">
        <v>9</v>
      </c>
      <c r="E1038" s="2" t="s">
        <v>7</v>
      </c>
      <c r="F1038" s="9" t="s">
        <v>8</v>
      </c>
      <c r="H1038" t="str">
        <f>TRIM(SUBSTITUTE(PROPER(C1038)&amp;" "&amp;IF(OR(D1038="County",D1038="Township",D1038="Village",D1038="Charter Township"),D1038,"")&amp;IF(D1038="Township"," "&amp;"("&amp;VLOOKUP(A1038,counties,3,0)&amp;")",""),"  "," "))</f>
        <v>Lansing Charter Township (Ingham County)</v>
      </c>
    </row>
    <row r="1039" spans="1:8" ht="15.75" thickBot="1" x14ac:dyDescent="0.3">
      <c r="A1039">
        <f t="shared" si="17"/>
        <v>33</v>
      </c>
      <c r="B1039" s="10">
        <v>2016</v>
      </c>
      <c r="C1039" s="3" t="s">
        <v>940</v>
      </c>
      <c r="D1039" s="3" t="s">
        <v>17</v>
      </c>
      <c r="E1039" s="4" t="s">
        <v>7</v>
      </c>
      <c r="F1039" s="11" t="s">
        <v>8</v>
      </c>
      <c r="H1039" t="str">
        <f>TRIM(SUBSTITUTE(PROPER(C1039)&amp;" "&amp;IF(OR(D1039="County",D1039="Township",D1039="Village",D1039="Charter Township"),D1039,"")&amp;IF(D1039="Township"," "&amp;"("&amp;VLOOKUP(A1039,counties,3,0)&amp;")",""),"  "," "))</f>
        <v>Lansing City Board Of Water &amp; Light</v>
      </c>
    </row>
    <row r="1040" spans="1:8" ht="15.75" thickBot="1" x14ac:dyDescent="0.3">
      <c r="A1040">
        <f t="shared" si="17"/>
        <v>33</v>
      </c>
      <c r="B1040" s="8">
        <v>2016</v>
      </c>
      <c r="C1040" s="1" t="s">
        <v>941</v>
      </c>
      <c r="D1040" s="1" t="s">
        <v>17</v>
      </c>
      <c r="E1040" s="2" t="s">
        <v>7</v>
      </c>
      <c r="F1040" s="9" t="s">
        <v>8</v>
      </c>
      <c r="H1040" t="str">
        <f>TRIM(SUBSTITUTE(PROPER(C1040)&amp;" "&amp;IF(OR(D1040="County",D1040="Township",D1040="Village",D1040="Charter Township"),D1040,"")&amp;IF(D1040="Township"," "&amp;"("&amp;VLOOKUP(A1040,counties,3,0)&amp;")",""),"  "," "))</f>
        <v>Lansing City Entertainment &amp; Public Facilities Aut</v>
      </c>
    </row>
    <row r="1041" spans="1:8" ht="15.75" thickBot="1" x14ac:dyDescent="0.3">
      <c r="A1041">
        <f t="shared" si="17"/>
        <v>33</v>
      </c>
      <c r="B1041" s="10">
        <v>2016</v>
      </c>
      <c r="C1041" s="3" t="s">
        <v>942</v>
      </c>
      <c r="D1041" s="3" t="s">
        <v>17</v>
      </c>
      <c r="E1041" s="4" t="s">
        <v>7</v>
      </c>
      <c r="F1041" s="11" t="s">
        <v>8</v>
      </c>
      <c r="H1041" t="str">
        <f>TRIM(SUBSTITUTE(PROPER(C1041)&amp;" "&amp;IF(OR(D1041="County",D1041="Township",D1041="Village",D1041="Charter Township"),D1041,"")&amp;IF(D1041="Township"," "&amp;"("&amp;VLOOKUP(A1041,counties,3,0)&amp;")",""),"  "," "))</f>
        <v>Lansing City/Ingham Co Joint Building Authority</v>
      </c>
    </row>
    <row r="1042" spans="1:8" ht="15.75" thickBot="1" x14ac:dyDescent="0.3">
      <c r="A1042">
        <f t="shared" si="17"/>
        <v>33</v>
      </c>
      <c r="B1042" s="8">
        <v>2016</v>
      </c>
      <c r="C1042" s="1" t="s">
        <v>943</v>
      </c>
      <c r="D1042" s="1" t="s">
        <v>88</v>
      </c>
      <c r="E1042" s="2" t="s">
        <v>7</v>
      </c>
      <c r="F1042" s="9" t="s">
        <v>8</v>
      </c>
      <c r="H1042" t="str">
        <f>TRIM(SUBSTITUTE(PROPER(C1042)&amp;" "&amp;IF(OR(D1042="County",D1042="Township",D1042="Village",D1042="Charter Township"),D1042,"")&amp;IF(D1042="Township"," "&amp;"("&amp;VLOOKUP(A1042,counties,3,0)&amp;")",""),"  "," "))</f>
        <v>Lansing Community College</v>
      </c>
    </row>
    <row r="1043" spans="1:8" ht="15.75" thickBot="1" x14ac:dyDescent="0.3">
      <c r="A1043">
        <f t="shared" si="17"/>
        <v>33</v>
      </c>
      <c r="B1043" s="10">
        <v>2016</v>
      </c>
      <c r="C1043" s="3" t="s">
        <v>944</v>
      </c>
      <c r="D1043" s="3" t="s">
        <v>17</v>
      </c>
      <c r="E1043" s="4" t="s">
        <v>7</v>
      </c>
      <c r="F1043" s="11" t="s">
        <v>8</v>
      </c>
      <c r="H1043" t="str">
        <f>TRIM(SUBSTITUTE(PROPER(C1043)&amp;" "&amp;IF(OR(D1043="County",D1043="Township",D1043="Village",D1043="Charter Township"),D1043,"")&amp;IF(D1043="Township"," "&amp;"("&amp;VLOOKUP(A1043,counties,3,0)&amp;")",""),"  "," "))</f>
        <v>Lansing Housing Commission</v>
      </c>
    </row>
    <row r="1044" spans="1:8" ht="15.75" thickBot="1" x14ac:dyDescent="0.3">
      <c r="A1044">
        <f t="shared" si="17"/>
        <v>33</v>
      </c>
      <c r="B1044" s="8">
        <v>2016</v>
      </c>
      <c r="C1044" s="1" t="s">
        <v>945</v>
      </c>
      <c r="D1044" s="1" t="s">
        <v>17</v>
      </c>
      <c r="E1044" s="2" t="s">
        <v>7</v>
      </c>
      <c r="F1044" s="9" t="s">
        <v>8</v>
      </c>
      <c r="H1044" t="str">
        <f>TRIM(SUBSTITUTE(PROPER(C1044)&amp;" "&amp;IF(OR(D1044="County",D1044="Township",D1044="Village",D1044="Charter Township"),D1044,"")&amp;IF(D1044="Township"," "&amp;"("&amp;VLOOKUP(A1044,counties,3,0)&amp;")",""),"  "," "))</f>
        <v>Lansing Regional Smart Zone</v>
      </c>
    </row>
    <row r="1045" spans="1:8" ht="15.75" thickBot="1" x14ac:dyDescent="0.3">
      <c r="A1045">
        <f t="shared" si="17"/>
        <v>33</v>
      </c>
      <c r="B1045" s="10">
        <v>2016</v>
      </c>
      <c r="C1045" s="3" t="s">
        <v>946</v>
      </c>
      <c r="D1045" s="3" t="s">
        <v>17</v>
      </c>
      <c r="E1045" s="4" t="s">
        <v>7</v>
      </c>
      <c r="F1045" s="11" t="s">
        <v>8</v>
      </c>
      <c r="H1045" t="str">
        <f>TRIM(SUBSTITUTE(PROPER(C1045)&amp;" "&amp;IF(OR(D1045="County",D1045="Township",D1045="Village",D1045="Charter Township"),D1045,"")&amp;IF(D1045="Township"," "&amp;"("&amp;VLOOKUP(A1045,counties,3,0)&amp;")",""),"  "," "))</f>
        <v>Lansing Tax Increment Finance Authority</v>
      </c>
    </row>
    <row r="1046" spans="1:8" ht="15.75" thickBot="1" x14ac:dyDescent="0.3">
      <c r="A1046">
        <f t="shared" si="17"/>
        <v>33</v>
      </c>
      <c r="B1046" s="8">
        <v>2016</v>
      </c>
      <c r="C1046" s="1" t="s">
        <v>367</v>
      </c>
      <c r="D1046" s="1" t="s">
        <v>9</v>
      </c>
      <c r="E1046" s="2" t="s">
        <v>7</v>
      </c>
      <c r="F1046" s="9" t="s">
        <v>8</v>
      </c>
      <c r="H1046" t="str">
        <f>TRIM(SUBSTITUTE(PROPER(C1046)&amp;" "&amp;IF(OR(D1046="County",D1046="Township",D1046="Village",D1046="Charter Township"),D1046,"")&amp;IF(D1046="Township"," "&amp;"("&amp;VLOOKUP(A1046,counties,3,0)&amp;")",""),"  "," "))</f>
        <v>Leroy Township (Ingham County)</v>
      </c>
    </row>
    <row r="1047" spans="1:8" ht="15.75" thickBot="1" x14ac:dyDescent="0.3">
      <c r="A1047">
        <f t="shared" si="17"/>
        <v>33</v>
      </c>
      <c r="B1047" s="10">
        <v>2016</v>
      </c>
      <c r="C1047" s="3" t="s">
        <v>947</v>
      </c>
      <c r="D1047" s="3" t="s">
        <v>15</v>
      </c>
      <c r="E1047" s="4" t="s">
        <v>7</v>
      </c>
      <c r="F1047" s="11" t="s">
        <v>8</v>
      </c>
      <c r="H1047" t="str">
        <f>TRIM(SUBSTITUTE(PROPER(C1047)&amp;" "&amp;IF(OR(D1047="County",D1047="Township",D1047="Village",D1047="Charter Township"),D1047,"")&amp;IF(D1047="Township"," "&amp;"("&amp;VLOOKUP(A1047,counties,3,0)&amp;")",""),"  "," "))</f>
        <v>Leslie</v>
      </c>
    </row>
    <row r="1048" spans="1:8" ht="15.75" thickBot="1" x14ac:dyDescent="0.3">
      <c r="A1048">
        <f t="shared" si="17"/>
        <v>33</v>
      </c>
      <c r="B1048" s="8">
        <v>2016</v>
      </c>
      <c r="C1048" s="1" t="s">
        <v>947</v>
      </c>
      <c r="D1048" s="1" t="s">
        <v>9</v>
      </c>
      <c r="E1048" s="2" t="s">
        <v>7</v>
      </c>
      <c r="F1048" s="9" t="s">
        <v>8</v>
      </c>
      <c r="H1048" t="str">
        <f>TRIM(SUBSTITUTE(PROPER(C1048)&amp;" "&amp;IF(OR(D1048="County",D1048="Township",D1048="Village",D1048="Charter Township"),D1048,"")&amp;IF(D1048="Township"," "&amp;"("&amp;VLOOKUP(A1048,counties,3,0)&amp;")",""),"  "," "))</f>
        <v>Leslie Township (Ingham County)</v>
      </c>
    </row>
    <row r="1049" spans="1:8" ht="15.75" thickBot="1" x14ac:dyDescent="0.3">
      <c r="A1049">
        <f t="shared" si="17"/>
        <v>33</v>
      </c>
      <c r="B1049" s="10">
        <v>2016</v>
      </c>
      <c r="C1049" s="3" t="s">
        <v>948</v>
      </c>
      <c r="D1049" s="3" t="s">
        <v>9</v>
      </c>
      <c r="E1049" s="4" t="s">
        <v>7</v>
      </c>
      <c r="F1049" s="11" t="s">
        <v>8</v>
      </c>
      <c r="H1049" t="str">
        <f>TRIM(SUBSTITUTE(PROPER(C1049)&amp;" "&amp;IF(OR(D1049="County",D1049="Township",D1049="Village",D1049="Charter Township"),D1049,"")&amp;IF(D1049="Township"," "&amp;"("&amp;VLOOKUP(A1049,counties,3,0)&amp;")",""),"  "," "))</f>
        <v>Locke Township (Ingham County)</v>
      </c>
    </row>
    <row r="1050" spans="1:8" ht="15.75" thickBot="1" x14ac:dyDescent="0.3">
      <c r="A1050">
        <f t="shared" si="17"/>
        <v>33</v>
      </c>
      <c r="B1050" s="8">
        <v>2016</v>
      </c>
      <c r="C1050" s="1" t="s">
        <v>130</v>
      </c>
      <c r="D1050" s="1" t="s">
        <v>15</v>
      </c>
      <c r="E1050" s="2" t="s">
        <v>7</v>
      </c>
      <c r="F1050" s="9" t="s">
        <v>8</v>
      </c>
      <c r="H1050" t="str">
        <f>TRIM(SUBSTITUTE(PROPER(C1050)&amp;" "&amp;IF(OR(D1050="County",D1050="Township",D1050="Village",D1050="Charter Township"),D1050,"")&amp;IF(D1050="Township"," "&amp;"("&amp;VLOOKUP(A1050,counties,3,0)&amp;")",""),"  "," "))</f>
        <v>Mason</v>
      </c>
    </row>
    <row r="1051" spans="1:8" ht="15.75" thickBot="1" x14ac:dyDescent="0.3">
      <c r="A1051">
        <f t="shared" si="17"/>
        <v>33</v>
      </c>
      <c r="B1051" s="10">
        <v>2016</v>
      </c>
      <c r="C1051" s="3" t="s">
        <v>949</v>
      </c>
      <c r="D1051" s="3" t="s">
        <v>9</v>
      </c>
      <c r="E1051" s="4" t="s">
        <v>7</v>
      </c>
      <c r="F1051" s="11" t="s">
        <v>8</v>
      </c>
      <c r="H1051" t="str">
        <f>TRIM(SUBSTITUTE(PROPER(C1051)&amp;" "&amp;IF(OR(D1051="County",D1051="Township",D1051="Village",D1051="Charter Township"),D1051,"")&amp;IF(D1051="Township"," "&amp;"("&amp;VLOOKUP(A1051,counties,3,0)&amp;")",""),"  "," "))</f>
        <v>Meridian Charter Township (Ingham County)</v>
      </c>
    </row>
    <row r="1052" spans="1:8" ht="15.75" thickBot="1" x14ac:dyDescent="0.3">
      <c r="A1052">
        <f t="shared" si="17"/>
        <v>33</v>
      </c>
      <c r="B1052" s="8">
        <v>2016</v>
      </c>
      <c r="C1052" s="1" t="s">
        <v>950</v>
      </c>
      <c r="D1052" s="1" t="s">
        <v>17</v>
      </c>
      <c r="E1052" s="2" t="s">
        <v>7</v>
      </c>
      <c r="F1052" s="9" t="s">
        <v>8</v>
      </c>
      <c r="H1052" t="str">
        <f>TRIM(SUBSTITUTE(PROPER(C1052)&amp;" "&amp;IF(OR(D1052="County",D1052="Township",D1052="Village",D1052="Charter Township"),D1052,"")&amp;IF(D1052="Township"," "&amp;"("&amp;VLOOKUP(A1052,counties,3,0)&amp;")",""),"  "," "))</f>
        <v>Michigan Co Road Commission Self-Insurance Pool</v>
      </c>
    </row>
    <row r="1053" spans="1:8" ht="15.75" thickBot="1" x14ac:dyDescent="0.3">
      <c r="A1053">
        <f t="shared" si="17"/>
        <v>33</v>
      </c>
      <c r="B1053" s="10">
        <v>2016</v>
      </c>
      <c r="C1053" s="3" t="s">
        <v>951</v>
      </c>
      <c r="D1053" s="3" t="s">
        <v>17</v>
      </c>
      <c r="E1053" s="4" t="s">
        <v>7</v>
      </c>
      <c r="F1053" s="11" t="s">
        <v>8</v>
      </c>
      <c r="H1053" t="str">
        <f>TRIM(SUBSTITUTE(PROPER(C1053)&amp;" "&amp;IF(OR(D1053="County",D1053="Township",D1053="Village",D1053="Charter Township"),D1053,"")&amp;IF(D1053="Township"," "&amp;"("&amp;VLOOKUP(A1053,counties,3,0)&amp;")",""),"  "," "))</f>
        <v>Michigan Public Power Agency</v>
      </c>
    </row>
    <row r="1054" spans="1:8" ht="15.75" thickBot="1" x14ac:dyDescent="0.3">
      <c r="A1054">
        <f t="shared" si="17"/>
        <v>33</v>
      </c>
      <c r="B1054" s="8">
        <v>2016</v>
      </c>
      <c r="C1054" s="1" t="s">
        <v>952</v>
      </c>
      <c r="D1054" s="1" t="s">
        <v>17</v>
      </c>
      <c r="E1054" s="2" t="s">
        <v>7</v>
      </c>
      <c r="F1054" s="9" t="s">
        <v>8</v>
      </c>
      <c r="H1054" t="str">
        <f>TRIM(SUBSTITUTE(PROPER(C1054)&amp;" "&amp;IF(OR(D1054="County",D1054="Township",D1054="Village",D1054="Charter Township"),D1054,"")&amp;IF(D1054="Township"," "&amp;"("&amp;VLOOKUP(A1054,counties,3,0)&amp;")",""),"  "," "))</f>
        <v>Mid-Michigan Water Authority</v>
      </c>
    </row>
    <row r="1055" spans="1:8" ht="15.75" thickBot="1" x14ac:dyDescent="0.3">
      <c r="A1055">
        <f t="shared" si="17"/>
        <v>33</v>
      </c>
      <c r="B1055" s="10">
        <v>2016</v>
      </c>
      <c r="C1055" s="3" t="s">
        <v>953</v>
      </c>
      <c r="D1055" s="3" t="s">
        <v>17</v>
      </c>
      <c r="E1055" s="4" t="s">
        <v>7</v>
      </c>
      <c r="F1055" s="11" t="s">
        <v>8</v>
      </c>
      <c r="H1055" t="str">
        <f>TRIM(SUBSTITUTE(PROPER(C1055)&amp;" "&amp;IF(OR(D1055="County",D1055="Township",D1055="Village",D1055="Charter Township"),D1055,"")&amp;IF(D1055="Township"," "&amp;"("&amp;VLOOKUP(A1055,counties,3,0)&amp;")",""),"  "," "))</f>
        <v>Mid-State Health Network</v>
      </c>
    </row>
    <row r="1056" spans="1:8" ht="15.75" thickBot="1" x14ac:dyDescent="0.3">
      <c r="A1056">
        <f t="shared" si="17"/>
        <v>33</v>
      </c>
      <c r="B1056" s="8">
        <v>2016</v>
      </c>
      <c r="C1056" s="1" t="s">
        <v>954</v>
      </c>
      <c r="D1056" s="1" t="s">
        <v>17</v>
      </c>
      <c r="E1056" s="2" t="s">
        <v>7</v>
      </c>
      <c r="F1056" s="9" t="s">
        <v>8</v>
      </c>
      <c r="H1056" t="str">
        <f>TRIM(SUBSTITUTE(PROPER(C1056)&amp;" "&amp;IF(OR(D1056="County",D1056="Township",D1056="Village",D1056="Charter Township"),D1056,"")&amp;IF(D1056="Township"," "&amp;"("&amp;VLOOKUP(A1056,counties,3,0)&amp;")",""),"  "," "))</f>
        <v>Northeast Ingham Emergency Service Authority</v>
      </c>
    </row>
    <row r="1057" spans="1:8" ht="15.75" thickBot="1" x14ac:dyDescent="0.3">
      <c r="A1057">
        <f t="shared" si="17"/>
        <v>33</v>
      </c>
      <c r="B1057" s="10">
        <v>2016</v>
      </c>
      <c r="C1057" s="3" t="s">
        <v>955</v>
      </c>
      <c r="D1057" s="3" t="s">
        <v>9</v>
      </c>
      <c r="E1057" s="4" t="s">
        <v>7</v>
      </c>
      <c r="F1057" s="11" t="s">
        <v>8</v>
      </c>
      <c r="H1057" t="str">
        <f>TRIM(SUBSTITUTE(PROPER(C1057)&amp;" "&amp;IF(OR(D1057="County",D1057="Township",D1057="Village",D1057="Charter Township"),D1057,"")&amp;IF(D1057="Township"," "&amp;"("&amp;VLOOKUP(A1057,counties,3,0)&amp;")",""),"  "," "))</f>
        <v>Onondaga Township (Ingham County)</v>
      </c>
    </row>
    <row r="1058" spans="1:8" ht="15.75" thickBot="1" x14ac:dyDescent="0.3">
      <c r="A1058">
        <f t="shared" si="17"/>
        <v>33</v>
      </c>
      <c r="B1058" s="8">
        <v>2016</v>
      </c>
      <c r="C1058" s="1" t="s">
        <v>956</v>
      </c>
      <c r="D1058" s="1" t="s">
        <v>9</v>
      </c>
      <c r="E1058" s="2" t="s">
        <v>7</v>
      </c>
      <c r="F1058" s="9" t="s">
        <v>8</v>
      </c>
      <c r="H1058" t="str">
        <f>TRIM(SUBSTITUTE(PROPER(C1058)&amp;" "&amp;IF(OR(D1058="County",D1058="Township",D1058="Village",D1058="Charter Township"),D1058,"")&amp;IF(D1058="Township"," "&amp;"("&amp;VLOOKUP(A1058,counties,3,0)&amp;")",""),"  "," "))</f>
        <v>Stockbridge Township (Ingham County)</v>
      </c>
    </row>
    <row r="1059" spans="1:8" ht="15.75" thickBot="1" x14ac:dyDescent="0.3">
      <c r="A1059">
        <f t="shared" si="17"/>
        <v>33</v>
      </c>
      <c r="B1059" s="10">
        <v>2016</v>
      </c>
      <c r="C1059" s="3" t="s">
        <v>956</v>
      </c>
      <c r="D1059" s="3" t="s">
        <v>21</v>
      </c>
      <c r="E1059" s="4" t="s">
        <v>7</v>
      </c>
      <c r="F1059" s="11" t="s">
        <v>8</v>
      </c>
      <c r="H1059" t="str">
        <f>TRIM(SUBSTITUTE(PROPER(C1059)&amp;" "&amp;IF(OR(D1059="County",D1059="Township",D1059="Village",D1059="Charter Township"),D1059,"")&amp;IF(D1059="Township"," "&amp;"("&amp;VLOOKUP(A1059,counties,3,0)&amp;")",""),"  "," "))</f>
        <v>Stockbridge Village</v>
      </c>
    </row>
    <row r="1060" spans="1:8" ht="15.75" thickBot="1" x14ac:dyDescent="0.3">
      <c r="A1060">
        <f t="shared" si="17"/>
        <v>33</v>
      </c>
      <c r="B1060" s="8">
        <v>2016</v>
      </c>
      <c r="C1060" s="1" t="s">
        <v>957</v>
      </c>
      <c r="D1060" s="1" t="s">
        <v>17</v>
      </c>
      <c r="E1060" s="2" t="s">
        <v>7</v>
      </c>
      <c r="F1060" s="9" t="s">
        <v>8</v>
      </c>
      <c r="H1060" t="str">
        <f>TRIM(SUBSTITUTE(PROPER(C1060)&amp;" "&amp;IF(OR(D1060="County",D1060="Township",D1060="Village",D1060="Charter Township"),D1060,"")&amp;IF(D1060="Township"," "&amp;"("&amp;VLOOKUP(A1060,counties,3,0)&amp;")",""),"  "," "))</f>
        <v>Stockbridge Area Emergency Services Authority</v>
      </c>
    </row>
    <row r="1061" spans="1:8" ht="21.75" thickBot="1" x14ac:dyDescent="0.3">
      <c r="A1061">
        <f t="shared" si="17"/>
        <v>33</v>
      </c>
      <c r="B1061" s="10">
        <v>2016</v>
      </c>
      <c r="C1061" s="3" t="s">
        <v>958</v>
      </c>
      <c r="D1061" s="3" t="s">
        <v>17</v>
      </c>
      <c r="E1061" s="4" t="s">
        <v>7</v>
      </c>
      <c r="F1061" s="11" t="s">
        <v>8</v>
      </c>
      <c r="H1061" t="str">
        <f>TRIM(SUBSTITUTE(PROPER(C1061)&amp;" "&amp;IF(OR(D1061="County",D1061="Township",D1061="Village",D1061="Charter Township"),D1061,"")&amp;IF(D1061="Township"," "&amp;"("&amp;VLOOKUP(A1061,counties,3,0)&amp;")",""),"  "," "))</f>
        <v>Tri-County Aging Consortium (Ingham/Clinton/Eaton)</v>
      </c>
    </row>
    <row r="1062" spans="1:8" ht="15.75" thickBot="1" x14ac:dyDescent="0.3">
      <c r="A1062">
        <f t="shared" si="17"/>
        <v>33</v>
      </c>
      <c r="B1062" s="8">
        <v>2016</v>
      </c>
      <c r="C1062" s="1" t="s">
        <v>959</v>
      </c>
      <c r="D1062" s="1" t="s">
        <v>17</v>
      </c>
      <c r="E1062" s="2" t="s">
        <v>7</v>
      </c>
      <c r="F1062" s="9" t="s">
        <v>8</v>
      </c>
      <c r="H1062" t="str">
        <f>TRIM(SUBSTITUTE(PROPER(C1062)&amp;" "&amp;IF(OR(D1062="County",D1062="Township",D1062="Village",D1062="Charter Township"),D1062,"")&amp;IF(D1062="Township"," "&amp;"("&amp;VLOOKUP(A1062,counties,3,0)&amp;")",""),"  "," "))</f>
        <v>Tri-County Regional Planning Commission</v>
      </c>
    </row>
    <row r="1063" spans="1:8" ht="15.75" thickBot="1" x14ac:dyDescent="0.3">
      <c r="A1063">
        <f t="shared" si="17"/>
        <v>33</v>
      </c>
      <c r="B1063" s="10">
        <v>2016</v>
      </c>
      <c r="C1063" s="3" t="s">
        <v>960</v>
      </c>
      <c r="D1063" s="3" t="s">
        <v>9</v>
      </c>
      <c r="E1063" s="4" t="s">
        <v>7</v>
      </c>
      <c r="F1063" s="11" t="s">
        <v>8</v>
      </c>
      <c r="H1063" t="str">
        <f>TRIM(SUBSTITUTE(PROPER(C1063)&amp;" "&amp;IF(OR(D1063="County",D1063="Township",D1063="Village",D1063="Charter Township"),D1063,"")&amp;IF(D1063="Township"," "&amp;"("&amp;VLOOKUP(A1063,counties,3,0)&amp;")",""),"  "," "))</f>
        <v>Vevay Township (Ingham County)</v>
      </c>
    </row>
    <row r="1064" spans="1:8" ht="15.75" thickBot="1" x14ac:dyDescent="0.3">
      <c r="A1064">
        <f t="shared" si="17"/>
        <v>33</v>
      </c>
      <c r="B1064" s="8">
        <v>2016</v>
      </c>
      <c r="C1064" s="1" t="s">
        <v>961</v>
      </c>
      <c r="D1064" s="1" t="s">
        <v>9</v>
      </c>
      <c r="E1064" s="2" t="s">
        <v>7</v>
      </c>
      <c r="F1064" s="9" t="s">
        <v>8</v>
      </c>
      <c r="H1064" t="str">
        <f>TRIM(SUBSTITUTE(PROPER(C1064)&amp;" "&amp;IF(OR(D1064="County",D1064="Township",D1064="Village",D1064="Charter Township"),D1064,"")&amp;IF(D1064="Township"," "&amp;"("&amp;VLOOKUP(A1064,counties,3,0)&amp;")",""),"  "," "))</f>
        <v>Wheatfield Township (Ingham County)</v>
      </c>
    </row>
    <row r="1065" spans="1:8" ht="15.75" thickBot="1" x14ac:dyDescent="0.3">
      <c r="A1065">
        <f t="shared" si="17"/>
        <v>33</v>
      </c>
      <c r="B1065" s="10">
        <v>2016</v>
      </c>
      <c r="C1065" s="3" t="s">
        <v>962</v>
      </c>
      <c r="D1065" s="3" t="s">
        <v>9</v>
      </c>
      <c r="E1065" s="4" t="s">
        <v>7</v>
      </c>
      <c r="F1065" s="11" t="s">
        <v>8</v>
      </c>
      <c r="H1065" t="str">
        <f>TRIM(SUBSTITUTE(PROPER(C1065)&amp;" "&amp;IF(OR(D1065="County",D1065="Township",D1065="Village",D1065="Charter Township"),D1065,"")&amp;IF(D1065="Township"," "&amp;"("&amp;VLOOKUP(A1065,counties,3,0)&amp;")",""),"  "," "))</f>
        <v>White Oak Township (Ingham County)</v>
      </c>
    </row>
    <row r="1066" spans="1:8" ht="15.75" thickBot="1" x14ac:dyDescent="0.3">
      <c r="A1066">
        <f t="shared" si="17"/>
        <v>33</v>
      </c>
      <c r="B1066" s="8">
        <v>2016</v>
      </c>
      <c r="C1066" s="1" t="s">
        <v>963</v>
      </c>
      <c r="D1066" s="1" t="s">
        <v>15</v>
      </c>
      <c r="E1066" s="2" t="s">
        <v>7</v>
      </c>
      <c r="F1066" s="9" t="s">
        <v>8</v>
      </c>
      <c r="H1066" t="str">
        <f>TRIM(SUBSTITUTE(PROPER(C1066)&amp;" "&amp;IF(OR(D1066="County",D1066="Township",D1066="Village",D1066="Charter Township"),D1066,"")&amp;IF(D1066="Township"," "&amp;"("&amp;VLOOKUP(A1066,counties,3,0)&amp;")",""),"  "," "))</f>
        <v>Williamston</v>
      </c>
    </row>
    <row r="1067" spans="1:8" ht="15.75" thickBot="1" x14ac:dyDescent="0.3">
      <c r="A1067">
        <f t="shared" si="17"/>
        <v>33</v>
      </c>
      <c r="B1067" s="12">
        <v>2016</v>
      </c>
      <c r="C1067" s="13" t="s">
        <v>964</v>
      </c>
      <c r="D1067" s="13" t="s">
        <v>9</v>
      </c>
      <c r="E1067" s="14" t="s">
        <v>7</v>
      </c>
      <c r="F1067" s="15" t="s">
        <v>8</v>
      </c>
      <c r="H1067" t="str">
        <f>TRIM(SUBSTITUTE(PROPER(C1067)&amp;" "&amp;IF(OR(D1067="County",D1067="Township",D1067="Village",D1067="Charter Township"),D1067,"")&amp;IF(D1067="Township"," "&amp;"("&amp;VLOOKUP(A1067,counties,3,0)&amp;")",""),"  "," "))</f>
        <v>Williamstown Township (Ingham County)</v>
      </c>
    </row>
    <row r="1068" spans="1:8" ht="16.5" thickTop="1" thickBot="1" x14ac:dyDescent="0.3">
      <c r="A1068">
        <f t="shared" si="17"/>
        <v>34</v>
      </c>
      <c r="B1068" s="5" t="s">
        <v>0</v>
      </c>
      <c r="C1068" s="6" t="s">
        <v>1</v>
      </c>
      <c r="D1068" s="6" t="s">
        <v>2</v>
      </c>
      <c r="E1068" s="6" t="s">
        <v>3</v>
      </c>
      <c r="F1068" s="7" t="s">
        <v>4</v>
      </c>
      <c r="H1068" t="str">
        <f>TRIM(SUBSTITUTE(PROPER(C1068)&amp;" "&amp;IF(OR(D1068="County",D1068="Township",D1068="Village",D1068="Charter Township"),D1068,"")&amp;IF(D1068="Township"," "&amp;"("&amp;VLOOKUP(A1068,counties,3,0)&amp;")",""),"  "," "))</f>
        <v>Municipality</v>
      </c>
    </row>
    <row r="1069" spans="1:8" ht="15.75" thickBot="1" x14ac:dyDescent="0.3">
      <c r="A1069">
        <f t="shared" si="17"/>
        <v>34</v>
      </c>
      <c r="B1069" s="8">
        <v>2016</v>
      </c>
      <c r="C1069" s="1" t="s">
        <v>965</v>
      </c>
      <c r="D1069" s="1" t="s">
        <v>15</v>
      </c>
      <c r="E1069" s="2" t="s">
        <v>7</v>
      </c>
      <c r="F1069" s="9" t="s">
        <v>8</v>
      </c>
      <c r="H1069" t="str">
        <f>TRIM(SUBSTITUTE(PROPER(C1069)&amp;" "&amp;IF(OR(D1069="County",D1069="Township",D1069="Village",D1069="Charter Township"),D1069,"")&amp;IF(D1069="Township"," "&amp;"("&amp;VLOOKUP(A1069,counties,3,0)&amp;")",""),"  "," "))</f>
        <v>Belding</v>
      </c>
    </row>
    <row r="1070" spans="1:8" ht="15.75" thickBot="1" x14ac:dyDescent="0.3">
      <c r="A1070">
        <f t="shared" si="17"/>
        <v>34</v>
      </c>
      <c r="B1070" s="10">
        <v>2016</v>
      </c>
      <c r="C1070" s="3" t="s">
        <v>966</v>
      </c>
      <c r="D1070" s="3" t="s">
        <v>17</v>
      </c>
      <c r="E1070" s="4" t="s">
        <v>7</v>
      </c>
      <c r="F1070" s="11" t="s">
        <v>8</v>
      </c>
      <c r="H1070" t="str">
        <f>TRIM(SUBSTITUTE(PROPER(C1070)&amp;" "&amp;IF(OR(D1070="County",D1070="Township",D1070="Village",D1070="Charter Township"),D1070,"")&amp;IF(D1070="Township"," "&amp;"("&amp;VLOOKUP(A1070,counties,3,0)&amp;")",""),"  "," "))</f>
        <v>Belding City Housing Commission</v>
      </c>
    </row>
    <row r="1071" spans="1:8" ht="15.75" thickBot="1" x14ac:dyDescent="0.3">
      <c r="A1071">
        <f t="shared" si="17"/>
        <v>34</v>
      </c>
      <c r="B1071" s="8">
        <v>2016</v>
      </c>
      <c r="C1071" s="1" t="s">
        <v>967</v>
      </c>
      <c r="D1071" s="1" t="s">
        <v>9</v>
      </c>
      <c r="E1071" s="2" t="s">
        <v>7</v>
      </c>
      <c r="F1071" s="9" t="s">
        <v>19</v>
      </c>
      <c r="H1071" t="str">
        <f>TRIM(SUBSTITUTE(PROPER(C1071)&amp;" "&amp;IF(OR(D1071="County",D1071="Township",D1071="Village",D1071="Charter Township"),D1071,"")&amp;IF(D1071="Township"," "&amp;"("&amp;VLOOKUP(A1071,counties,3,0)&amp;")",""),"  "," "))</f>
        <v>Berlin Township (Ionia County)</v>
      </c>
    </row>
    <row r="1072" spans="1:8" ht="15.75" thickBot="1" x14ac:dyDescent="0.3">
      <c r="A1072">
        <f t="shared" si="17"/>
        <v>34</v>
      </c>
      <c r="B1072" s="10">
        <v>2016</v>
      </c>
      <c r="C1072" s="3" t="s">
        <v>968</v>
      </c>
      <c r="D1072" s="3" t="s">
        <v>17</v>
      </c>
      <c r="E1072" s="4" t="s">
        <v>7</v>
      </c>
      <c r="F1072" s="11" t="s">
        <v>8</v>
      </c>
      <c r="H1072" t="str">
        <f>TRIM(SUBSTITUTE(PROPER(C1072)&amp;" "&amp;IF(OR(D1072="County",D1072="Township",D1072="Village",D1072="Charter Township"),D1072,"")&amp;IF(D1072="Township"," "&amp;"("&amp;VLOOKUP(A1072,counties,3,0)&amp;")",""),"  "," "))</f>
        <v>Berlin-Orange Fire Department</v>
      </c>
    </row>
    <row r="1073" spans="1:8" ht="15.75" thickBot="1" x14ac:dyDescent="0.3">
      <c r="A1073">
        <f t="shared" si="17"/>
        <v>34</v>
      </c>
      <c r="B1073" s="8">
        <v>2016</v>
      </c>
      <c r="C1073" s="1" t="s">
        <v>969</v>
      </c>
      <c r="D1073" s="1" t="s">
        <v>9</v>
      </c>
      <c r="E1073" s="2" t="s">
        <v>7</v>
      </c>
      <c r="F1073" s="9" t="s">
        <v>8</v>
      </c>
      <c r="H1073" t="str">
        <f>TRIM(SUBSTITUTE(PROPER(C1073)&amp;" "&amp;IF(OR(D1073="County",D1073="Township",D1073="Village",D1073="Charter Township"),D1073,"")&amp;IF(D1073="Township"," "&amp;"("&amp;VLOOKUP(A1073,counties,3,0)&amp;")",""),"  "," "))</f>
        <v>Boston Township (Ionia County)</v>
      </c>
    </row>
    <row r="1074" spans="1:8" ht="15.75" thickBot="1" x14ac:dyDescent="0.3">
      <c r="A1074">
        <f t="shared" si="17"/>
        <v>34</v>
      </c>
      <c r="B1074" s="10">
        <v>2016</v>
      </c>
      <c r="C1074" s="3" t="s">
        <v>970</v>
      </c>
      <c r="D1074" s="3" t="s">
        <v>9</v>
      </c>
      <c r="E1074" s="4" t="s">
        <v>7</v>
      </c>
      <c r="F1074" s="11" t="s">
        <v>8</v>
      </c>
      <c r="H1074" t="str">
        <f>TRIM(SUBSTITUTE(PROPER(C1074)&amp;" "&amp;IF(OR(D1074="County",D1074="Township",D1074="Village",D1074="Charter Township"),D1074,"")&amp;IF(D1074="Township"," "&amp;"("&amp;VLOOKUP(A1074,counties,3,0)&amp;")",""),"  "," "))</f>
        <v>Campbell Township (Ionia County)</v>
      </c>
    </row>
    <row r="1075" spans="1:8" ht="15.75" thickBot="1" x14ac:dyDescent="0.3">
      <c r="A1075">
        <f t="shared" si="17"/>
        <v>34</v>
      </c>
      <c r="B1075" s="8">
        <v>2016</v>
      </c>
      <c r="C1075" s="1" t="s">
        <v>971</v>
      </c>
      <c r="D1075" s="1" t="s">
        <v>21</v>
      </c>
      <c r="E1075" s="2" t="s">
        <v>7</v>
      </c>
      <c r="F1075" s="9" t="s">
        <v>8</v>
      </c>
      <c r="H1075" t="str">
        <f>TRIM(SUBSTITUTE(PROPER(C1075)&amp;" "&amp;IF(OR(D1075="County",D1075="Township",D1075="Village",D1075="Charter Township"),D1075,"")&amp;IF(D1075="Township"," "&amp;"("&amp;VLOOKUP(A1075,counties,3,0)&amp;")",""),"  "," "))</f>
        <v>Clarksville Village</v>
      </c>
    </row>
    <row r="1076" spans="1:8" ht="15.75" thickBot="1" x14ac:dyDescent="0.3">
      <c r="A1076">
        <f t="shared" si="17"/>
        <v>34</v>
      </c>
      <c r="B1076" s="10">
        <v>2016</v>
      </c>
      <c r="C1076" s="3" t="s">
        <v>972</v>
      </c>
      <c r="D1076" s="3" t="s">
        <v>17</v>
      </c>
      <c r="E1076" s="4" t="s">
        <v>7</v>
      </c>
      <c r="F1076" s="11" t="s">
        <v>8</v>
      </c>
      <c r="H1076" t="str">
        <f>TRIM(SUBSTITUTE(PROPER(C1076)&amp;" "&amp;IF(OR(D1076="County",D1076="Township",D1076="Village",D1076="Charter Township"),D1076,"")&amp;IF(D1076="Township"," "&amp;"("&amp;VLOOKUP(A1076,counties,3,0)&amp;")",""),"  "," "))</f>
        <v>Clarksville-Morrison Lake Sewer Authority</v>
      </c>
    </row>
    <row r="1077" spans="1:8" ht="15.75" thickBot="1" x14ac:dyDescent="0.3">
      <c r="A1077">
        <f t="shared" si="17"/>
        <v>34</v>
      </c>
      <c r="B1077" s="8">
        <v>2016</v>
      </c>
      <c r="C1077" s="1" t="s">
        <v>973</v>
      </c>
      <c r="D1077" s="1" t="s">
        <v>9</v>
      </c>
      <c r="E1077" s="2" t="s">
        <v>7</v>
      </c>
      <c r="F1077" s="9" t="s">
        <v>8</v>
      </c>
      <c r="H1077" t="str">
        <f>TRIM(SUBSTITUTE(PROPER(C1077)&amp;" "&amp;IF(OR(D1077="County",D1077="Township",D1077="Village",D1077="Charter Township"),D1077,"")&amp;IF(D1077="Township"," "&amp;"("&amp;VLOOKUP(A1077,counties,3,0)&amp;")",""),"  "," "))</f>
        <v>Danby Township (Ionia County)</v>
      </c>
    </row>
    <row r="1078" spans="1:8" ht="15.75" thickBot="1" x14ac:dyDescent="0.3">
      <c r="A1078">
        <f t="shared" si="17"/>
        <v>34</v>
      </c>
      <c r="B1078" s="10">
        <v>2016</v>
      </c>
      <c r="C1078" s="3" t="s">
        <v>974</v>
      </c>
      <c r="D1078" s="3" t="s">
        <v>9</v>
      </c>
      <c r="E1078" s="4" t="s">
        <v>7</v>
      </c>
      <c r="F1078" s="11" t="s">
        <v>8</v>
      </c>
      <c r="H1078" t="str">
        <f>TRIM(SUBSTITUTE(PROPER(C1078)&amp;" "&amp;IF(OR(D1078="County",D1078="Township",D1078="Village",D1078="Charter Township"),D1078,"")&amp;IF(D1078="Township"," "&amp;"("&amp;VLOOKUP(A1078,counties,3,0)&amp;")",""),"  "," "))</f>
        <v>Easton Township (Ionia County)</v>
      </c>
    </row>
    <row r="1079" spans="1:8" ht="15.75" thickBot="1" x14ac:dyDescent="0.3">
      <c r="A1079">
        <f t="shared" si="17"/>
        <v>34</v>
      </c>
      <c r="B1079" s="8">
        <v>2016</v>
      </c>
      <c r="C1079" s="1" t="s">
        <v>975</v>
      </c>
      <c r="D1079" s="1" t="s">
        <v>15</v>
      </c>
      <c r="E1079" s="2" t="s">
        <v>7</v>
      </c>
      <c r="F1079" s="9" t="s">
        <v>8</v>
      </c>
      <c r="H1079" t="str">
        <f>TRIM(SUBSTITUTE(PROPER(C1079)&amp;" "&amp;IF(OR(D1079="County",D1079="Township",D1079="Village",D1079="Charter Township"),D1079,"")&amp;IF(D1079="Township"," "&amp;"("&amp;VLOOKUP(A1079,counties,3,0)&amp;")",""),"  "," "))</f>
        <v>Ionia</v>
      </c>
    </row>
    <row r="1080" spans="1:8" ht="15.75" thickBot="1" x14ac:dyDescent="0.3">
      <c r="A1080">
        <f t="shared" si="17"/>
        <v>34</v>
      </c>
      <c r="B1080" s="10">
        <v>2016</v>
      </c>
      <c r="C1080" s="3" t="s">
        <v>975</v>
      </c>
      <c r="D1080" s="3" t="s">
        <v>6</v>
      </c>
      <c r="E1080" s="4" t="s">
        <v>7</v>
      </c>
      <c r="F1080" s="11" t="s">
        <v>8</v>
      </c>
      <c r="H1080" t="str">
        <f>TRIM(SUBSTITUTE(PROPER(C1080)&amp;" "&amp;IF(OR(D1080="County",D1080="Township",D1080="Village",D1080="Charter Township"),D1080,"")&amp;IF(D1080="Township"," "&amp;"("&amp;VLOOKUP(A1080,counties,3,0)&amp;")",""),"  "," "))</f>
        <v>Ionia County</v>
      </c>
    </row>
    <row r="1081" spans="1:8" ht="15.75" thickBot="1" x14ac:dyDescent="0.3">
      <c r="A1081">
        <f t="shared" si="17"/>
        <v>34</v>
      </c>
      <c r="B1081" s="8">
        <v>2016</v>
      </c>
      <c r="C1081" s="1" t="s">
        <v>975</v>
      </c>
      <c r="D1081" s="1" t="s">
        <v>9</v>
      </c>
      <c r="E1081" s="2" t="s">
        <v>7</v>
      </c>
      <c r="F1081" s="9" t="s">
        <v>8</v>
      </c>
      <c r="H1081" t="str">
        <f>TRIM(SUBSTITUTE(PROPER(C1081)&amp;" "&amp;IF(OR(D1081="County",D1081="Township",D1081="Village",D1081="Charter Township"),D1081,"")&amp;IF(D1081="Township"," "&amp;"("&amp;VLOOKUP(A1081,counties,3,0)&amp;")",""),"  "," "))</f>
        <v>Ionia Township (Ionia County)</v>
      </c>
    </row>
    <row r="1082" spans="1:8" ht="15.75" thickBot="1" x14ac:dyDescent="0.3">
      <c r="A1082">
        <f t="shared" si="17"/>
        <v>34</v>
      </c>
      <c r="B1082" s="10">
        <v>2016</v>
      </c>
      <c r="C1082" s="3" t="s">
        <v>976</v>
      </c>
      <c r="D1082" s="3" t="s">
        <v>17</v>
      </c>
      <c r="E1082" s="4" t="s">
        <v>7</v>
      </c>
      <c r="F1082" s="11" t="s">
        <v>8</v>
      </c>
      <c r="H1082" t="str">
        <f>TRIM(SUBSTITUTE(PROPER(C1082)&amp;" "&amp;IF(OR(D1082="County",D1082="Township",D1082="Village",D1082="Charter Township"),D1082,"")&amp;IF(D1082="Township"," "&amp;"("&amp;VLOOKUP(A1082,counties,3,0)&amp;")",""),"  "," "))</f>
        <v>Ionia City Housing Commission</v>
      </c>
    </row>
    <row r="1083" spans="1:8" ht="15.75" thickBot="1" x14ac:dyDescent="0.3">
      <c r="A1083">
        <f t="shared" si="17"/>
        <v>34</v>
      </c>
      <c r="B1083" s="8">
        <v>2016</v>
      </c>
      <c r="C1083" s="1" t="s">
        <v>977</v>
      </c>
      <c r="D1083" s="1" t="s">
        <v>42</v>
      </c>
      <c r="E1083" s="2" t="s">
        <v>7</v>
      </c>
      <c r="F1083" s="9" t="s">
        <v>8</v>
      </c>
      <c r="H1083" t="str">
        <f>TRIM(SUBSTITUTE(PROPER(C1083)&amp;" "&amp;IF(OR(D1083="County",D1083="Township",D1083="Village",D1083="Charter Township"),D1083,"")&amp;IF(D1083="Township"," "&amp;"("&amp;VLOOKUP(A1083,counties,3,0)&amp;")",""),"  "," "))</f>
        <v>Ionia Community Library</v>
      </c>
    </row>
    <row r="1084" spans="1:8" ht="15.75" thickBot="1" x14ac:dyDescent="0.3">
      <c r="A1084">
        <f t="shared" si="17"/>
        <v>34</v>
      </c>
      <c r="B1084" s="10">
        <v>2016</v>
      </c>
      <c r="C1084" s="3" t="s">
        <v>978</v>
      </c>
      <c r="D1084" s="3" t="s">
        <v>17</v>
      </c>
      <c r="E1084" s="4" t="s">
        <v>7</v>
      </c>
      <c r="F1084" s="11" t="s">
        <v>8</v>
      </c>
      <c r="H1084" t="str">
        <f>TRIM(SUBSTITUTE(PROPER(C1084)&amp;" "&amp;IF(OR(D1084="County",D1084="Township",D1084="Village",D1084="Charter Township"),D1084,"")&amp;IF(D1084="Township"," "&amp;"("&amp;VLOOKUP(A1084,counties,3,0)&amp;")",""),"  "," "))</f>
        <v>Ionia County Community Mental Health</v>
      </c>
    </row>
    <row r="1085" spans="1:8" ht="15.75" thickBot="1" x14ac:dyDescent="0.3">
      <c r="A1085">
        <f t="shared" si="17"/>
        <v>34</v>
      </c>
      <c r="B1085" s="8">
        <v>2016</v>
      </c>
      <c r="C1085" s="1" t="s">
        <v>979</v>
      </c>
      <c r="D1085" s="1" t="s">
        <v>11</v>
      </c>
      <c r="E1085" s="2" t="s">
        <v>7</v>
      </c>
      <c r="F1085" s="9" t="s">
        <v>8</v>
      </c>
      <c r="H1085" t="str">
        <f>TRIM(SUBSTITUTE(PROPER(C1085)&amp;" "&amp;IF(OR(D1085="County",D1085="Township",D1085="Village",D1085="Charter Township"),D1085,"")&amp;IF(D1085="Township"," "&amp;"("&amp;VLOOKUP(A1085,counties,3,0)&amp;")",""),"  "," "))</f>
        <v>Ionia County Road Commission</v>
      </c>
    </row>
    <row r="1086" spans="1:8" ht="15.75" thickBot="1" x14ac:dyDescent="0.3">
      <c r="A1086">
        <f t="shared" si="17"/>
        <v>34</v>
      </c>
      <c r="B1086" s="10">
        <v>2016</v>
      </c>
      <c r="C1086" s="3" t="s">
        <v>980</v>
      </c>
      <c r="D1086" s="3" t="s">
        <v>17</v>
      </c>
      <c r="E1086" s="4" t="s">
        <v>7</v>
      </c>
      <c r="F1086" s="11" t="s">
        <v>8</v>
      </c>
      <c r="H1086" t="str">
        <f>TRIM(SUBSTITUTE(PROPER(C1086)&amp;" "&amp;IF(OR(D1086="County",D1086="Township",D1086="Village",D1086="Charter Township"),D1086,"")&amp;IF(D1086="Township"," "&amp;"("&amp;VLOOKUP(A1086,counties,3,0)&amp;")",""),"  "," "))</f>
        <v>Ionia Regional Utilities Authority</v>
      </c>
    </row>
    <row r="1087" spans="1:8" ht="15.75" thickBot="1" x14ac:dyDescent="0.3">
      <c r="A1087">
        <f t="shared" si="17"/>
        <v>34</v>
      </c>
      <c r="B1087" s="8">
        <v>2016</v>
      </c>
      <c r="C1087" s="1" t="s">
        <v>981</v>
      </c>
      <c r="D1087" s="1" t="s">
        <v>9</v>
      </c>
      <c r="E1087" s="2" t="s">
        <v>7</v>
      </c>
      <c r="F1087" s="9" t="s">
        <v>8</v>
      </c>
      <c r="H1087" t="str">
        <f>TRIM(SUBSTITUTE(PROPER(C1087)&amp;" "&amp;IF(OR(D1087="County",D1087="Township",D1087="Village",D1087="Charter Township"),D1087,"")&amp;IF(D1087="Township"," "&amp;"("&amp;VLOOKUP(A1087,counties,3,0)&amp;")",""),"  "," "))</f>
        <v>Keene Township (Ionia County)</v>
      </c>
    </row>
    <row r="1088" spans="1:8" ht="15.75" thickBot="1" x14ac:dyDescent="0.3">
      <c r="A1088">
        <f t="shared" si="17"/>
        <v>34</v>
      </c>
      <c r="B1088" s="10">
        <v>2016</v>
      </c>
      <c r="C1088" s="3" t="s">
        <v>982</v>
      </c>
      <c r="D1088" s="3" t="s">
        <v>21</v>
      </c>
      <c r="E1088" s="4" t="s">
        <v>7</v>
      </c>
      <c r="F1088" s="11" t="s">
        <v>8</v>
      </c>
      <c r="H1088" t="str">
        <f>TRIM(SUBSTITUTE(PROPER(C1088)&amp;" "&amp;IF(OR(D1088="County",D1088="Township",D1088="Village",D1088="Charter Township"),D1088,"")&amp;IF(D1088="Township"," "&amp;"("&amp;VLOOKUP(A1088,counties,3,0)&amp;")",""),"  "," "))</f>
        <v>Lake Odessa Village</v>
      </c>
    </row>
    <row r="1089" spans="1:8" ht="15.75" thickBot="1" x14ac:dyDescent="0.3">
      <c r="A1089">
        <f t="shared" si="17"/>
        <v>34</v>
      </c>
      <c r="B1089" s="8">
        <v>2016</v>
      </c>
      <c r="C1089" s="1" t="s">
        <v>983</v>
      </c>
      <c r="D1089" s="1" t="s">
        <v>42</v>
      </c>
      <c r="E1089" s="2" t="s">
        <v>7</v>
      </c>
      <c r="F1089" s="9" t="s">
        <v>19</v>
      </c>
      <c r="H1089" t="str">
        <f>TRIM(SUBSTITUTE(PROPER(C1089)&amp;" "&amp;IF(OR(D1089="County",D1089="Township",D1089="Village",D1089="Charter Township"),D1089,"")&amp;IF(D1089="Township"," "&amp;"("&amp;VLOOKUP(A1089,counties,3,0)&amp;")",""),"  "," "))</f>
        <v>Lake Odessa Community Library</v>
      </c>
    </row>
    <row r="1090" spans="1:8" ht="15.75" thickBot="1" x14ac:dyDescent="0.3">
      <c r="A1090">
        <f t="shared" si="17"/>
        <v>34</v>
      </c>
      <c r="B1090" s="10">
        <v>2016</v>
      </c>
      <c r="C1090" s="3" t="s">
        <v>984</v>
      </c>
      <c r="D1090" s="3" t="s">
        <v>17</v>
      </c>
      <c r="E1090" s="4" t="s">
        <v>7</v>
      </c>
      <c r="F1090" s="11" t="s">
        <v>19</v>
      </c>
      <c r="H1090" t="str">
        <f>TRIM(SUBSTITUTE(PROPER(C1090)&amp;" "&amp;IF(OR(D1090="County",D1090="Township",D1090="Village",D1090="Charter Township"),D1090,"")&amp;IF(D1090="Township"," "&amp;"("&amp;VLOOKUP(A1090,counties,3,0)&amp;")",""),"  "," "))</f>
        <v>Lake Odessa Fire Department</v>
      </c>
    </row>
    <row r="1091" spans="1:8" ht="15.75" thickBot="1" x14ac:dyDescent="0.3">
      <c r="A1091">
        <f t="shared" ref="A1091:A1154" si="18">IF(B1091="Year",A1090+1,A1090)</f>
        <v>34</v>
      </c>
      <c r="B1091" s="8">
        <v>2016</v>
      </c>
      <c r="C1091" s="1" t="s">
        <v>985</v>
      </c>
      <c r="D1091" s="1" t="s">
        <v>17</v>
      </c>
      <c r="E1091" s="2" t="s">
        <v>7</v>
      </c>
      <c r="F1091" s="9" t="s">
        <v>8</v>
      </c>
      <c r="H1091" t="str">
        <f>TRIM(SUBSTITUTE(PROPER(C1091)&amp;" "&amp;IF(OR(D1091="County",D1091="Township",D1091="Village",D1091="Charter Township"),D1091,"")&amp;IF(D1091="Township"," "&amp;"("&amp;VLOOKUP(A1091,counties,3,0)&amp;")",""),"  "," "))</f>
        <v>Lakewood Wastewater Authority</v>
      </c>
    </row>
    <row r="1092" spans="1:8" ht="15.75" thickBot="1" x14ac:dyDescent="0.3">
      <c r="A1092">
        <f t="shared" si="18"/>
        <v>34</v>
      </c>
      <c r="B1092" s="10">
        <v>2016</v>
      </c>
      <c r="C1092" s="3" t="s">
        <v>986</v>
      </c>
      <c r="D1092" s="3" t="s">
        <v>9</v>
      </c>
      <c r="E1092" s="4" t="s">
        <v>7</v>
      </c>
      <c r="F1092" s="11" t="s">
        <v>19</v>
      </c>
      <c r="H1092" t="str">
        <f>TRIM(SUBSTITUTE(PROPER(C1092)&amp;" "&amp;IF(OR(D1092="County",D1092="Township",D1092="Village",D1092="Charter Township"),D1092,"")&amp;IF(D1092="Township"," "&amp;"("&amp;VLOOKUP(A1092,counties,3,0)&amp;")",""),"  "," "))</f>
        <v>Lyons Township (Ionia County)</v>
      </c>
    </row>
    <row r="1093" spans="1:8" ht="15.75" thickBot="1" x14ac:dyDescent="0.3">
      <c r="A1093">
        <f t="shared" si="18"/>
        <v>34</v>
      </c>
      <c r="B1093" s="8">
        <v>2016</v>
      </c>
      <c r="C1093" s="1" t="s">
        <v>986</v>
      </c>
      <c r="D1093" s="1" t="s">
        <v>21</v>
      </c>
      <c r="E1093" s="2" t="s">
        <v>7</v>
      </c>
      <c r="F1093" s="9" t="s">
        <v>19</v>
      </c>
      <c r="H1093" t="str">
        <f>TRIM(SUBSTITUTE(PROPER(C1093)&amp;" "&amp;IF(OR(D1093="County",D1093="Township",D1093="Village",D1093="Charter Township"),D1093,"")&amp;IF(D1093="Township"," "&amp;"("&amp;VLOOKUP(A1093,counties,3,0)&amp;")",""),"  "," "))</f>
        <v>Lyons Village</v>
      </c>
    </row>
    <row r="1094" spans="1:8" ht="15.75" thickBot="1" x14ac:dyDescent="0.3">
      <c r="A1094">
        <f t="shared" si="18"/>
        <v>34</v>
      </c>
      <c r="B1094" s="10">
        <v>2016</v>
      </c>
      <c r="C1094" s="3" t="s">
        <v>987</v>
      </c>
      <c r="D1094" s="3" t="s">
        <v>42</v>
      </c>
      <c r="E1094" s="4" t="s">
        <v>7</v>
      </c>
      <c r="F1094" s="11" t="s">
        <v>8</v>
      </c>
      <c r="H1094" t="str">
        <f>TRIM(SUBSTITUTE(PROPER(C1094)&amp;" "&amp;IF(OR(D1094="County",D1094="Township",D1094="Village",D1094="Charter Township"),D1094,"")&amp;IF(D1094="Township"," "&amp;"("&amp;VLOOKUP(A1094,counties,3,0)&amp;")",""),"  "," "))</f>
        <v>Lyons Township District Library</v>
      </c>
    </row>
    <row r="1095" spans="1:8" ht="15.75" thickBot="1" x14ac:dyDescent="0.3">
      <c r="A1095">
        <f t="shared" si="18"/>
        <v>34</v>
      </c>
      <c r="B1095" s="8">
        <v>2016</v>
      </c>
      <c r="C1095" s="1" t="s">
        <v>988</v>
      </c>
      <c r="D1095" s="1" t="s">
        <v>21</v>
      </c>
      <c r="E1095" s="2" t="s">
        <v>7</v>
      </c>
      <c r="F1095" s="9" t="s">
        <v>8</v>
      </c>
      <c r="H1095" t="str">
        <f>TRIM(SUBSTITUTE(PROPER(C1095)&amp;" "&amp;IF(OR(D1095="County",D1095="Township",D1095="Village",D1095="Charter Township"),D1095,"")&amp;IF(D1095="Township"," "&amp;"("&amp;VLOOKUP(A1095,counties,3,0)&amp;")",""),"  "," "))</f>
        <v>Muir Village</v>
      </c>
    </row>
    <row r="1096" spans="1:8" ht="15.75" thickBot="1" x14ac:dyDescent="0.3">
      <c r="A1096">
        <f t="shared" si="18"/>
        <v>34</v>
      </c>
      <c r="B1096" s="10">
        <v>2016</v>
      </c>
      <c r="C1096" s="3" t="s">
        <v>989</v>
      </c>
      <c r="D1096" s="3" t="s">
        <v>9</v>
      </c>
      <c r="E1096" s="4" t="s">
        <v>7</v>
      </c>
      <c r="F1096" s="11" t="s">
        <v>8</v>
      </c>
      <c r="H1096" t="str">
        <f>TRIM(SUBSTITUTE(PROPER(C1096)&amp;" "&amp;IF(OR(D1096="County",D1096="Township",D1096="Village",D1096="Charter Township"),D1096,"")&amp;IF(D1096="Township"," "&amp;"("&amp;VLOOKUP(A1096,counties,3,0)&amp;")",""),"  "," "))</f>
        <v>Odessa Township (Ionia County)</v>
      </c>
    </row>
    <row r="1097" spans="1:8" ht="15.75" thickBot="1" x14ac:dyDescent="0.3">
      <c r="A1097">
        <f t="shared" si="18"/>
        <v>34</v>
      </c>
      <c r="B1097" s="8">
        <v>2016</v>
      </c>
      <c r="C1097" s="1" t="s">
        <v>990</v>
      </c>
      <c r="D1097" s="1" t="s">
        <v>9</v>
      </c>
      <c r="E1097" s="2" t="s">
        <v>7</v>
      </c>
      <c r="F1097" s="9" t="s">
        <v>8</v>
      </c>
      <c r="H1097" t="str">
        <f>TRIM(SUBSTITUTE(PROPER(C1097)&amp;" "&amp;IF(OR(D1097="County",D1097="Township",D1097="Village",D1097="Charter Township"),D1097,"")&amp;IF(D1097="Township"," "&amp;"("&amp;VLOOKUP(A1097,counties,3,0)&amp;")",""),"  "," "))</f>
        <v>Orange Township (Ionia County)</v>
      </c>
    </row>
    <row r="1098" spans="1:8" ht="15.75" thickBot="1" x14ac:dyDescent="0.3">
      <c r="A1098">
        <f t="shared" si="18"/>
        <v>34</v>
      </c>
      <c r="B1098" s="10">
        <v>2016</v>
      </c>
      <c r="C1098" s="3" t="s">
        <v>991</v>
      </c>
      <c r="D1098" s="3" t="s">
        <v>9</v>
      </c>
      <c r="E1098" s="4" t="s">
        <v>7</v>
      </c>
      <c r="F1098" s="11" t="s">
        <v>8</v>
      </c>
      <c r="H1098" t="str">
        <f>TRIM(SUBSTITUTE(PROPER(C1098)&amp;" "&amp;IF(OR(D1098="County",D1098="Township",D1098="Village",D1098="Charter Township"),D1098,"")&amp;IF(D1098="Township"," "&amp;"("&amp;VLOOKUP(A1098,counties,3,0)&amp;")",""),"  "," "))</f>
        <v>Orleans Township (Ionia County)</v>
      </c>
    </row>
    <row r="1099" spans="1:8" ht="15.75" thickBot="1" x14ac:dyDescent="0.3">
      <c r="A1099">
        <f t="shared" si="18"/>
        <v>34</v>
      </c>
      <c r="B1099" s="8">
        <v>2016</v>
      </c>
      <c r="C1099" s="1" t="s">
        <v>992</v>
      </c>
      <c r="D1099" s="1" t="s">
        <v>9</v>
      </c>
      <c r="E1099" s="2" t="s">
        <v>7</v>
      </c>
      <c r="F1099" s="9" t="s">
        <v>8</v>
      </c>
      <c r="H1099" t="str">
        <f>TRIM(SUBSTITUTE(PROPER(C1099)&amp;" "&amp;IF(OR(D1099="County",D1099="Township",D1099="Village",D1099="Charter Township"),D1099,"")&amp;IF(D1099="Township"," "&amp;"("&amp;VLOOKUP(A1099,counties,3,0)&amp;")",""),"  "," "))</f>
        <v>Otisco Township (Ionia County)</v>
      </c>
    </row>
    <row r="1100" spans="1:8" ht="15.75" thickBot="1" x14ac:dyDescent="0.3">
      <c r="A1100">
        <f t="shared" si="18"/>
        <v>34</v>
      </c>
      <c r="B1100" s="10">
        <v>2016</v>
      </c>
      <c r="C1100" s="3" t="s">
        <v>993</v>
      </c>
      <c r="D1100" s="3" t="s">
        <v>21</v>
      </c>
      <c r="E1100" s="4" t="s">
        <v>7</v>
      </c>
      <c r="F1100" s="11" t="s">
        <v>8</v>
      </c>
      <c r="H1100" t="str">
        <f>TRIM(SUBSTITUTE(PROPER(C1100)&amp;" "&amp;IF(OR(D1100="County",D1100="Township",D1100="Village",D1100="Charter Township"),D1100,"")&amp;IF(D1100="Township"," "&amp;"("&amp;VLOOKUP(A1100,counties,3,0)&amp;")",""),"  "," "))</f>
        <v>Pewamo Village</v>
      </c>
    </row>
    <row r="1101" spans="1:8" ht="15.75" thickBot="1" x14ac:dyDescent="0.3">
      <c r="A1101">
        <f t="shared" si="18"/>
        <v>34</v>
      </c>
      <c r="B1101" s="8">
        <v>2016</v>
      </c>
      <c r="C1101" s="1" t="s">
        <v>994</v>
      </c>
      <c r="D1101" s="1" t="s">
        <v>15</v>
      </c>
      <c r="E1101" s="2" t="s">
        <v>7</v>
      </c>
      <c r="F1101" s="9" t="s">
        <v>8</v>
      </c>
      <c r="H1101" t="str">
        <f>TRIM(SUBSTITUTE(PROPER(C1101)&amp;" "&amp;IF(OR(D1101="County",D1101="Township",D1101="Village",D1101="Charter Township"),D1101,"")&amp;IF(D1101="Township"," "&amp;"("&amp;VLOOKUP(A1101,counties,3,0)&amp;")",""),"  "," "))</f>
        <v>Portland</v>
      </c>
    </row>
    <row r="1102" spans="1:8" ht="15.75" thickBot="1" x14ac:dyDescent="0.3">
      <c r="A1102">
        <f t="shared" si="18"/>
        <v>34</v>
      </c>
      <c r="B1102" s="10">
        <v>2016</v>
      </c>
      <c r="C1102" s="3" t="s">
        <v>994</v>
      </c>
      <c r="D1102" s="3" t="s">
        <v>9</v>
      </c>
      <c r="E1102" s="4" t="s">
        <v>7</v>
      </c>
      <c r="F1102" s="11" t="s">
        <v>8</v>
      </c>
      <c r="H1102" t="str">
        <f>TRIM(SUBSTITUTE(PROPER(C1102)&amp;" "&amp;IF(OR(D1102="County",D1102="Township",D1102="Village",D1102="Charter Township"),D1102,"")&amp;IF(D1102="Township"," "&amp;"("&amp;VLOOKUP(A1102,counties,3,0)&amp;")",""),"  "," "))</f>
        <v>Portland Township (Ionia County)</v>
      </c>
    </row>
    <row r="1103" spans="1:8" ht="15.75" thickBot="1" x14ac:dyDescent="0.3">
      <c r="A1103">
        <f t="shared" si="18"/>
        <v>34</v>
      </c>
      <c r="B1103" s="8">
        <v>2016</v>
      </c>
      <c r="C1103" s="1" t="s">
        <v>995</v>
      </c>
      <c r="D1103" s="1" t="s">
        <v>17</v>
      </c>
      <c r="E1103" s="2" t="s">
        <v>7</v>
      </c>
      <c r="F1103" s="9" t="s">
        <v>8</v>
      </c>
      <c r="H1103" t="str">
        <f>TRIM(SUBSTITUTE(PROPER(C1103)&amp;" "&amp;IF(OR(D1103="County",D1103="Township",D1103="Village",D1103="Charter Township"),D1103,"")&amp;IF(D1103="Township"," "&amp;"("&amp;VLOOKUP(A1103,counties,3,0)&amp;")",""),"  "," "))</f>
        <v>Portland Area Fire Authority</v>
      </c>
    </row>
    <row r="1104" spans="1:8" ht="15.75" thickBot="1" x14ac:dyDescent="0.3">
      <c r="A1104">
        <f t="shared" si="18"/>
        <v>34</v>
      </c>
      <c r="B1104" s="10">
        <v>2016</v>
      </c>
      <c r="C1104" s="3" t="s">
        <v>996</v>
      </c>
      <c r="D1104" s="3" t="s">
        <v>17</v>
      </c>
      <c r="E1104" s="4" t="s">
        <v>7</v>
      </c>
      <c r="F1104" s="11" t="s">
        <v>8</v>
      </c>
      <c r="H1104" t="str">
        <f>TRIM(SUBSTITUTE(PROPER(C1104)&amp;" "&amp;IF(OR(D1104="County",D1104="Township",D1104="Village",D1104="Charter Township"),D1104,"")&amp;IF(D1104="Township"," "&amp;"("&amp;VLOOKUP(A1104,counties,3,0)&amp;")",""),"  "," "))</f>
        <v>Portland Area Municipal Authority</v>
      </c>
    </row>
    <row r="1105" spans="1:8" ht="15.75" thickBot="1" x14ac:dyDescent="0.3">
      <c r="A1105">
        <f t="shared" si="18"/>
        <v>34</v>
      </c>
      <c r="B1105" s="8">
        <v>2016</v>
      </c>
      <c r="C1105" s="1" t="s">
        <v>997</v>
      </c>
      <c r="D1105" s="1" t="s">
        <v>42</v>
      </c>
      <c r="E1105" s="2" t="s">
        <v>7</v>
      </c>
      <c r="F1105" s="9" t="s">
        <v>8</v>
      </c>
      <c r="H1105" t="str">
        <f>TRIM(SUBSTITUTE(PROPER(C1105)&amp;" "&amp;IF(OR(D1105="County",D1105="Township",D1105="Village",D1105="Charter Township"),D1105,"")&amp;IF(D1105="Township"," "&amp;"("&amp;VLOOKUP(A1105,counties,3,0)&amp;")",""),"  "," "))</f>
        <v>Portland District Library</v>
      </c>
    </row>
    <row r="1106" spans="1:8" ht="15.75" thickBot="1" x14ac:dyDescent="0.3">
      <c r="A1106">
        <f t="shared" si="18"/>
        <v>34</v>
      </c>
      <c r="B1106" s="10">
        <v>2016</v>
      </c>
      <c r="C1106" s="3" t="s">
        <v>998</v>
      </c>
      <c r="D1106" s="3" t="s">
        <v>9</v>
      </c>
      <c r="E1106" s="4" t="s">
        <v>7</v>
      </c>
      <c r="F1106" s="11" t="s">
        <v>8</v>
      </c>
      <c r="H1106" t="str">
        <f>TRIM(SUBSTITUTE(PROPER(C1106)&amp;" "&amp;IF(OR(D1106="County",D1106="Township",D1106="Village",D1106="Charter Township"),D1106,"")&amp;IF(D1106="Township"," "&amp;"("&amp;VLOOKUP(A1106,counties,3,0)&amp;")",""),"  "," "))</f>
        <v>Ronald Township (Ionia County)</v>
      </c>
    </row>
    <row r="1107" spans="1:8" ht="15.75" thickBot="1" x14ac:dyDescent="0.3">
      <c r="A1107">
        <f t="shared" si="18"/>
        <v>34</v>
      </c>
      <c r="B1107" s="8">
        <v>2016</v>
      </c>
      <c r="C1107" s="1" t="s">
        <v>999</v>
      </c>
      <c r="D1107" s="1" t="s">
        <v>21</v>
      </c>
      <c r="E1107" s="2" t="s">
        <v>7</v>
      </c>
      <c r="F1107" s="9" t="s">
        <v>19</v>
      </c>
      <c r="H1107" t="str">
        <f>TRIM(SUBSTITUTE(PROPER(C1107)&amp;" "&amp;IF(OR(D1107="County",D1107="Township",D1107="Village",D1107="Charter Township"),D1107,"")&amp;IF(D1107="Township"," "&amp;"("&amp;VLOOKUP(A1107,counties,3,0)&amp;")",""),"  "," "))</f>
        <v>Saranac Village</v>
      </c>
    </row>
    <row r="1108" spans="1:8" ht="15.75" thickBot="1" x14ac:dyDescent="0.3">
      <c r="A1108">
        <f t="shared" si="18"/>
        <v>34</v>
      </c>
      <c r="B1108" s="10">
        <v>2016</v>
      </c>
      <c r="C1108" s="3" t="s">
        <v>1000</v>
      </c>
      <c r="D1108" s="3" t="s">
        <v>42</v>
      </c>
      <c r="E1108" s="4" t="s">
        <v>7</v>
      </c>
      <c r="F1108" s="11" t="s">
        <v>8</v>
      </c>
      <c r="H1108" t="str">
        <f>TRIM(SUBSTITUTE(PROPER(C1108)&amp;" "&amp;IF(OR(D1108="County",D1108="Township",D1108="Village",D1108="Charter Township"),D1108,"")&amp;IF(D1108="Township"," "&amp;"("&amp;VLOOKUP(A1108,counties,3,0)&amp;")",""),"  "," "))</f>
        <v>Saranac Public Library</v>
      </c>
    </row>
    <row r="1109" spans="1:8" ht="15.75" thickBot="1" x14ac:dyDescent="0.3">
      <c r="A1109">
        <f t="shared" si="18"/>
        <v>34</v>
      </c>
      <c r="B1109" s="8">
        <v>2016</v>
      </c>
      <c r="C1109" s="1" t="s">
        <v>1001</v>
      </c>
      <c r="D1109" s="1" t="s">
        <v>17</v>
      </c>
      <c r="E1109" s="2" t="s">
        <v>7</v>
      </c>
      <c r="F1109" s="9" t="s">
        <v>8</v>
      </c>
      <c r="H1109" t="str">
        <f>TRIM(SUBSTITUTE(PROPER(C1109)&amp;" "&amp;IF(OR(D1109="County",D1109="Township",D1109="Village",D1109="Charter Township"),D1109,"")&amp;IF(D1109="Township"," "&amp;"("&amp;VLOOKUP(A1109,counties,3,0)&amp;")",""),"  "," "))</f>
        <v>Saranac Village Housing Commission</v>
      </c>
    </row>
    <row r="1110" spans="1:8" ht="15.75" thickBot="1" x14ac:dyDescent="0.3">
      <c r="A1110">
        <f t="shared" si="18"/>
        <v>34</v>
      </c>
      <c r="B1110" s="12">
        <v>2016</v>
      </c>
      <c r="C1110" s="13" t="s">
        <v>1002</v>
      </c>
      <c r="D1110" s="13" t="s">
        <v>9</v>
      </c>
      <c r="E1110" s="14" t="s">
        <v>7</v>
      </c>
      <c r="F1110" s="15" t="s">
        <v>8</v>
      </c>
      <c r="H1110" t="str">
        <f>TRIM(SUBSTITUTE(PROPER(C1110)&amp;" "&amp;IF(OR(D1110="County",D1110="Township",D1110="Village",D1110="Charter Township"),D1110,"")&amp;IF(D1110="Township"," "&amp;"("&amp;VLOOKUP(A1110,counties,3,0)&amp;")",""),"  "," "))</f>
        <v>Sebewa Township (Ionia County)</v>
      </c>
    </row>
    <row r="1111" spans="1:8" ht="16.5" thickTop="1" thickBot="1" x14ac:dyDescent="0.3">
      <c r="A1111">
        <f t="shared" si="18"/>
        <v>35</v>
      </c>
      <c r="B1111" s="5" t="s">
        <v>0</v>
      </c>
      <c r="C1111" s="6" t="s">
        <v>1</v>
      </c>
      <c r="D1111" s="6" t="s">
        <v>2</v>
      </c>
      <c r="E1111" s="6" t="s">
        <v>3</v>
      </c>
      <c r="F1111" s="7" t="s">
        <v>4</v>
      </c>
      <c r="H1111" t="str">
        <f>TRIM(SUBSTITUTE(PROPER(C1111)&amp;" "&amp;IF(OR(D1111="County",D1111="Township",D1111="Village",D1111="Charter Township"),D1111,"")&amp;IF(D1111="Township"," "&amp;"("&amp;VLOOKUP(A1111,counties,3,0)&amp;")",""),"  "," "))</f>
        <v>Municipality</v>
      </c>
    </row>
    <row r="1112" spans="1:8" ht="15.75" thickBot="1" x14ac:dyDescent="0.3">
      <c r="A1112">
        <f t="shared" si="18"/>
        <v>35</v>
      </c>
      <c r="B1112" s="8">
        <v>2016</v>
      </c>
      <c r="C1112" s="1" t="s">
        <v>1003</v>
      </c>
      <c r="D1112" s="1" t="s">
        <v>9</v>
      </c>
      <c r="E1112" s="2" t="s">
        <v>7</v>
      </c>
      <c r="F1112" s="9" t="s">
        <v>8</v>
      </c>
      <c r="H1112" t="str">
        <f>TRIM(SUBSTITUTE(PROPER(C1112)&amp;" "&amp;IF(OR(D1112="County",D1112="Township",D1112="Village",D1112="Charter Township"),D1112,"")&amp;IF(D1112="Township"," "&amp;"("&amp;VLOOKUP(A1112,counties,3,0)&amp;")",""),"  "," "))</f>
        <v>Alabaster Township (Iosco County)</v>
      </c>
    </row>
    <row r="1113" spans="1:8" ht="15.75" thickBot="1" x14ac:dyDescent="0.3">
      <c r="A1113">
        <f t="shared" si="18"/>
        <v>35</v>
      </c>
      <c r="B1113" s="10">
        <v>2016</v>
      </c>
      <c r="C1113" s="3" t="s">
        <v>1004</v>
      </c>
      <c r="D1113" s="3" t="s">
        <v>9</v>
      </c>
      <c r="E1113" s="4" t="s">
        <v>7</v>
      </c>
      <c r="F1113" s="11" t="s">
        <v>8</v>
      </c>
      <c r="H1113" t="str">
        <f>TRIM(SUBSTITUTE(PROPER(C1113)&amp;" "&amp;IF(OR(D1113="County",D1113="Township",D1113="Village",D1113="Charter Township"),D1113,"")&amp;IF(D1113="Township"," "&amp;"("&amp;VLOOKUP(A1113,counties,3,0)&amp;")",""),"  "," "))</f>
        <v>Ausable Charter Township Township (Iosco County)</v>
      </c>
    </row>
    <row r="1114" spans="1:8" ht="15.75" thickBot="1" x14ac:dyDescent="0.3">
      <c r="A1114">
        <f t="shared" si="18"/>
        <v>35</v>
      </c>
      <c r="B1114" s="8">
        <v>2016</v>
      </c>
      <c r="C1114" s="1" t="s">
        <v>1005</v>
      </c>
      <c r="D1114" s="1" t="s">
        <v>17</v>
      </c>
      <c r="E1114" s="2" t="s">
        <v>7</v>
      </c>
      <c r="F1114" s="9" t="s">
        <v>8</v>
      </c>
      <c r="H1114" t="str">
        <f>TRIM(SUBSTITUTE(PROPER(C1114)&amp;" "&amp;IF(OR(D1114="County",D1114="Township",D1114="Village",D1114="Charter Township"),D1114,"")&amp;IF(D1114="Township"," "&amp;"("&amp;VLOOKUP(A1114,counties,3,0)&amp;")",""),"  "," "))</f>
        <v>Ausable Valley Community Mental Health Services</v>
      </c>
    </row>
    <row r="1115" spans="1:8" ht="15.75" thickBot="1" x14ac:dyDescent="0.3">
      <c r="A1115">
        <f t="shared" si="18"/>
        <v>35</v>
      </c>
      <c r="B1115" s="10">
        <v>2016</v>
      </c>
      <c r="C1115" s="3" t="s">
        <v>550</v>
      </c>
      <c r="D1115" s="3" t="s">
        <v>9</v>
      </c>
      <c r="E1115" s="4" t="s">
        <v>7</v>
      </c>
      <c r="F1115" s="11" t="s">
        <v>8</v>
      </c>
      <c r="H1115" t="str">
        <f>TRIM(SUBSTITUTE(PROPER(C1115)&amp;" "&amp;IF(OR(D1115="County",D1115="Township",D1115="Village",D1115="Charter Township"),D1115,"")&amp;IF(D1115="Township"," "&amp;"("&amp;VLOOKUP(A1115,counties,3,0)&amp;")",""),"  "," "))</f>
        <v>Baldwin Township (Iosco County)</v>
      </c>
    </row>
    <row r="1116" spans="1:8" ht="15.75" thickBot="1" x14ac:dyDescent="0.3">
      <c r="A1116">
        <f t="shared" si="18"/>
        <v>35</v>
      </c>
      <c r="B1116" s="8">
        <v>2016</v>
      </c>
      <c r="C1116" s="1" t="s">
        <v>1006</v>
      </c>
      <c r="D1116" s="1" t="s">
        <v>9</v>
      </c>
      <c r="E1116" s="2" t="s">
        <v>7</v>
      </c>
      <c r="F1116" s="9" t="s">
        <v>8</v>
      </c>
      <c r="H1116" t="str">
        <f>TRIM(SUBSTITUTE(PROPER(C1116)&amp;" "&amp;IF(OR(D1116="County",D1116="Township",D1116="Village",D1116="Charter Township"),D1116,"")&amp;IF(D1116="Township"," "&amp;"("&amp;VLOOKUP(A1116,counties,3,0)&amp;")",""),"  "," "))</f>
        <v>Burleigh Township (Iosco County)</v>
      </c>
    </row>
    <row r="1117" spans="1:8" ht="15.75" thickBot="1" x14ac:dyDescent="0.3">
      <c r="A1117">
        <f t="shared" si="18"/>
        <v>35</v>
      </c>
      <c r="B1117" s="10">
        <v>2016</v>
      </c>
      <c r="C1117" s="3" t="s">
        <v>1007</v>
      </c>
      <c r="D1117" s="3" t="s">
        <v>15</v>
      </c>
      <c r="E1117" s="4" t="s">
        <v>7</v>
      </c>
      <c r="F1117" s="11" t="s">
        <v>8</v>
      </c>
      <c r="H1117" t="str">
        <f>TRIM(SUBSTITUTE(PROPER(C1117)&amp;" "&amp;IF(OR(D1117="County",D1117="Township",D1117="Village",D1117="Charter Township"),D1117,"")&amp;IF(D1117="Township"," "&amp;"("&amp;VLOOKUP(A1117,counties,3,0)&amp;")",""),"  "," "))</f>
        <v>East Tawas</v>
      </c>
    </row>
    <row r="1118" spans="1:8" ht="15.75" thickBot="1" x14ac:dyDescent="0.3">
      <c r="A1118">
        <f t="shared" si="18"/>
        <v>35</v>
      </c>
      <c r="B1118" s="8">
        <v>2016</v>
      </c>
      <c r="C1118" s="1" t="s">
        <v>1008</v>
      </c>
      <c r="D1118" s="1" t="s">
        <v>17</v>
      </c>
      <c r="E1118" s="2" t="s">
        <v>7</v>
      </c>
      <c r="F1118" s="9" t="s">
        <v>8</v>
      </c>
      <c r="H1118" t="str">
        <f>TRIM(SUBSTITUTE(PROPER(C1118)&amp;" "&amp;IF(OR(D1118="County",D1118="Township",D1118="Village",D1118="Charter Township"),D1118,"")&amp;IF(D1118="Township"," "&amp;"("&amp;VLOOKUP(A1118,counties,3,0)&amp;")",""),"  "," "))</f>
        <v>East Tawas City Park</v>
      </c>
    </row>
    <row r="1119" spans="1:8" ht="15.75" thickBot="1" x14ac:dyDescent="0.3">
      <c r="A1119">
        <f t="shared" si="18"/>
        <v>35</v>
      </c>
      <c r="B1119" s="10">
        <v>2016</v>
      </c>
      <c r="C1119" s="3" t="s">
        <v>1009</v>
      </c>
      <c r="D1119" s="3" t="s">
        <v>17</v>
      </c>
      <c r="E1119" s="4" t="s">
        <v>7</v>
      </c>
      <c r="F1119" s="11" t="s">
        <v>8</v>
      </c>
      <c r="H1119" t="str">
        <f>TRIM(SUBSTITUTE(PROPER(C1119)&amp;" "&amp;IF(OR(D1119="County",D1119="Township",D1119="Village",D1119="Charter Township"),D1119,"")&amp;IF(D1119="Township"," "&amp;"("&amp;VLOOKUP(A1119,counties,3,0)&amp;")",""),"  "," "))</f>
        <v>East Tawas Housing Commission</v>
      </c>
    </row>
    <row r="1120" spans="1:8" ht="15.75" thickBot="1" x14ac:dyDescent="0.3">
      <c r="A1120">
        <f t="shared" si="18"/>
        <v>35</v>
      </c>
      <c r="B1120" s="8">
        <v>2016</v>
      </c>
      <c r="C1120" s="1" t="s">
        <v>1010</v>
      </c>
      <c r="D1120" s="1" t="s">
        <v>17</v>
      </c>
      <c r="E1120" s="2" t="s">
        <v>7</v>
      </c>
      <c r="F1120" s="9" t="s">
        <v>8</v>
      </c>
      <c r="H1120" t="str">
        <f>TRIM(SUBSTITUTE(PROPER(C1120)&amp;" "&amp;IF(OR(D1120="County",D1120="Township",D1120="Village",D1120="Charter Township"),D1120,"")&amp;IF(D1120="Township"," "&amp;"("&amp;VLOOKUP(A1120,counties,3,0)&amp;")",""),"  "," "))</f>
        <v>Huron Shore Regional Utility Authority</v>
      </c>
    </row>
    <row r="1121" spans="1:8" ht="15.75" thickBot="1" x14ac:dyDescent="0.3">
      <c r="A1121">
        <f t="shared" si="18"/>
        <v>35</v>
      </c>
      <c r="B1121" s="10">
        <v>2016</v>
      </c>
      <c r="C1121" s="3" t="s">
        <v>1011</v>
      </c>
      <c r="D1121" s="3" t="s">
        <v>6</v>
      </c>
      <c r="E1121" s="4" t="s">
        <v>7</v>
      </c>
      <c r="F1121" s="11" t="s">
        <v>8</v>
      </c>
      <c r="H1121" t="str">
        <f>TRIM(SUBSTITUTE(PROPER(C1121)&amp;" "&amp;IF(OR(D1121="County",D1121="Township",D1121="Village",D1121="Charter Township"),D1121,"")&amp;IF(D1121="Township"," "&amp;"("&amp;VLOOKUP(A1121,counties,3,0)&amp;")",""),"  "," "))</f>
        <v>Iosco County</v>
      </c>
    </row>
    <row r="1122" spans="1:8" ht="15.75" thickBot="1" x14ac:dyDescent="0.3">
      <c r="A1122">
        <f t="shared" si="18"/>
        <v>35</v>
      </c>
      <c r="B1122" s="8">
        <v>2016</v>
      </c>
      <c r="C1122" s="1" t="s">
        <v>1012</v>
      </c>
      <c r="D1122" s="1" t="s">
        <v>17</v>
      </c>
      <c r="E1122" s="2" t="s">
        <v>7</v>
      </c>
      <c r="F1122" s="9" t="s">
        <v>8</v>
      </c>
      <c r="H1122" t="str">
        <f>TRIM(SUBSTITUTE(PROPER(C1122)&amp;" "&amp;IF(OR(D1122="County",D1122="Township",D1122="Village",D1122="Charter Township"),D1122,"")&amp;IF(D1122="Township"," "&amp;"("&amp;VLOOKUP(A1122,counties,3,0)&amp;")",""),"  "," "))</f>
        <v>Iosco County Medical Care Facility</v>
      </c>
    </row>
    <row r="1123" spans="1:8" ht="15.75" thickBot="1" x14ac:dyDescent="0.3">
      <c r="A1123">
        <f t="shared" si="18"/>
        <v>35</v>
      </c>
      <c r="B1123" s="10">
        <v>2016</v>
      </c>
      <c r="C1123" s="3" t="s">
        <v>1013</v>
      </c>
      <c r="D1123" s="3" t="s">
        <v>11</v>
      </c>
      <c r="E1123" s="4" t="s">
        <v>7</v>
      </c>
      <c r="F1123" s="11" t="s">
        <v>8</v>
      </c>
      <c r="H1123" t="str">
        <f>TRIM(SUBSTITUTE(PROPER(C1123)&amp;" "&amp;IF(OR(D1123="County",D1123="Township",D1123="Village",D1123="Charter Township"),D1123,"")&amp;IF(D1123="Township"," "&amp;"("&amp;VLOOKUP(A1123,counties,3,0)&amp;")",""),"  "," "))</f>
        <v>Iosco County Road Commission</v>
      </c>
    </row>
    <row r="1124" spans="1:8" ht="15.75" thickBot="1" x14ac:dyDescent="0.3">
      <c r="A1124">
        <f t="shared" si="18"/>
        <v>35</v>
      </c>
      <c r="B1124" s="8">
        <v>2016</v>
      </c>
      <c r="C1124" s="1" t="s">
        <v>1014</v>
      </c>
      <c r="D1124" s="1" t="s">
        <v>17</v>
      </c>
      <c r="E1124" s="2" t="s">
        <v>7</v>
      </c>
      <c r="F1124" s="9" t="s">
        <v>8</v>
      </c>
      <c r="H1124" t="str">
        <f>TRIM(SUBSTITUTE(PROPER(C1124)&amp;" "&amp;IF(OR(D1124="County",D1124="Township",D1124="Village",D1124="Charter Township"),D1124,"")&amp;IF(D1124="Township"," "&amp;"("&amp;VLOOKUP(A1124,counties,3,0)&amp;")",""),"  "," "))</f>
        <v>Iosco Transit Corporation</v>
      </c>
    </row>
    <row r="1125" spans="1:8" ht="15.75" thickBot="1" x14ac:dyDescent="0.3">
      <c r="A1125">
        <f t="shared" si="18"/>
        <v>35</v>
      </c>
      <c r="B1125" s="10">
        <v>2016</v>
      </c>
      <c r="C1125" s="3" t="s">
        <v>1015</v>
      </c>
      <c r="D1125" s="3" t="s">
        <v>42</v>
      </c>
      <c r="E1125" s="4" t="s">
        <v>7</v>
      </c>
      <c r="F1125" s="11" t="s">
        <v>8</v>
      </c>
      <c r="H1125" t="str">
        <f>TRIM(SUBSTITUTE(PROPER(C1125)&amp;" "&amp;IF(OR(D1125="County",D1125="Township",D1125="Village",D1125="Charter Township"),D1125,"")&amp;IF(D1125="Township"," "&amp;"("&amp;VLOOKUP(A1125,counties,3,0)&amp;")",""),"  "," "))</f>
        <v>Iosco-Arenac District Library</v>
      </c>
    </row>
    <row r="1126" spans="1:8" ht="15.75" thickBot="1" x14ac:dyDescent="0.3">
      <c r="A1126">
        <f t="shared" si="18"/>
        <v>35</v>
      </c>
      <c r="B1126" s="8">
        <v>2016</v>
      </c>
      <c r="C1126" s="1" t="s">
        <v>1016</v>
      </c>
      <c r="D1126" s="1" t="s">
        <v>9</v>
      </c>
      <c r="E1126" s="2" t="s">
        <v>7</v>
      </c>
      <c r="F1126" s="9" t="s">
        <v>8</v>
      </c>
      <c r="H1126" t="str">
        <f>TRIM(SUBSTITUTE(PROPER(C1126)&amp;" "&amp;IF(OR(D1126="County",D1126="Township",D1126="Village",D1126="Charter Township"),D1126,"")&amp;IF(D1126="Township"," "&amp;"("&amp;VLOOKUP(A1126,counties,3,0)&amp;")",""),"  "," "))</f>
        <v>Oscoda Charter Township (Iosco County)</v>
      </c>
    </row>
    <row r="1127" spans="1:8" ht="15.75" thickBot="1" x14ac:dyDescent="0.3">
      <c r="A1127">
        <f t="shared" si="18"/>
        <v>35</v>
      </c>
      <c r="B1127" s="10">
        <v>2016</v>
      </c>
      <c r="C1127" s="3" t="s">
        <v>1017</v>
      </c>
      <c r="D1127" s="3" t="s">
        <v>17</v>
      </c>
      <c r="E1127" s="4" t="s">
        <v>7</v>
      </c>
      <c r="F1127" s="11" t="s">
        <v>8</v>
      </c>
      <c r="H1127" t="str">
        <f>TRIM(SUBSTITUTE(PROPER(C1127)&amp;" "&amp;IF(OR(D1127="County",D1127="Township",D1127="Village",D1127="Charter Township"),D1127,"")&amp;IF(D1127="Township"," "&amp;"("&amp;VLOOKUP(A1127,counties,3,0)&amp;")",""),"  "," "))</f>
        <v>Oscoda-Ausable Twp Senior Center Building Auth</v>
      </c>
    </row>
    <row r="1128" spans="1:8" ht="15.75" thickBot="1" x14ac:dyDescent="0.3">
      <c r="A1128">
        <f t="shared" si="18"/>
        <v>35</v>
      </c>
      <c r="B1128" s="8">
        <v>2016</v>
      </c>
      <c r="C1128" s="1" t="s">
        <v>1018</v>
      </c>
      <c r="D1128" s="1" t="s">
        <v>17</v>
      </c>
      <c r="E1128" s="2" t="s">
        <v>7</v>
      </c>
      <c r="F1128" s="9" t="s">
        <v>8</v>
      </c>
      <c r="H1128" t="str">
        <f>TRIM(SUBSTITUTE(PROPER(C1128)&amp;" "&amp;IF(OR(D1128="County",D1128="Township",D1128="Village",D1128="Charter Township"),D1128,"")&amp;IF(D1128="Township"," "&amp;"("&amp;VLOOKUP(A1128,counties,3,0)&amp;")",""),"  "," "))</f>
        <v>Oscoda-Wurtsmith Airport Authority</v>
      </c>
    </row>
    <row r="1129" spans="1:8" ht="15.75" thickBot="1" x14ac:dyDescent="0.3">
      <c r="A1129">
        <f t="shared" si="18"/>
        <v>35</v>
      </c>
      <c r="B1129" s="10">
        <v>2016</v>
      </c>
      <c r="C1129" s="3" t="s">
        <v>1019</v>
      </c>
      <c r="D1129" s="3" t="s">
        <v>9</v>
      </c>
      <c r="E1129" s="4" t="s">
        <v>7</v>
      </c>
      <c r="F1129" s="11" t="s">
        <v>8</v>
      </c>
      <c r="H1129" t="str">
        <f>TRIM(SUBSTITUTE(PROPER(C1129)&amp;" "&amp;IF(OR(D1129="County",D1129="Township",D1129="Village",D1129="Charter Township"),D1129,"")&amp;IF(D1129="Township"," "&amp;"("&amp;VLOOKUP(A1129,counties,3,0)&amp;")",""),"  "," "))</f>
        <v>Plainfield Township (Iosco County)</v>
      </c>
    </row>
    <row r="1130" spans="1:8" ht="15.75" thickBot="1" x14ac:dyDescent="0.3">
      <c r="A1130">
        <f t="shared" si="18"/>
        <v>35</v>
      </c>
      <c r="B1130" s="8">
        <v>2016</v>
      </c>
      <c r="C1130" s="1" t="s">
        <v>1020</v>
      </c>
      <c r="D1130" s="1" t="s">
        <v>9</v>
      </c>
      <c r="E1130" s="2" t="s">
        <v>7</v>
      </c>
      <c r="F1130" s="9" t="s">
        <v>8</v>
      </c>
      <c r="H1130" t="str">
        <f>TRIM(SUBSTITUTE(PROPER(C1130)&amp;" "&amp;IF(OR(D1130="County",D1130="Township",D1130="Village",D1130="Charter Township"),D1130,"")&amp;IF(D1130="Township"," "&amp;"("&amp;VLOOKUP(A1130,counties,3,0)&amp;")",""),"  "," "))</f>
        <v>Reno Township (Iosco County)</v>
      </c>
    </row>
    <row r="1131" spans="1:8" ht="15.75" thickBot="1" x14ac:dyDescent="0.3">
      <c r="A1131">
        <f t="shared" si="18"/>
        <v>35</v>
      </c>
      <c r="B1131" s="10">
        <v>2016</v>
      </c>
      <c r="C1131" s="3" t="s">
        <v>738</v>
      </c>
      <c r="D1131" s="3" t="s">
        <v>9</v>
      </c>
      <c r="E1131" s="4" t="s">
        <v>7</v>
      </c>
      <c r="F1131" s="11" t="s">
        <v>8</v>
      </c>
      <c r="H1131" t="str">
        <f>TRIM(SUBSTITUTE(PROPER(C1131)&amp;" "&amp;IF(OR(D1131="County",D1131="Township",D1131="Village",D1131="Charter Township"),D1131,"")&amp;IF(D1131="Township"," "&amp;"("&amp;VLOOKUP(A1131,counties,3,0)&amp;")",""),"  "," "))</f>
        <v>Sherman Township (Iosco County)</v>
      </c>
    </row>
    <row r="1132" spans="1:8" ht="15.75" thickBot="1" x14ac:dyDescent="0.3">
      <c r="A1132">
        <f t="shared" si="18"/>
        <v>35</v>
      </c>
      <c r="B1132" s="8">
        <v>2016</v>
      </c>
      <c r="C1132" s="1" t="s">
        <v>1021</v>
      </c>
      <c r="D1132" s="1" t="s">
        <v>9</v>
      </c>
      <c r="E1132" s="2" t="s">
        <v>7</v>
      </c>
      <c r="F1132" s="9" t="s">
        <v>19</v>
      </c>
      <c r="H1132" t="str">
        <f>TRIM(SUBSTITUTE(PROPER(C1132)&amp;" "&amp;IF(OR(D1132="County",D1132="Township",D1132="Village",D1132="Charter Township"),D1132,"")&amp;IF(D1132="Township"," "&amp;"("&amp;VLOOKUP(A1132,counties,3,0)&amp;")",""),"  "," "))</f>
        <v>Tawas Township (Iosco County)</v>
      </c>
    </row>
    <row r="1133" spans="1:8" ht="15.75" thickBot="1" x14ac:dyDescent="0.3">
      <c r="A1133">
        <f t="shared" si="18"/>
        <v>35</v>
      </c>
      <c r="B1133" s="10">
        <v>2016</v>
      </c>
      <c r="C1133" s="3" t="s">
        <v>1022</v>
      </c>
      <c r="D1133" s="3" t="s">
        <v>15</v>
      </c>
      <c r="E1133" s="4" t="s">
        <v>7</v>
      </c>
      <c r="F1133" s="11" t="s">
        <v>8</v>
      </c>
      <c r="H1133" t="str">
        <f>TRIM(SUBSTITUTE(PROPER(C1133)&amp;" "&amp;IF(OR(D1133="County",D1133="Township",D1133="Village",D1133="Charter Township"),D1133,"")&amp;IF(D1133="Township"," "&amp;"("&amp;VLOOKUP(A1133,counties,3,0)&amp;")",""),"  "," "))</f>
        <v>Tawas City</v>
      </c>
    </row>
    <row r="1134" spans="1:8" ht="15.75" thickBot="1" x14ac:dyDescent="0.3">
      <c r="A1134">
        <f t="shared" si="18"/>
        <v>35</v>
      </c>
      <c r="B1134" s="8">
        <v>2016</v>
      </c>
      <c r="C1134" s="1" t="s">
        <v>1023</v>
      </c>
      <c r="D1134" s="1" t="s">
        <v>17</v>
      </c>
      <c r="E1134" s="2" t="s">
        <v>7</v>
      </c>
      <c r="F1134" s="9" t="s">
        <v>8</v>
      </c>
      <c r="H1134" t="str">
        <f>TRIM(SUBSTITUTE(PROPER(C1134)&amp;" "&amp;IF(OR(D1134="County",D1134="Township",D1134="Village",D1134="Charter Township"),D1134,"")&amp;IF(D1134="Township"," "&amp;"("&amp;VLOOKUP(A1134,counties,3,0)&amp;")",""),"  "," "))</f>
        <v>Tawas Police Authority</v>
      </c>
    </row>
    <row r="1135" spans="1:8" ht="15.75" thickBot="1" x14ac:dyDescent="0.3">
      <c r="A1135">
        <f t="shared" si="18"/>
        <v>35</v>
      </c>
      <c r="B1135" s="10">
        <v>2016</v>
      </c>
      <c r="C1135" s="3" t="s">
        <v>1024</v>
      </c>
      <c r="D1135" s="3" t="s">
        <v>17</v>
      </c>
      <c r="E1135" s="4" t="s">
        <v>7</v>
      </c>
      <c r="F1135" s="11" t="s">
        <v>8</v>
      </c>
      <c r="H1135" t="str">
        <f>TRIM(SUBSTITUTE(PROPER(C1135)&amp;" "&amp;IF(OR(D1135="County",D1135="Township",D1135="Village",D1135="Charter Township"),D1135,"")&amp;IF(D1135="Township"," "&amp;"("&amp;VLOOKUP(A1135,counties,3,0)&amp;")",""),"  "," "))</f>
        <v>Tawas Utility Authority</v>
      </c>
    </row>
    <row r="1136" spans="1:8" ht="15.75" thickBot="1" x14ac:dyDescent="0.3">
      <c r="A1136">
        <f t="shared" si="18"/>
        <v>35</v>
      </c>
      <c r="B1136" s="8">
        <v>2016</v>
      </c>
      <c r="C1136" s="1" t="s">
        <v>1025</v>
      </c>
      <c r="D1136" s="1" t="s">
        <v>15</v>
      </c>
      <c r="E1136" s="2" t="s">
        <v>7</v>
      </c>
      <c r="F1136" s="9" t="s">
        <v>8</v>
      </c>
      <c r="H1136" t="str">
        <f>TRIM(SUBSTITUTE(PROPER(C1136)&amp;" "&amp;IF(OR(D1136="County",D1136="Township",D1136="Village",D1136="Charter Township"),D1136,"")&amp;IF(D1136="Township"," "&amp;"("&amp;VLOOKUP(A1136,counties,3,0)&amp;")",""),"  "," "))</f>
        <v>Whittemore</v>
      </c>
    </row>
    <row r="1137" spans="1:8" ht="15.75" thickBot="1" x14ac:dyDescent="0.3">
      <c r="A1137">
        <f t="shared" si="18"/>
        <v>35</v>
      </c>
      <c r="B1137" s="12">
        <v>2016</v>
      </c>
      <c r="C1137" s="13" t="s">
        <v>1026</v>
      </c>
      <c r="D1137" s="13" t="s">
        <v>9</v>
      </c>
      <c r="E1137" s="14" t="s">
        <v>7</v>
      </c>
      <c r="F1137" s="15" t="s">
        <v>8</v>
      </c>
      <c r="H1137" t="str">
        <f>TRIM(SUBSTITUTE(PROPER(C1137)&amp;" "&amp;IF(OR(D1137="County",D1137="Township",D1137="Village",D1137="Charter Township"),D1137,"")&amp;IF(D1137="Township"," "&amp;"("&amp;VLOOKUP(A1137,counties,3,0)&amp;")",""),"  "," "))</f>
        <v>Wilber Township (Iosco County)</v>
      </c>
    </row>
    <row r="1138" spans="1:8" ht="16.5" thickTop="1" thickBot="1" x14ac:dyDescent="0.3">
      <c r="A1138">
        <f t="shared" si="18"/>
        <v>36</v>
      </c>
      <c r="B1138" s="5" t="s">
        <v>0</v>
      </c>
      <c r="C1138" s="6" t="s">
        <v>1</v>
      </c>
      <c r="D1138" s="6" t="s">
        <v>2</v>
      </c>
      <c r="E1138" s="6" t="s">
        <v>3</v>
      </c>
      <c r="F1138" s="7" t="s">
        <v>4</v>
      </c>
      <c r="H1138" t="str">
        <f>TRIM(SUBSTITUTE(PROPER(C1138)&amp;" "&amp;IF(OR(D1138="County",D1138="Township",D1138="Village",D1138="Charter Township"),D1138,"")&amp;IF(D1138="Township"," "&amp;"("&amp;VLOOKUP(A1138,counties,3,0)&amp;")",""),"  "," "))</f>
        <v>Municipality</v>
      </c>
    </row>
    <row r="1139" spans="1:8" ht="15.75" thickBot="1" x14ac:dyDescent="0.3">
      <c r="A1139">
        <f t="shared" si="18"/>
        <v>36</v>
      </c>
      <c r="B1139" s="8">
        <v>2016</v>
      </c>
      <c r="C1139" s="1" t="s">
        <v>1027</v>
      </c>
      <c r="D1139" s="1" t="s">
        <v>21</v>
      </c>
      <c r="E1139" s="2" t="s">
        <v>7</v>
      </c>
      <c r="F1139" s="9" t="s">
        <v>8</v>
      </c>
      <c r="H1139" t="str">
        <f>TRIM(SUBSTITUTE(PROPER(C1139)&amp;" "&amp;IF(OR(D1139="County",D1139="Township",D1139="Village",D1139="Charter Township"),D1139,"")&amp;IF(D1139="Township"," "&amp;"("&amp;VLOOKUP(A1139,counties,3,0)&amp;")",""),"  "," "))</f>
        <v>Alpha Village</v>
      </c>
    </row>
    <row r="1140" spans="1:8" ht="15.75" thickBot="1" x14ac:dyDescent="0.3">
      <c r="A1140">
        <f t="shared" si="18"/>
        <v>36</v>
      </c>
      <c r="B1140" s="10">
        <v>2016</v>
      </c>
      <c r="C1140" s="3" t="s">
        <v>1028</v>
      </c>
      <c r="D1140" s="3" t="s">
        <v>9</v>
      </c>
      <c r="E1140" s="4" t="s">
        <v>7</v>
      </c>
      <c r="F1140" s="11" t="s">
        <v>19</v>
      </c>
      <c r="H1140" t="str">
        <f>TRIM(SUBSTITUTE(PROPER(C1140)&amp;" "&amp;IF(OR(D1140="County",D1140="Township",D1140="Village",D1140="Charter Township"),D1140,"")&amp;IF(D1140="Township"," "&amp;"("&amp;VLOOKUP(A1140,counties,3,0)&amp;")",""),"  "," "))</f>
        <v>Bates Township (Iron County)</v>
      </c>
    </row>
    <row r="1141" spans="1:8" ht="15.75" thickBot="1" x14ac:dyDescent="0.3">
      <c r="A1141">
        <f t="shared" si="18"/>
        <v>36</v>
      </c>
      <c r="B1141" s="8">
        <v>2016</v>
      </c>
      <c r="C1141" s="1" t="s">
        <v>1029</v>
      </c>
      <c r="D1141" s="1" t="s">
        <v>15</v>
      </c>
      <c r="E1141" s="2" t="s">
        <v>7</v>
      </c>
      <c r="F1141" s="9" t="s">
        <v>8</v>
      </c>
      <c r="H1141" t="str">
        <f>TRIM(SUBSTITUTE(PROPER(C1141)&amp;" "&amp;IF(OR(D1141="County",D1141="Township",D1141="Village",D1141="Charter Township"),D1141,"")&amp;IF(D1141="Township"," "&amp;"("&amp;VLOOKUP(A1141,counties,3,0)&amp;")",""),"  "," "))</f>
        <v>Caspian</v>
      </c>
    </row>
    <row r="1142" spans="1:8" ht="15.75" thickBot="1" x14ac:dyDescent="0.3">
      <c r="A1142">
        <f t="shared" si="18"/>
        <v>36</v>
      </c>
      <c r="B1142" s="10">
        <v>2016</v>
      </c>
      <c r="C1142" s="3" t="s">
        <v>1030</v>
      </c>
      <c r="D1142" s="3" t="s">
        <v>17</v>
      </c>
      <c r="E1142" s="4" t="s">
        <v>7</v>
      </c>
      <c r="F1142" s="11" t="s">
        <v>8</v>
      </c>
      <c r="H1142" t="str">
        <f>TRIM(SUBSTITUTE(PROPER(C1142)&amp;" "&amp;IF(OR(D1142="County",D1142="Township",D1142="Village",D1142="Charter Township"),D1142,"")&amp;IF(D1142="Township"," "&amp;"("&amp;VLOOKUP(A1142,counties,3,0)&amp;")",""),"  "," "))</f>
        <v>Caspian-Gaastra Fire Authority</v>
      </c>
    </row>
    <row r="1143" spans="1:8" ht="15.75" thickBot="1" x14ac:dyDescent="0.3">
      <c r="A1143">
        <f t="shared" si="18"/>
        <v>36</v>
      </c>
      <c r="B1143" s="8">
        <v>2016</v>
      </c>
      <c r="C1143" s="1" t="s">
        <v>1031</v>
      </c>
      <c r="D1143" s="1" t="s">
        <v>15</v>
      </c>
      <c r="E1143" s="2" t="s">
        <v>7</v>
      </c>
      <c r="F1143" s="9" t="s">
        <v>8</v>
      </c>
      <c r="H1143" t="str">
        <f>TRIM(SUBSTITUTE(PROPER(C1143)&amp;" "&amp;IF(OR(D1143="County",D1143="Township",D1143="Village",D1143="Charter Township"),D1143,"")&amp;IF(D1143="Township"," "&amp;"("&amp;VLOOKUP(A1143,counties,3,0)&amp;")",""),"  "," "))</f>
        <v>Crystal Falls</v>
      </c>
    </row>
    <row r="1144" spans="1:8" ht="15.75" thickBot="1" x14ac:dyDescent="0.3">
      <c r="A1144">
        <f t="shared" si="18"/>
        <v>36</v>
      </c>
      <c r="B1144" s="10">
        <v>2016</v>
      </c>
      <c r="C1144" s="3" t="s">
        <v>1031</v>
      </c>
      <c r="D1144" s="3" t="s">
        <v>9</v>
      </c>
      <c r="E1144" s="4" t="s">
        <v>7</v>
      </c>
      <c r="F1144" s="11" t="s">
        <v>8</v>
      </c>
      <c r="H1144" t="str">
        <f>TRIM(SUBSTITUTE(PROPER(C1144)&amp;" "&amp;IF(OR(D1144="County",D1144="Township",D1144="Village",D1144="Charter Township"),D1144,"")&amp;IF(D1144="Township"," "&amp;"("&amp;VLOOKUP(A1144,counties,3,0)&amp;")",""),"  "," "))</f>
        <v>Crystal Falls Township (Iron County)</v>
      </c>
    </row>
    <row r="1145" spans="1:8" ht="15.75" thickBot="1" x14ac:dyDescent="0.3">
      <c r="A1145">
        <f t="shared" si="18"/>
        <v>36</v>
      </c>
      <c r="B1145" s="8">
        <v>2016</v>
      </c>
      <c r="C1145" s="1" t="s">
        <v>1032</v>
      </c>
      <c r="D1145" s="1" t="s">
        <v>42</v>
      </c>
      <c r="E1145" s="2" t="s">
        <v>7</v>
      </c>
      <c r="F1145" s="9" t="s">
        <v>8</v>
      </c>
      <c r="H1145" t="str">
        <f>TRIM(SUBSTITUTE(PROPER(C1145)&amp;" "&amp;IF(OR(D1145="County",D1145="Township",D1145="Village",D1145="Charter Township"),D1145,"")&amp;IF(D1145="Township"," "&amp;"("&amp;VLOOKUP(A1145,counties,3,0)&amp;")",""),"  "," "))</f>
        <v>Crystal Falls District Community Library</v>
      </c>
    </row>
    <row r="1146" spans="1:8" ht="15.75" thickBot="1" x14ac:dyDescent="0.3">
      <c r="A1146">
        <f t="shared" si="18"/>
        <v>36</v>
      </c>
      <c r="B1146" s="10">
        <v>2016</v>
      </c>
      <c r="C1146" s="3" t="s">
        <v>1033</v>
      </c>
      <c r="D1146" s="3" t="s">
        <v>15</v>
      </c>
      <c r="E1146" s="4" t="s">
        <v>7</v>
      </c>
      <c r="F1146" s="11" t="s">
        <v>8</v>
      </c>
      <c r="H1146" t="str">
        <f>TRIM(SUBSTITUTE(PROPER(C1146)&amp;" "&amp;IF(OR(D1146="County",D1146="Township",D1146="Village",D1146="Charter Township"),D1146,"")&amp;IF(D1146="Township"," "&amp;"("&amp;VLOOKUP(A1146,counties,3,0)&amp;")",""),"  "," "))</f>
        <v>Gaastra</v>
      </c>
    </row>
    <row r="1147" spans="1:8" ht="15.75" thickBot="1" x14ac:dyDescent="0.3">
      <c r="A1147">
        <f t="shared" si="18"/>
        <v>36</v>
      </c>
      <c r="B1147" s="8">
        <v>2016</v>
      </c>
      <c r="C1147" s="1" t="s">
        <v>1034</v>
      </c>
      <c r="D1147" s="1" t="s">
        <v>9</v>
      </c>
      <c r="E1147" s="2" t="s">
        <v>7</v>
      </c>
      <c r="F1147" s="9" t="s">
        <v>8</v>
      </c>
      <c r="H1147" t="str">
        <f>TRIM(SUBSTITUTE(PROPER(C1147)&amp;" "&amp;IF(OR(D1147="County",D1147="Township",D1147="Village",D1147="Charter Township"),D1147,"")&amp;IF(D1147="Township"," "&amp;"("&amp;VLOOKUP(A1147,counties,3,0)&amp;")",""),"  "," "))</f>
        <v>Hematite Township (Iron County)</v>
      </c>
    </row>
    <row r="1148" spans="1:8" ht="15.75" thickBot="1" x14ac:dyDescent="0.3">
      <c r="A1148">
        <f t="shared" si="18"/>
        <v>36</v>
      </c>
      <c r="B1148" s="10">
        <v>2016</v>
      </c>
      <c r="C1148" s="3" t="s">
        <v>1035</v>
      </c>
      <c r="D1148" s="3" t="s">
        <v>6</v>
      </c>
      <c r="E1148" s="4" t="s">
        <v>7</v>
      </c>
      <c r="F1148" s="11" t="s">
        <v>8</v>
      </c>
      <c r="H1148" t="str">
        <f>TRIM(SUBSTITUTE(PROPER(C1148)&amp;" "&amp;IF(OR(D1148="County",D1148="Township",D1148="Village",D1148="Charter Township"),D1148,"")&amp;IF(D1148="Township"," "&amp;"("&amp;VLOOKUP(A1148,counties,3,0)&amp;")",""),"  "," "))</f>
        <v>Iron County</v>
      </c>
    </row>
    <row r="1149" spans="1:8" ht="15.75" thickBot="1" x14ac:dyDescent="0.3">
      <c r="A1149">
        <f t="shared" si="18"/>
        <v>36</v>
      </c>
      <c r="B1149" s="8">
        <v>2016</v>
      </c>
      <c r="C1149" s="1" t="s">
        <v>1036</v>
      </c>
      <c r="D1149" s="1" t="s">
        <v>17</v>
      </c>
      <c r="E1149" s="2" t="s">
        <v>7</v>
      </c>
      <c r="F1149" s="9" t="s">
        <v>8</v>
      </c>
      <c r="H1149" t="str">
        <f>TRIM(SUBSTITUTE(PROPER(C1149)&amp;" "&amp;IF(OR(D1149="County",D1149="Township",D1149="Village",D1149="Charter Township"),D1149,"")&amp;IF(D1149="Township"," "&amp;"("&amp;VLOOKUP(A1149,counties,3,0)&amp;")",""),"  "," "))</f>
        <v>Iron County Housing Commission</v>
      </c>
    </row>
    <row r="1150" spans="1:8" ht="15.75" thickBot="1" x14ac:dyDescent="0.3">
      <c r="A1150">
        <f t="shared" si="18"/>
        <v>36</v>
      </c>
      <c r="B1150" s="10">
        <v>2016</v>
      </c>
      <c r="C1150" s="3" t="s">
        <v>1037</v>
      </c>
      <c r="D1150" s="3" t="s">
        <v>17</v>
      </c>
      <c r="E1150" s="4" t="s">
        <v>7</v>
      </c>
      <c r="F1150" s="11" t="s">
        <v>8</v>
      </c>
      <c r="H1150" t="str">
        <f>TRIM(SUBSTITUTE(PROPER(C1150)&amp;" "&amp;IF(OR(D1150="County",D1150="Township",D1150="Village",D1150="Charter Township"),D1150,"")&amp;IF(D1150="Township"," "&amp;"("&amp;VLOOKUP(A1150,counties,3,0)&amp;")",""),"  "," "))</f>
        <v>Iron County Medical Care Facility</v>
      </c>
    </row>
    <row r="1151" spans="1:8" ht="15.75" thickBot="1" x14ac:dyDescent="0.3">
      <c r="A1151">
        <f t="shared" si="18"/>
        <v>36</v>
      </c>
      <c r="B1151" s="8">
        <v>2016</v>
      </c>
      <c r="C1151" s="1" t="s">
        <v>1038</v>
      </c>
      <c r="D1151" s="1" t="s">
        <v>11</v>
      </c>
      <c r="E1151" s="2" t="s">
        <v>7</v>
      </c>
      <c r="F1151" s="9" t="s">
        <v>8</v>
      </c>
      <c r="H1151" t="str">
        <f>TRIM(SUBSTITUTE(PROPER(C1151)&amp;" "&amp;IF(OR(D1151="County",D1151="Township",D1151="Village",D1151="Charter Township"),D1151,"")&amp;IF(D1151="Township"," "&amp;"("&amp;VLOOKUP(A1151,counties,3,0)&amp;")",""),"  "," "))</f>
        <v>Iron County Road Commission</v>
      </c>
    </row>
    <row r="1152" spans="1:8" ht="15.75" thickBot="1" x14ac:dyDescent="0.3">
      <c r="A1152">
        <f t="shared" si="18"/>
        <v>36</v>
      </c>
      <c r="B1152" s="10">
        <v>2016</v>
      </c>
      <c r="C1152" s="3" t="s">
        <v>1039</v>
      </c>
      <c r="D1152" s="3" t="s">
        <v>15</v>
      </c>
      <c r="E1152" s="4" t="s">
        <v>7</v>
      </c>
      <c r="F1152" s="11" t="s">
        <v>8</v>
      </c>
      <c r="H1152" t="str">
        <f>TRIM(SUBSTITUTE(PROPER(C1152)&amp;" "&amp;IF(OR(D1152="County",D1152="Township",D1152="Village",D1152="Charter Township"),D1152,"")&amp;IF(D1152="Township"," "&amp;"("&amp;VLOOKUP(A1152,counties,3,0)&amp;")",""),"  "," "))</f>
        <v>Iron River</v>
      </c>
    </row>
    <row r="1153" spans="1:8" ht="15.75" thickBot="1" x14ac:dyDescent="0.3">
      <c r="A1153">
        <f t="shared" si="18"/>
        <v>36</v>
      </c>
      <c r="B1153" s="8">
        <v>2016</v>
      </c>
      <c r="C1153" s="1" t="s">
        <v>1039</v>
      </c>
      <c r="D1153" s="1" t="s">
        <v>9</v>
      </c>
      <c r="E1153" s="2" t="s">
        <v>7</v>
      </c>
      <c r="F1153" s="9" t="s">
        <v>19</v>
      </c>
      <c r="H1153" t="str">
        <f>TRIM(SUBSTITUTE(PROPER(C1153)&amp;" "&amp;IF(OR(D1153="County",D1153="Township",D1153="Village",D1153="Charter Township"),D1153,"")&amp;IF(D1153="Township"," "&amp;"("&amp;VLOOKUP(A1153,counties,3,0)&amp;")",""),"  "," "))</f>
        <v>Iron River Township (Iron County)</v>
      </c>
    </row>
    <row r="1154" spans="1:8" ht="15.75" thickBot="1" x14ac:dyDescent="0.3">
      <c r="A1154">
        <f t="shared" si="18"/>
        <v>36</v>
      </c>
      <c r="B1154" s="10">
        <v>2016</v>
      </c>
      <c r="C1154" s="3" t="s">
        <v>1040</v>
      </c>
      <c r="D1154" s="3" t="s">
        <v>17</v>
      </c>
      <c r="E1154" s="4" t="s">
        <v>7</v>
      </c>
      <c r="F1154" s="11" t="s">
        <v>8</v>
      </c>
      <c r="H1154" t="str">
        <f>TRIM(SUBSTITUTE(PROPER(C1154)&amp;" "&amp;IF(OR(D1154="County",D1154="Township",D1154="Village",D1154="Charter Township"),D1154,"")&amp;IF(D1154="Township"," "&amp;"("&amp;VLOOKUP(A1154,counties,3,0)&amp;")",""),"  "," "))</f>
        <v>Iron River City Housing Commission</v>
      </c>
    </row>
    <row r="1155" spans="1:8" ht="15.75" thickBot="1" x14ac:dyDescent="0.3">
      <c r="A1155">
        <f t="shared" ref="A1155:A1218" si="19">IF(B1155="Year",A1154+1,A1154)</f>
        <v>36</v>
      </c>
      <c r="B1155" s="8">
        <v>2016</v>
      </c>
      <c r="C1155" s="1" t="s">
        <v>1041</v>
      </c>
      <c r="D1155" s="1" t="s">
        <v>72</v>
      </c>
      <c r="E1155" s="2" t="s">
        <v>7</v>
      </c>
      <c r="F1155" s="9" t="s">
        <v>8</v>
      </c>
      <c r="H1155" t="str">
        <f>TRIM(SUBSTITUTE(PROPER(C1155)&amp;" "&amp;IF(OR(D1155="County",D1155="Township",D1155="Village",D1155="Charter Township"),D1155,"")&amp;IF(D1155="Township"," "&amp;"("&amp;VLOOKUP(A1155,counties,3,0)&amp;")",""),"  "," "))</f>
        <v>Joint Public Building Restoration Admin Board</v>
      </c>
    </row>
    <row r="1156" spans="1:8" ht="15.75" thickBot="1" x14ac:dyDescent="0.3">
      <c r="A1156">
        <f t="shared" si="19"/>
        <v>36</v>
      </c>
      <c r="B1156" s="10">
        <v>2016</v>
      </c>
      <c r="C1156" s="3" t="s">
        <v>1042</v>
      </c>
      <c r="D1156" s="3" t="s">
        <v>9</v>
      </c>
      <c r="E1156" s="4" t="s">
        <v>7</v>
      </c>
      <c r="F1156" s="11" t="s">
        <v>8</v>
      </c>
      <c r="H1156" t="str">
        <f>TRIM(SUBSTITUTE(PROPER(C1156)&amp;" "&amp;IF(OR(D1156="County",D1156="Township",D1156="Village",D1156="Charter Township"),D1156,"")&amp;IF(D1156="Township"," "&amp;"("&amp;VLOOKUP(A1156,counties,3,0)&amp;")",""),"  "," "))</f>
        <v>Mansfield Township (Iron County)</v>
      </c>
    </row>
    <row r="1157" spans="1:8" ht="15.75" thickBot="1" x14ac:dyDescent="0.3">
      <c r="A1157">
        <f t="shared" si="19"/>
        <v>36</v>
      </c>
      <c r="B1157" s="8">
        <v>2016</v>
      </c>
      <c r="C1157" s="1" t="s">
        <v>1043</v>
      </c>
      <c r="D1157" s="1" t="s">
        <v>9</v>
      </c>
      <c r="E1157" s="2" t="s">
        <v>7</v>
      </c>
      <c r="F1157" s="9" t="s">
        <v>8</v>
      </c>
      <c r="H1157" t="str">
        <f>TRIM(SUBSTITUTE(PROPER(C1157)&amp;" "&amp;IF(OR(D1157="County",D1157="Township",D1157="Village",D1157="Charter Township"),D1157,"")&amp;IF(D1157="Township"," "&amp;"("&amp;VLOOKUP(A1157,counties,3,0)&amp;")",""),"  "," "))</f>
        <v>Mastodon Township (Iron County)</v>
      </c>
    </row>
    <row r="1158" spans="1:8" ht="15.75" thickBot="1" x14ac:dyDescent="0.3">
      <c r="A1158">
        <f t="shared" si="19"/>
        <v>36</v>
      </c>
      <c r="B1158" s="10">
        <v>2016</v>
      </c>
      <c r="C1158" s="3" t="s">
        <v>1044</v>
      </c>
      <c r="D1158" s="3" t="s">
        <v>17</v>
      </c>
      <c r="E1158" s="4" t="s">
        <v>7</v>
      </c>
      <c r="F1158" s="11" t="s">
        <v>8</v>
      </c>
      <c r="H1158" t="str">
        <f>TRIM(SUBSTITUTE(PROPER(C1158)&amp;" "&amp;IF(OR(D1158="County",D1158="Township",D1158="Village",D1158="Charter Township"),D1158,"")&amp;IF(D1158="Township"," "&amp;"("&amp;VLOOKUP(A1158,counties,3,0)&amp;")",""),"  "," "))</f>
        <v>Stambaugh Cemetery Association</v>
      </c>
    </row>
    <row r="1159" spans="1:8" ht="15.75" thickBot="1" x14ac:dyDescent="0.3">
      <c r="A1159">
        <f t="shared" si="19"/>
        <v>36</v>
      </c>
      <c r="B1159" s="8">
        <v>2016</v>
      </c>
      <c r="C1159" s="1" t="s">
        <v>1045</v>
      </c>
      <c r="D1159" s="1" t="s">
        <v>17</v>
      </c>
      <c r="E1159" s="2" t="s">
        <v>7</v>
      </c>
      <c r="F1159" s="9" t="s">
        <v>19</v>
      </c>
      <c r="H1159" t="str">
        <f>TRIM(SUBSTITUTE(PROPER(C1159)&amp;" "&amp;IF(OR(D1159="County",D1159="Township",D1159="Village",D1159="Charter Township"),D1159,"")&amp;IF(D1159="Township"," "&amp;"("&amp;VLOOKUP(A1159,counties,3,0)&amp;")",""),"  "," "))</f>
        <v>West Iron County Fire Board</v>
      </c>
    </row>
    <row r="1160" spans="1:8" ht="15.75" thickBot="1" x14ac:dyDescent="0.3">
      <c r="A1160">
        <f t="shared" si="19"/>
        <v>36</v>
      </c>
      <c r="B1160" s="10">
        <v>2016</v>
      </c>
      <c r="C1160" s="3" t="s">
        <v>1046</v>
      </c>
      <c r="D1160" s="3" t="s">
        <v>17</v>
      </c>
      <c r="E1160" s="4" t="s">
        <v>7</v>
      </c>
      <c r="F1160" s="11" t="s">
        <v>8</v>
      </c>
      <c r="H1160" t="str">
        <f>TRIM(SUBSTITUTE(PROPER(C1160)&amp;" "&amp;IF(OR(D1160="County",D1160="Township",D1160="Village",D1160="Charter Township"),D1160,"")&amp;IF(D1160="Township"," "&amp;"("&amp;VLOOKUP(A1160,counties,3,0)&amp;")",""),"  "," "))</f>
        <v>West Iron County Sewer Authority</v>
      </c>
    </row>
    <row r="1161" spans="1:8" ht="15.75" thickBot="1" x14ac:dyDescent="0.3">
      <c r="A1161">
        <f t="shared" si="19"/>
        <v>36</v>
      </c>
      <c r="B1161" s="8">
        <v>2016</v>
      </c>
      <c r="C1161" s="1" t="s">
        <v>1047</v>
      </c>
      <c r="D1161" s="1" t="s">
        <v>42</v>
      </c>
      <c r="E1161" s="2" t="s">
        <v>7</v>
      </c>
      <c r="F1161" s="9" t="s">
        <v>8</v>
      </c>
      <c r="H1161" t="str">
        <f>TRIM(SUBSTITUTE(PROPER(C1161)&amp;" "&amp;IF(OR(D1161="County",D1161="Township",D1161="Village",D1161="Charter Township"),D1161,"")&amp;IF(D1161="Township"," "&amp;"("&amp;VLOOKUP(A1161,counties,3,0)&amp;")",""),"  "," "))</f>
        <v>West Iron District Library</v>
      </c>
    </row>
    <row r="1162" spans="1:8" ht="15.75" thickBot="1" x14ac:dyDescent="0.3">
      <c r="A1162">
        <f t="shared" si="19"/>
        <v>36</v>
      </c>
      <c r="B1162" s="12">
        <v>2016</v>
      </c>
      <c r="C1162" s="13" t="s">
        <v>1048</v>
      </c>
      <c r="D1162" s="13" t="s">
        <v>72</v>
      </c>
      <c r="E1162" s="14" t="s">
        <v>7</v>
      </c>
      <c r="F1162" s="15" t="s">
        <v>8</v>
      </c>
      <c r="H1162" t="str">
        <f>TRIM(SUBSTITUTE(PROPER(C1162)&amp;" "&amp;IF(OR(D1162="County",D1162="Township",D1162="Village",D1162="Charter Township"),D1162,"")&amp;IF(D1162="Township"," "&amp;"("&amp;VLOOKUP(A1162,counties,3,0)&amp;")",""),"  "," "))</f>
        <v>Windsor Recreation Authority</v>
      </c>
    </row>
    <row r="1163" spans="1:8" ht="16.5" thickTop="1" thickBot="1" x14ac:dyDescent="0.3">
      <c r="A1163">
        <f t="shared" si="19"/>
        <v>37</v>
      </c>
      <c r="B1163" s="5" t="s">
        <v>0</v>
      </c>
      <c r="C1163" s="6" t="s">
        <v>1</v>
      </c>
      <c r="D1163" s="6" t="s">
        <v>2</v>
      </c>
      <c r="E1163" s="6" t="s">
        <v>3</v>
      </c>
      <c r="F1163" s="7" t="s">
        <v>4</v>
      </c>
      <c r="H1163" t="str">
        <f>TRIM(SUBSTITUTE(PROPER(C1163)&amp;" "&amp;IF(OR(D1163="County",D1163="Township",D1163="Village",D1163="Charter Township"),D1163,"")&amp;IF(D1163="Township"," "&amp;"("&amp;VLOOKUP(A1163,counties,3,0)&amp;")",""),"  "," "))</f>
        <v>Municipality</v>
      </c>
    </row>
    <row r="1164" spans="1:8" ht="15.75" thickBot="1" x14ac:dyDescent="0.3">
      <c r="A1164">
        <f t="shared" si="19"/>
        <v>37</v>
      </c>
      <c r="B1164" s="8">
        <v>2016</v>
      </c>
      <c r="C1164" s="1" t="s">
        <v>1049</v>
      </c>
      <c r="D1164" s="1" t="s">
        <v>9</v>
      </c>
      <c r="E1164" s="2" t="s">
        <v>7</v>
      </c>
      <c r="F1164" s="9" t="s">
        <v>19</v>
      </c>
      <c r="H1164" t="str">
        <f>TRIM(SUBSTITUTE(PROPER(C1164)&amp;" "&amp;IF(OR(D1164="County",D1164="Township",D1164="Village",D1164="Charter Township"),D1164,"")&amp;IF(D1164="Township"," "&amp;"("&amp;VLOOKUP(A1164,counties,3,0)&amp;")",""),"  "," "))</f>
        <v>Broomfield Township (Isabella County)</v>
      </c>
    </row>
    <row r="1165" spans="1:8" ht="15.75" thickBot="1" x14ac:dyDescent="0.3">
      <c r="A1165">
        <f t="shared" si="19"/>
        <v>37</v>
      </c>
      <c r="B1165" s="10">
        <v>2016</v>
      </c>
      <c r="C1165" s="3" t="s">
        <v>1050</v>
      </c>
      <c r="D1165" s="3" t="s">
        <v>17</v>
      </c>
      <c r="E1165" s="4" t="s">
        <v>7</v>
      </c>
      <c r="F1165" s="11" t="s">
        <v>8</v>
      </c>
      <c r="H1165" t="str">
        <f>TRIM(SUBSTITUTE(PROPER(C1165)&amp;" "&amp;IF(OR(D1165="County",D1165="Township",D1165="Village",D1165="Charter Township"),D1165,"")&amp;IF(D1165="Township"," "&amp;"("&amp;VLOOKUP(A1165,counties,3,0)&amp;")",""),"  "," "))</f>
        <v>Central Michigan District Health Department</v>
      </c>
    </row>
    <row r="1166" spans="1:8" ht="15.75" thickBot="1" x14ac:dyDescent="0.3">
      <c r="A1166">
        <f t="shared" si="19"/>
        <v>37</v>
      </c>
      <c r="B1166" s="8">
        <v>2016</v>
      </c>
      <c r="C1166" s="1" t="s">
        <v>464</v>
      </c>
      <c r="D1166" s="1" t="s">
        <v>9</v>
      </c>
      <c r="E1166" s="2" t="s">
        <v>7</v>
      </c>
      <c r="F1166" s="9" t="s">
        <v>8</v>
      </c>
      <c r="H1166" t="str">
        <f>TRIM(SUBSTITUTE(PROPER(C1166)&amp;" "&amp;IF(OR(D1166="County",D1166="Township",D1166="Village",D1166="Charter Township"),D1166,"")&amp;IF(D1166="Township"," "&amp;"("&amp;VLOOKUP(A1166,counties,3,0)&amp;")",""),"  "," "))</f>
        <v>Chippewa Township (Isabella County)</v>
      </c>
    </row>
    <row r="1167" spans="1:8" ht="15.75" thickBot="1" x14ac:dyDescent="0.3">
      <c r="A1167">
        <f t="shared" si="19"/>
        <v>37</v>
      </c>
      <c r="B1167" s="10">
        <v>2016</v>
      </c>
      <c r="C1167" s="3" t="s">
        <v>1051</v>
      </c>
      <c r="D1167" s="3" t="s">
        <v>42</v>
      </c>
      <c r="E1167" s="4" t="s">
        <v>7</v>
      </c>
      <c r="F1167" s="11" t="s">
        <v>8</v>
      </c>
      <c r="H1167" t="str">
        <f>TRIM(SUBSTITUTE(PROPER(C1167)&amp;" "&amp;IF(OR(D1167="County",D1167="Township",D1167="Village",D1167="Charter Township"),D1167,"")&amp;IF(D1167="Township"," "&amp;"("&amp;VLOOKUP(A1167,counties,3,0)&amp;")",""),"  "," "))</f>
        <v>Chippewa River District Library</v>
      </c>
    </row>
    <row r="1168" spans="1:8" ht="15.75" thickBot="1" x14ac:dyDescent="0.3">
      <c r="A1168">
        <f t="shared" si="19"/>
        <v>37</v>
      </c>
      <c r="B1168" s="8">
        <v>2016</v>
      </c>
      <c r="C1168" s="1" t="s">
        <v>1052</v>
      </c>
      <c r="D1168" s="1" t="s">
        <v>9</v>
      </c>
      <c r="E1168" s="2" t="s">
        <v>7</v>
      </c>
      <c r="F1168" s="9" t="s">
        <v>8</v>
      </c>
      <c r="H1168" t="str">
        <f>TRIM(SUBSTITUTE(PROPER(C1168)&amp;" "&amp;IF(OR(D1168="County",D1168="Township",D1168="Village",D1168="Charter Township"),D1168,"")&amp;IF(D1168="Township"," "&amp;"("&amp;VLOOKUP(A1168,counties,3,0)&amp;")",""),"  "," "))</f>
        <v>Coe Township (Isabella County)</v>
      </c>
    </row>
    <row r="1169" spans="1:8" ht="15.75" thickBot="1" x14ac:dyDescent="0.3">
      <c r="A1169">
        <f t="shared" si="19"/>
        <v>37</v>
      </c>
      <c r="B1169" s="10">
        <v>2016</v>
      </c>
      <c r="C1169" s="3" t="s">
        <v>325</v>
      </c>
      <c r="D1169" s="3" t="s">
        <v>9</v>
      </c>
      <c r="E1169" s="4" t="s">
        <v>7</v>
      </c>
      <c r="F1169" s="11" t="s">
        <v>8</v>
      </c>
      <c r="H1169" t="str">
        <f>TRIM(SUBSTITUTE(PROPER(C1169)&amp;" "&amp;IF(OR(D1169="County",D1169="Township",D1169="Village",D1169="Charter Township"),D1169,"")&amp;IF(D1169="Township"," "&amp;"("&amp;VLOOKUP(A1169,counties,3,0)&amp;")",""),"  "," "))</f>
        <v>Coldwater Township (Isabella County)</v>
      </c>
    </row>
    <row r="1170" spans="1:8" ht="15.75" thickBot="1" x14ac:dyDescent="0.3">
      <c r="A1170">
        <f t="shared" si="19"/>
        <v>37</v>
      </c>
      <c r="B1170" s="8">
        <v>2016</v>
      </c>
      <c r="C1170" s="1" t="s">
        <v>1053</v>
      </c>
      <c r="D1170" s="1" t="s">
        <v>17</v>
      </c>
      <c r="E1170" s="2" t="s">
        <v>7</v>
      </c>
      <c r="F1170" s="9" t="s">
        <v>8</v>
      </c>
      <c r="H1170" t="str">
        <f>TRIM(SUBSTITUTE(PROPER(C1170)&amp;" "&amp;IF(OR(D1170="County",D1170="Township",D1170="Village",D1170="Charter Township"),D1170,"")&amp;IF(D1170="Township"," "&amp;"("&amp;VLOOKUP(A1170,counties,3,0)&amp;")",""),"  "," "))</f>
        <v>Community Mental Health For Central Michigan</v>
      </c>
    </row>
    <row r="1171" spans="1:8" ht="15.75" thickBot="1" x14ac:dyDescent="0.3">
      <c r="A1171">
        <f t="shared" si="19"/>
        <v>37</v>
      </c>
      <c r="B1171" s="10">
        <v>2016</v>
      </c>
      <c r="C1171" s="3" t="s">
        <v>1054</v>
      </c>
      <c r="D1171" s="3" t="s">
        <v>9</v>
      </c>
      <c r="E1171" s="4" t="s">
        <v>7</v>
      </c>
      <c r="F1171" s="11" t="s">
        <v>8</v>
      </c>
      <c r="H1171" t="str">
        <f>TRIM(SUBSTITUTE(PROPER(C1171)&amp;" "&amp;IF(OR(D1171="County",D1171="Township",D1171="Village",D1171="Charter Township"),D1171,"")&amp;IF(D1171="Township"," "&amp;"("&amp;VLOOKUP(A1171,counties,3,0)&amp;")",""),"  "," "))</f>
        <v>Deerfield Township (Isabella County)</v>
      </c>
    </row>
    <row r="1172" spans="1:8" ht="15.75" thickBot="1" x14ac:dyDescent="0.3">
      <c r="A1172">
        <f t="shared" si="19"/>
        <v>37</v>
      </c>
      <c r="B1172" s="8">
        <v>2016</v>
      </c>
      <c r="C1172" s="1" t="s">
        <v>1055</v>
      </c>
      <c r="D1172" s="1" t="s">
        <v>9</v>
      </c>
      <c r="E1172" s="2" t="s">
        <v>7</v>
      </c>
      <c r="F1172" s="9" t="s">
        <v>19</v>
      </c>
      <c r="H1172" t="str">
        <f>TRIM(SUBSTITUTE(PROPER(C1172)&amp;" "&amp;IF(OR(D1172="County",D1172="Township",D1172="Village",D1172="Charter Township"),D1172,"")&amp;IF(D1172="Township"," "&amp;"("&amp;VLOOKUP(A1172,counties,3,0)&amp;")",""),"  "," "))</f>
        <v>Denver Township (Isabella County)</v>
      </c>
    </row>
    <row r="1173" spans="1:8" ht="15.75" thickBot="1" x14ac:dyDescent="0.3">
      <c r="A1173">
        <f t="shared" si="19"/>
        <v>37</v>
      </c>
      <c r="B1173" s="10">
        <v>2016</v>
      </c>
      <c r="C1173" s="3" t="s">
        <v>1056</v>
      </c>
      <c r="D1173" s="3" t="s">
        <v>9</v>
      </c>
      <c r="E1173" s="4" t="s">
        <v>7</v>
      </c>
      <c r="F1173" s="11" t="s">
        <v>8</v>
      </c>
      <c r="H1173" t="str">
        <f>TRIM(SUBSTITUTE(PROPER(C1173)&amp;" "&amp;IF(OR(D1173="County",D1173="Township",D1173="Village",D1173="Charter Township"),D1173,"")&amp;IF(D1173="Township"," "&amp;"("&amp;VLOOKUP(A1173,counties,3,0)&amp;")",""),"  "," "))</f>
        <v>Gilmore Township (Isabella County)</v>
      </c>
    </row>
    <row r="1174" spans="1:8" ht="15.75" thickBot="1" x14ac:dyDescent="0.3">
      <c r="A1174">
        <f t="shared" si="19"/>
        <v>37</v>
      </c>
      <c r="B1174" s="8">
        <v>2016</v>
      </c>
      <c r="C1174" s="1" t="s">
        <v>1057</v>
      </c>
      <c r="D1174" s="1" t="s">
        <v>6</v>
      </c>
      <c r="E1174" s="2" t="s">
        <v>7</v>
      </c>
      <c r="F1174" s="9" t="s">
        <v>8</v>
      </c>
      <c r="H1174" t="str">
        <f>TRIM(SUBSTITUTE(PROPER(C1174)&amp;" "&amp;IF(OR(D1174="County",D1174="Township",D1174="Village",D1174="Charter Township"),D1174,"")&amp;IF(D1174="Township"," "&amp;"("&amp;VLOOKUP(A1174,counties,3,0)&amp;")",""),"  "," "))</f>
        <v>Isabella County</v>
      </c>
    </row>
    <row r="1175" spans="1:8" ht="15.75" thickBot="1" x14ac:dyDescent="0.3">
      <c r="A1175">
        <f t="shared" si="19"/>
        <v>37</v>
      </c>
      <c r="B1175" s="10">
        <v>2016</v>
      </c>
      <c r="C1175" s="3" t="s">
        <v>1057</v>
      </c>
      <c r="D1175" s="3" t="s">
        <v>9</v>
      </c>
      <c r="E1175" s="4" t="s">
        <v>7</v>
      </c>
      <c r="F1175" s="11" t="s">
        <v>8</v>
      </c>
      <c r="H1175" t="str">
        <f>TRIM(SUBSTITUTE(PROPER(C1175)&amp;" "&amp;IF(OR(D1175="County",D1175="Township",D1175="Village",D1175="Charter Township"),D1175,"")&amp;IF(D1175="Township"," "&amp;"("&amp;VLOOKUP(A1175,counties,3,0)&amp;")",""),"  "," "))</f>
        <v>Isabella Township (Isabella County)</v>
      </c>
    </row>
    <row r="1176" spans="1:8" ht="15.75" thickBot="1" x14ac:dyDescent="0.3">
      <c r="A1176">
        <f t="shared" si="19"/>
        <v>37</v>
      </c>
      <c r="B1176" s="8">
        <v>2016</v>
      </c>
      <c r="C1176" s="1" t="s">
        <v>1058</v>
      </c>
      <c r="D1176" s="1" t="s">
        <v>17</v>
      </c>
      <c r="E1176" s="2" t="s">
        <v>7</v>
      </c>
      <c r="F1176" s="9" t="s">
        <v>8</v>
      </c>
      <c r="H1176" t="str">
        <f>TRIM(SUBSTITUTE(PROPER(C1176)&amp;" "&amp;IF(OR(D1176="County",D1176="Township",D1176="Village",D1176="Charter Township"),D1176,"")&amp;IF(D1176="Township"," "&amp;"("&amp;VLOOKUP(A1176,counties,3,0)&amp;")",""),"  "," "))</f>
        <v>Isabella County Medical Care Facility</v>
      </c>
    </row>
    <row r="1177" spans="1:8" ht="15.75" thickBot="1" x14ac:dyDescent="0.3">
      <c r="A1177">
        <f t="shared" si="19"/>
        <v>37</v>
      </c>
      <c r="B1177" s="10">
        <v>2016</v>
      </c>
      <c r="C1177" s="3" t="s">
        <v>1059</v>
      </c>
      <c r="D1177" s="3" t="s">
        <v>11</v>
      </c>
      <c r="E1177" s="4" t="s">
        <v>7</v>
      </c>
      <c r="F1177" s="11" t="s">
        <v>8</v>
      </c>
      <c r="H1177" t="str">
        <f>TRIM(SUBSTITUTE(PROPER(C1177)&amp;" "&amp;IF(OR(D1177="County",D1177="Township",D1177="Village",D1177="Charter Township"),D1177,"")&amp;IF(D1177="Township"," "&amp;"("&amp;VLOOKUP(A1177,counties,3,0)&amp;")",""),"  "," "))</f>
        <v>Isabella County Road Commission</v>
      </c>
    </row>
    <row r="1178" spans="1:8" ht="15.75" thickBot="1" x14ac:dyDescent="0.3">
      <c r="A1178">
        <f t="shared" si="19"/>
        <v>37</v>
      </c>
      <c r="B1178" s="8">
        <v>2016</v>
      </c>
      <c r="C1178" s="1" t="s">
        <v>1060</v>
      </c>
      <c r="D1178" s="1" t="s">
        <v>17</v>
      </c>
      <c r="E1178" s="2" t="s">
        <v>7</v>
      </c>
      <c r="F1178" s="9" t="s">
        <v>8</v>
      </c>
      <c r="H1178" t="str">
        <f>TRIM(SUBSTITUTE(PROPER(C1178)&amp;" "&amp;IF(OR(D1178="County",D1178="Township",D1178="Village",D1178="Charter Township"),D1178,"")&amp;IF(D1178="Township"," "&amp;"("&amp;VLOOKUP(A1178,counties,3,0)&amp;")",""),"  "," "))</f>
        <v>Isabella County Transportation Commission</v>
      </c>
    </row>
    <row r="1179" spans="1:8" ht="15.75" thickBot="1" x14ac:dyDescent="0.3">
      <c r="A1179">
        <f t="shared" si="19"/>
        <v>37</v>
      </c>
      <c r="B1179" s="10">
        <v>2016</v>
      </c>
      <c r="C1179" s="3" t="s">
        <v>1061</v>
      </c>
      <c r="D1179" s="3" t="s">
        <v>17</v>
      </c>
      <c r="E1179" s="4" t="s">
        <v>7</v>
      </c>
      <c r="F1179" s="11" t="s">
        <v>8</v>
      </c>
      <c r="H1179" t="str">
        <f>TRIM(SUBSTITUTE(PROPER(C1179)&amp;" "&amp;IF(OR(D1179="County",D1179="Township",D1179="Village",D1179="Charter Township"),D1179,"")&amp;IF(D1179="Township"," "&amp;"("&amp;VLOOKUP(A1179,counties,3,0)&amp;")",""),"  "," "))</f>
        <v>Isabella Northeast Fire District</v>
      </c>
    </row>
    <row r="1180" spans="1:8" ht="15.75" thickBot="1" x14ac:dyDescent="0.3">
      <c r="A1180">
        <f t="shared" si="19"/>
        <v>37</v>
      </c>
      <c r="B1180" s="8">
        <v>2016</v>
      </c>
      <c r="C1180" s="1" t="s">
        <v>1062</v>
      </c>
      <c r="D1180" s="1" t="s">
        <v>17</v>
      </c>
      <c r="E1180" s="2" t="s">
        <v>7</v>
      </c>
      <c r="F1180" s="9" t="s">
        <v>8</v>
      </c>
      <c r="H1180" t="str">
        <f>TRIM(SUBSTITUTE(PROPER(C1180)&amp;" "&amp;IF(OR(D1180="County",D1180="Township",D1180="Village",D1180="Charter Township"),D1180,"")&amp;IF(D1180="Township"," "&amp;"("&amp;VLOOKUP(A1180,counties,3,0)&amp;")",""),"  "," "))</f>
        <v>Joint Construction Code Authority</v>
      </c>
    </row>
    <row r="1181" spans="1:8" ht="15.75" thickBot="1" x14ac:dyDescent="0.3">
      <c r="A1181">
        <f t="shared" si="19"/>
        <v>37</v>
      </c>
      <c r="B1181" s="10">
        <v>2016</v>
      </c>
      <c r="C1181" s="3" t="s">
        <v>1063</v>
      </c>
      <c r="D1181" s="3" t="s">
        <v>21</v>
      </c>
      <c r="E1181" s="4" t="s">
        <v>7</v>
      </c>
      <c r="F1181" s="11" t="s">
        <v>8</v>
      </c>
      <c r="H1181" t="str">
        <f>TRIM(SUBSTITUTE(PROPER(C1181)&amp;" "&amp;IF(OR(D1181="County",D1181="Township",D1181="Village",D1181="Charter Township"),D1181,"")&amp;IF(D1181="Township"," "&amp;"("&amp;VLOOKUP(A1181,counties,3,0)&amp;")",""),"  "," "))</f>
        <v>Lake Isabella Village</v>
      </c>
    </row>
    <row r="1182" spans="1:8" ht="15.75" thickBot="1" x14ac:dyDescent="0.3">
      <c r="A1182">
        <f t="shared" si="19"/>
        <v>37</v>
      </c>
      <c r="B1182" s="8">
        <v>2016</v>
      </c>
      <c r="C1182" s="1" t="s">
        <v>20</v>
      </c>
      <c r="D1182" s="1" t="s">
        <v>9</v>
      </c>
      <c r="E1182" s="2" t="s">
        <v>7</v>
      </c>
      <c r="F1182" s="9" t="s">
        <v>8</v>
      </c>
      <c r="H1182" t="str">
        <f>TRIM(SUBSTITUTE(PROPER(C1182)&amp;" "&amp;IF(OR(D1182="County",D1182="Township",D1182="Village",D1182="Charter Township"),D1182,"")&amp;IF(D1182="Township"," "&amp;"("&amp;VLOOKUP(A1182,counties,3,0)&amp;")",""),"  "," "))</f>
        <v>Lincoln Township (Isabella County)</v>
      </c>
    </row>
    <row r="1183" spans="1:8" ht="15.75" thickBot="1" x14ac:dyDescent="0.3">
      <c r="A1183">
        <f t="shared" si="19"/>
        <v>37</v>
      </c>
      <c r="B1183" s="10">
        <v>2016</v>
      </c>
      <c r="C1183" s="3" t="s">
        <v>1064</v>
      </c>
      <c r="D1183" s="3" t="s">
        <v>15</v>
      </c>
      <c r="E1183" s="4" t="s">
        <v>7</v>
      </c>
      <c r="F1183" s="11" t="s">
        <v>8</v>
      </c>
      <c r="H1183" t="str">
        <f>TRIM(SUBSTITUTE(PROPER(C1183)&amp;" "&amp;IF(OR(D1183="County",D1183="Township",D1183="Village",D1183="Charter Township"),D1183,"")&amp;IF(D1183="Township"," "&amp;"("&amp;VLOOKUP(A1183,counties,3,0)&amp;")",""),"  "," "))</f>
        <v>Mt Pleasant</v>
      </c>
    </row>
    <row r="1184" spans="1:8" ht="15.75" thickBot="1" x14ac:dyDescent="0.3">
      <c r="A1184">
        <f t="shared" si="19"/>
        <v>37</v>
      </c>
      <c r="B1184" s="8">
        <v>2016</v>
      </c>
      <c r="C1184" s="1" t="s">
        <v>1065</v>
      </c>
      <c r="D1184" s="1" t="s">
        <v>17</v>
      </c>
      <c r="E1184" s="2" t="s">
        <v>7</v>
      </c>
      <c r="F1184" s="9" t="s">
        <v>19</v>
      </c>
      <c r="H1184" t="str">
        <f>TRIM(SUBSTITUTE(PROPER(C1184)&amp;" "&amp;IF(OR(D1184="County",D1184="Township",D1184="Village",D1184="Charter Township"),D1184,"")&amp;IF(D1184="Township"," "&amp;"("&amp;VLOOKUP(A1184,counties,3,0)&amp;")",""),"  "," "))</f>
        <v>Mt Pleasant City Housing Commission</v>
      </c>
    </row>
    <row r="1185" spans="1:8" ht="15.75" thickBot="1" x14ac:dyDescent="0.3">
      <c r="A1185">
        <f t="shared" si="19"/>
        <v>37</v>
      </c>
      <c r="B1185" s="10">
        <v>2016</v>
      </c>
      <c r="C1185" s="3" t="s">
        <v>1066</v>
      </c>
      <c r="D1185" s="3" t="s">
        <v>9</v>
      </c>
      <c r="E1185" s="4" t="s">
        <v>7</v>
      </c>
      <c r="F1185" s="11" t="s">
        <v>8</v>
      </c>
      <c r="H1185" t="str">
        <f>TRIM(SUBSTITUTE(PROPER(C1185)&amp;" "&amp;IF(OR(D1185="County",D1185="Township",D1185="Village",D1185="Charter Township"),D1185,"")&amp;IF(D1185="Township"," "&amp;"("&amp;VLOOKUP(A1185,counties,3,0)&amp;")",""),"  "," "))</f>
        <v>Nottawa Township (Isabella County)</v>
      </c>
    </row>
    <row r="1186" spans="1:8" ht="15.75" thickBot="1" x14ac:dyDescent="0.3">
      <c r="A1186">
        <f t="shared" si="19"/>
        <v>37</v>
      </c>
      <c r="B1186" s="8">
        <v>2016</v>
      </c>
      <c r="C1186" s="1" t="s">
        <v>1067</v>
      </c>
      <c r="D1186" s="1" t="s">
        <v>17</v>
      </c>
      <c r="E1186" s="2" t="s">
        <v>7</v>
      </c>
      <c r="F1186" s="9" t="s">
        <v>8</v>
      </c>
      <c r="H1186" t="str">
        <f>TRIM(SUBSTITUTE(PROPER(C1186)&amp;" "&amp;IF(OR(D1186="County",D1186="Township",D1186="Village",D1186="Charter Township"),D1186,"")&amp;IF(D1186="Township"," "&amp;"("&amp;VLOOKUP(A1186,counties,3,0)&amp;")",""),"  "," "))</f>
        <v>Nottawa-Sherman Township Fire Department</v>
      </c>
    </row>
    <row r="1187" spans="1:8" ht="15.75" thickBot="1" x14ac:dyDescent="0.3">
      <c r="A1187">
        <f t="shared" si="19"/>
        <v>37</v>
      </c>
      <c r="B1187" s="10">
        <v>2016</v>
      </c>
      <c r="C1187" s="3" t="s">
        <v>1068</v>
      </c>
      <c r="D1187" s="3" t="s">
        <v>9</v>
      </c>
      <c r="E1187" s="4" t="s">
        <v>7</v>
      </c>
      <c r="F1187" s="11" t="s">
        <v>19</v>
      </c>
      <c r="H1187" t="str">
        <f>TRIM(SUBSTITUTE(PROPER(C1187)&amp;" "&amp;IF(OR(D1187="County",D1187="Township",D1187="Village",D1187="Charter Township"),D1187,"")&amp;IF(D1187="Township"," "&amp;"("&amp;VLOOKUP(A1187,counties,3,0)&amp;")",""),"  "," "))</f>
        <v>Rolland Township (Isabella County)</v>
      </c>
    </row>
    <row r="1188" spans="1:8" ht="15.75" thickBot="1" x14ac:dyDescent="0.3">
      <c r="A1188">
        <f t="shared" si="19"/>
        <v>37</v>
      </c>
      <c r="B1188" s="8">
        <v>2016</v>
      </c>
      <c r="C1188" s="1" t="s">
        <v>1069</v>
      </c>
      <c r="D1188" s="1" t="s">
        <v>21</v>
      </c>
      <c r="E1188" s="2" t="s">
        <v>7</v>
      </c>
      <c r="F1188" s="9" t="s">
        <v>8</v>
      </c>
      <c r="H1188" t="str">
        <f>TRIM(SUBSTITUTE(PROPER(C1188)&amp;" "&amp;IF(OR(D1188="County",D1188="Township",D1188="Village",D1188="Charter Township"),D1188,"")&amp;IF(D1188="Township"," "&amp;"("&amp;VLOOKUP(A1188,counties,3,0)&amp;")",""),"  "," "))</f>
        <v>Rosebush Village</v>
      </c>
    </row>
    <row r="1189" spans="1:8" ht="15.75" thickBot="1" x14ac:dyDescent="0.3">
      <c r="A1189">
        <f t="shared" si="19"/>
        <v>37</v>
      </c>
      <c r="B1189" s="10">
        <v>2016</v>
      </c>
      <c r="C1189" s="3" t="s">
        <v>1070</v>
      </c>
      <c r="D1189" s="3" t="s">
        <v>21</v>
      </c>
      <c r="E1189" s="4" t="s">
        <v>7</v>
      </c>
      <c r="F1189" s="11" t="s">
        <v>8</v>
      </c>
      <c r="H1189" t="str">
        <f>TRIM(SUBSTITUTE(PROPER(C1189)&amp;" "&amp;IF(OR(D1189="County",D1189="Township",D1189="Village",D1189="Charter Township"),D1189,"")&amp;IF(D1189="Township"," "&amp;"("&amp;VLOOKUP(A1189,counties,3,0)&amp;")",""),"  "," "))</f>
        <v>Shepherd Village</v>
      </c>
    </row>
    <row r="1190" spans="1:8" ht="15.75" thickBot="1" x14ac:dyDescent="0.3">
      <c r="A1190">
        <f t="shared" si="19"/>
        <v>37</v>
      </c>
      <c r="B1190" s="8">
        <v>2016</v>
      </c>
      <c r="C1190" s="1" t="s">
        <v>1071</v>
      </c>
      <c r="D1190" s="1" t="s">
        <v>17</v>
      </c>
      <c r="E1190" s="2" t="s">
        <v>7</v>
      </c>
      <c r="F1190" s="9" t="s">
        <v>8</v>
      </c>
      <c r="H1190" t="str">
        <f>TRIM(SUBSTITUTE(PROPER(C1190)&amp;" "&amp;IF(OR(D1190="County",D1190="Township",D1190="Village",D1190="Charter Township"),D1190,"")&amp;IF(D1190="Township"," "&amp;"("&amp;VLOOKUP(A1190,counties,3,0)&amp;")",""),"  "," "))</f>
        <v>Shepherd Tri-Township Fire Department</v>
      </c>
    </row>
    <row r="1191" spans="1:8" ht="15.75" thickBot="1" x14ac:dyDescent="0.3">
      <c r="A1191">
        <f t="shared" si="19"/>
        <v>37</v>
      </c>
      <c r="B1191" s="10">
        <v>2016</v>
      </c>
      <c r="C1191" s="3" t="s">
        <v>738</v>
      </c>
      <c r="D1191" s="3" t="s">
        <v>9</v>
      </c>
      <c r="E1191" s="4" t="s">
        <v>7</v>
      </c>
      <c r="F1191" s="11" t="s">
        <v>8</v>
      </c>
      <c r="H1191" t="str">
        <f>TRIM(SUBSTITUTE(PROPER(C1191)&amp;" "&amp;IF(OR(D1191="County",D1191="Township",D1191="Village",D1191="Charter Township"),D1191,"")&amp;IF(D1191="Township"," "&amp;"("&amp;VLOOKUP(A1191,counties,3,0)&amp;")",""),"  "," "))</f>
        <v>Sherman Township (Isabella County)</v>
      </c>
    </row>
    <row r="1192" spans="1:8" ht="15.75" thickBot="1" x14ac:dyDescent="0.3">
      <c r="A1192">
        <f t="shared" si="19"/>
        <v>37</v>
      </c>
      <c r="B1192" s="8">
        <v>2016</v>
      </c>
      <c r="C1192" s="1" t="s">
        <v>1072</v>
      </c>
      <c r="D1192" s="1" t="s">
        <v>9</v>
      </c>
      <c r="E1192" s="2" t="s">
        <v>7</v>
      </c>
      <c r="F1192" s="9" t="s">
        <v>8</v>
      </c>
      <c r="H1192" t="str">
        <f>TRIM(SUBSTITUTE(PROPER(C1192)&amp;" "&amp;IF(OR(D1192="County",D1192="Township",D1192="Village",D1192="Charter Township"),D1192,"")&amp;IF(D1192="Township"," "&amp;"("&amp;VLOOKUP(A1192,counties,3,0)&amp;")",""),"  "," "))</f>
        <v>Union Charter Township (Isabella County)</v>
      </c>
    </row>
    <row r="1193" spans="1:8" ht="15.75" thickBot="1" x14ac:dyDescent="0.3">
      <c r="A1193">
        <f t="shared" si="19"/>
        <v>37</v>
      </c>
      <c r="B1193" s="10">
        <v>2016</v>
      </c>
      <c r="C1193" s="3" t="s">
        <v>1073</v>
      </c>
      <c r="D1193" s="3" t="s">
        <v>9</v>
      </c>
      <c r="E1193" s="4" t="s">
        <v>7</v>
      </c>
      <c r="F1193" s="11" t="s">
        <v>8</v>
      </c>
      <c r="H1193" t="str">
        <f>TRIM(SUBSTITUTE(PROPER(C1193)&amp;" "&amp;IF(OR(D1193="County",D1193="Township",D1193="Village",D1193="Charter Township"),D1193,"")&amp;IF(D1193="Township"," "&amp;"("&amp;VLOOKUP(A1193,counties,3,0)&amp;")",""),"  "," "))</f>
        <v>Vernon Township (Isabella County)</v>
      </c>
    </row>
    <row r="1194" spans="1:8" ht="15.75" thickBot="1" x14ac:dyDescent="0.3">
      <c r="A1194">
        <f t="shared" si="19"/>
        <v>37</v>
      </c>
      <c r="B1194" s="16">
        <v>2016</v>
      </c>
      <c r="C1194" s="17" t="s">
        <v>1074</v>
      </c>
      <c r="D1194" s="17" t="s">
        <v>9</v>
      </c>
      <c r="E1194" s="18" t="s">
        <v>7</v>
      </c>
      <c r="F1194" s="19" t="s">
        <v>19</v>
      </c>
      <c r="H1194" t="str">
        <f>TRIM(SUBSTITUTE(PROPER(C1194)&amp;" "&amp;IF(OR(D1194="County",D1194="Township",D1194="Village",D1194="Charter Township"),D1194,"")&amp;IF(D1194="Township"," "&amp;"("&amp;VLOOKUP(A1194,counties,3,0)&amp;")",""),"  "," "))</f>
        <v>Wise Township (Isabella County)</v>
      </c>
    </row>
    <row r="1195" spans="1:8" ht="16.5" thickTop="1" thickBot="1" x14ac:dyDescent="0.3">
      <c r="A1195">
        <f t="shared" si="19"/>
        <v>38</v>
      </c>
      <c r="B1195" s="5" t="s">
        <v>0</v>
      </c>
      <c r="C1195" s="6" t="s">
        <v>1</v>
      </c>
      <c r="D1195" s="6" t="s">
        <v>2</v>
      </c>
      <c r="E1195" s="6" t="s">
        <v>3</v>
      </c>
      <c r="F1195" s="7" t="s">
        <v>4</v>
      </c>
      <c r="H1195" t="str">
        <f>TRIM(SUBSTITUTE(PROPER(C1195)&amp;" "&amp;IF(OR(D1195="County",D1195="Township",D1195="Village",D1195="Charter Township"),D1195,"")&amp;IF(D1195="Township"," "&amp;"("&amp;VLOOKUP(A1195,counties,3,0)&amp;")",""),"  "," "))</f>
        <v>Municipality</v>
      </c>
    </row>
    <row r="1196" spans="1:8" ht="15.75" thickBot="1" x14ac:dyDescent="0.3">
      <c r="A1196">
        <f t="shared" si="19"/>
        <v>38</v>
      </c>
      <c r="B1196" s="8">
        <v>2016</v>
      </c>
      <c r="C1196" s="1" t="s">
        <v>1075</v>
      </c>
      <c r="D1196" s="1" t="s">
        <v>9</v>
      </c>
      <c r="E1196" s="2" t="s">
        <v>7</v>
      </c>
      <c r="F1196" s="9" t="s">
        <v>8</v>
      </c>
      <c r="H1196" t="str">
        <f>TRIM(SUBSTITUTE(PROPER(C1196)&amp;" "&amp;IF(OR(D1196="County",D1196="Township",D1196="Village",D1196="Charter Township"),D1196,"")&amp;IF(D1196="Township"," "&amp;"("&amp;VLOOKUP(A1196,counties,3,0)&amp;")",""),"  "," "))</f>
        <v>Blackman Charter Township (Jackson County)</v>
      </c>
    </row>
    <row r="1197" spans="1:8" ht="15.75" thickBot="1" x14ac:dyDescent="0.3">
      <c r="A1197">
        <f t="shared" si="19"/>
        <v>38</v>
      </c>
      <c r="B1197" s="10">
        <v>2016</v>
      </c>
      <c r="C1197" s="3" t="s">
        <v>1076</v>
      </c>
      <c r="D1197" s="3" t="s">
        <v>21</v>
      </c>
      <c r="E1197" s="4" t="s">
        <v>7</v>
      </c>
      <c r="F1197" s="11" t="s">
        <v>8</v>
      </c>
      <c r="H1197" t="str">
        <f>TRIM(SUBSTITUTE(PROPER(C1197)&amp;" "&amp;IF(OR(D1197="County",D1197="Township",D1197="Village",D1197="Charter Township"),D1197,"")&amp;IF(D1197="Township"," "&amp;"("&amp;VLOOKUP(A1197,counties,3,0)&amp;")",""),"  "," "))</f>
        <v>Brooklyn Village</v>
      </c>
    </row>
    <row r="1198" spans="1:8" ht="15.75" thickBot="1" x14ac:dyDescent="0.3">
      <c r="A1198">
        <f t="shared" si="19"/>
        <v>38</v>
      </c>
      <c r="B1198" s="8">
        <v>2016</v>
      </c>
      <c r="C1198" s="1" t="s">
        <v>1077</v>
      </c>
      <c r="D1198" s="1" t="s">
        <v>9</v>
      </c>
      <c r="E1198" s="2" t="s">
        <v>7</v>
      </c>
      <c r="F1198" s="9" t="s">
        <v>8</v>
      </c>
      <c r="H1198" t="str">
        <f>TRIM(SUBSTITUTE(PROPER(C1198)&amp;" "&amp;IF(OR(D1198="County",D1198="Township",D1198="Village",D1198="Charter Township"),D1198,"")&amp;IF(D1198="Township"," "&amp;"("&amp;VLOOKUP(A1198,counties,3,0)&amp;")",""),"  "," "))</f>
        <v>Columbia Township (Jackson County)</v>
      </c>
    </row>
    <row r="1199" spans="1:8" ht="15.75" thickBot="1" x14ac:dyDescent="0.3">
      <c r="A1199">
        <f t="shared" si="19"/>
        <v>38</v>
      </c>
      <c r="B1199" s="10">
        <v>2016</v>
      </c>
      <c r="C1199" s="3" t="s">
        <v>1078</v>
      </c>
      <c r="D1199" s="3" t="s">
        <v>21</v>
      </c>
      <c r="E1199" s="4" t="s">
        <v>7</v>
      </c>
      <c r="F1199" s="11" t="s">
        <v>8</v>
      </c>
      <c r="H1199" t="str">
        <f>TRIM(SUBSTITUTE(PROPER(C1199)&amp;" "&amp;IF(OR(D1199="County",D1199="Township",D1199="Village",D1199="Charter Township"),D1199,"")&amp;IF(D1199="Township"," "&amp;"("&amp;VLOOKUP(A1199,counties,3,0)&amp;")",""),"  "," "))</f>
        <v>Concord Village</v>
      </c>
    </row>
    <row r="1200" spans="1:8" ht="15.75" thickBot="1" x14ac:dyDescent="0.3">
      <c r="A1200">
        <f t="shared" si="19"/>
        <v>38</v>
      </c>
      <c r="B1200" s="8">
        <v>2016</v>
      </c>
      <c r="C1200" s="1" t="s">
        <v>1079</v>
      </c>
      <c r="D1200" s="1" t="s">
        <v>21</v>
      </c>
      <c r="E1200" s="2" t="s">
        <v>7</v>
      </c>
      <c r="F1200" s="9" t="s">
        <v>8</v>
      </c>
      <c r="H1200" t="str">
        <f>TRIM(SUBSTITUTE(PROPER(C1200)&amp;" "&amp;IF(OR(D1200="County",D1200="Township",D1200="Village",D1200="Charter Township"),D1200,"")&amp;IF(D1200="Township"," "&amp;"("&amp;VLOOKUP(A1200,counties,3,0)&amp;")",""),"  "," "))</f>
        <v>Grass Lake Village</v>
      </c>
    </row>
    <row r="1201" spans="1:8" ht="15.75" thickBot="1" x14ac:dyDescent="0.3">
      <c r="A1201">
        <f t="shared" si="19"/>
        <v>38</v>
      </c>
      <c r="B1201" s="10">
        <v>2016</v>
      </c>
      <c r="C1201" s="3" t="s">
        <v>1080</v>
      </c>
      <c r="D1201" s="3" t="s">
        <v>9</v>
      </c>
      <c r="E1201" s="4" t="s">
        <v>7</v>
      </c>
      <c r="F1201" s="11" t="s">
        <v>8</v>
      </c>
      <c r="H1201" t="str">
        <f>TRIM(SUBSTITUTE(PROPER(C1201)&amp;" "&amp;IF(OR(D1201="County",D1201="Township",D1201="Village",D1201="Charter Township"),D1201,"")&amp;IF(D1201="Township"," "&amp;"("&amp;VLOOKUP(A1201,counties,3,0)&amp;")",""),"  "," "))</f>
        <v>Grass Lake Charter Township (Jackson County)</v>
      </c>
    </row>
    <row r="1202" spans="1:8" ht="15.75" thickBot="1" x14ac:dyDescent="0.3">
      <c r="A1202">
        <f t="shared" si="19"/>
        <v>38</v>
      </c>
      <c r="B1202" s="8">
        <v>2016</v>
      </c>
      <c r="C1202" s="1" t="s">
        <v>1081</v>
      </c>
      <c r="D1202" s="1" t="s">
        <v>9</v>
      </c>
      <c r="E1202" s="2" t="s">
        <v>7</v>
      </c>
      <c r="F1202" s="9" t="s">
        <v>8</v>
      </c>
      <c r="H1202" t="str">
        <f>TRIM(SUBSTITUTE(PROPER(C1202)&amp;" "&amp;IF(OR(D1202="County",D1202="Township",D1202="Village",D1202="Charter Township"),D1202,"")&amp;IF(D1202="Township"," "&amp;"("&amp;VLOOKUP(A1202,counties,3,0)&amp;")",""),"  "," "))</f>
        <v>Hanover Township (Jackson County)</v>
      </c>
    </row>
    <row r="1203" spans="1:8" ht="15.75" thickBot="1" x14ac:dyDescent="0.3">
      <c r="A1203">
        <f t="shared" si="19"/>
        <v>38</v>
      </c>
      <c r="B1203" s="10">
        <v>2016</v>
      </c>
      <c r="C1203" s="3" t="s">
        <v>1081</v>
      </c>
      <c r="D1203" s="3" t="s">
        <v>21</v>
      </c>
      <c r="E1203" s="4" t="s">
        <v>7</v>
      </c>
      <c r="F1203" s="11" t="s">
        <v>19</v>
      </c>
      <c r="H1203" t="str">
        <f>TRIM(SUBSTITUTE(PROPER(C1203)&amp;" "&amp;IF(OR(D1203="County",D1203="Township",D1203="Village",D1203="Charter Township"),D1203,"")&amp;IF(D1203="Township"," "&amp;"("&amp;VLOOKUP(A1203,counties,3,0)&amp;")",""),"  "," "))</f>
        <v>Hanover Village</v>
      </c>
    </row>
    <row r="1204" spans="1:8" ht="15.75" thickBot="1" x14ac:dyDescent="0.3">
      <c r="A1204">
        <f t="shared" si="19"/>
        <v>38</v>
      </c>
      <c r="B1204" s="8">
        <v>2016</v>
      </c>
      <c r="C1204" s="1" t="s">
        <v>1082</v>
      </c>
      <c r="D1204" s="1" t="s">
        <v>9</v>
      </c>
      <c r="E1204" s="2" t="s">
        <v>7</v>
      </c>
      <c r="F1204" s="9" t="s">
        <v>8</v>
      </c>
      <c r="H1204" t="str">
        <f>TRIM(SUBSTITUTE(PROPER(C1204)&amp;" "&amp;IF(OR(D1204="County",D1204="Township",D1204="Village",D1204="Charter Township"),D1204,"")&amp;IF(D1204="Township"," "&amp;"("&amp;VLOOKUP(A1204,counties,3,0)&amp;")",""),"  "," "))</f>
        <v>Henrietta Township (Jackson County)</v>
      </c>
    </row>
    <row r="1205" spans="1:8" ht="15.75" thickBot="1" x14ac:dyDescent="0.3">
      <c r="A1205">
        <f t="shared" si="19"/>
        <v>38</v>
      </c>
      <c r="B1205" s="10">
        <v>2016</v>
      </c>
      <c r="C1205" s="3" t="s">
        <v>1083</v>
      </c>
      <c r="D1205" s="3" t="s">
        <v>15</v>
      </c>
      <c r="E1205" s="4" t="s">
        <v>7</v>
      </c>
      <c r="F1205" s="11" t="s">
        <v>8</v>
      </c>
      <c r="H1205" t="str">
        <f>TRIM(SUBSTITUTE(PROPER(C1205)&amp;" "&amp;IF(OR(D1205="County",D1205="Township",D1205="Village",D1205="Charter Township"),D1205,"")&amp;IF(D1205="Township"," "&amp;"("&amp;VLOOKUP(A1205,counties,3,0)&amp;")",""),"  "," "))</f>
        <v>Jackson</v>
      </c>
    </row>
    <row r="1206" spans="1:8" ht="15.75" thickBot="1" x14ac:dyDescent="0.3">
      <c r="A1206">
        <f t="shared" si="19"/>
        <v>38</v>
      </c>
      <c r="B1206" s="8">
        <v>2016</v>
      </c>
      <c r="C1206" s="1" t="s">
        <v>1083</v>
      </c>
      <c r="D1206" s="1" t="s">
        <v>6</v>
      </c>
      <c r="E1206" s="2" t="s">
        <v>7</v>
      </c>
      <c r="F1206" s="9" t="s">
        <v>8</v>
      </c>
      <c r="H1206" t="str">
        <f>TRIM(SUBSTITUTE(PROPER(C1206)&amp;" "&amp;IF(OR(D1206="County",D1206="Township",D1206="Village",D1206="Charter Township"),D1206,"")&amp;IF(D1206="Township"," "&amp;"("&amp;VLOOKUP(A1206,counties,3,0)&amp;")",""),"  "," "))</f>
        <v>Jackson County</v>
      </c>
    </row>
    <row r="1207" spans="1:8" ht="15.75" thickBot="1" x14ac:dyDescent="0.3">
      <c r="A1207">
        <f t="shared" si="19"/>
        <v>38</v>
      </c>
      <c r="B1207" s="10">
        <v>2016</v>
      </c>
      <c r="C1207" s="3" t="s">
        <v>1084</v>
      </c>
      <c r="D1207" s="3" t="s">
        <v>17</v>
      </c>
      <c r="E1207" s="4" t="s">
        <v>7</v>
      </c>
      <c r="F1207" s="11" t="s">
        <v>8</v>
      </c>
      <c r="H1207" t="str">
        <f>TRIM(SUBSTITUTE(PROPER(C1207)&amp;" "&amp;IF(OR(D1207="County",D1207="Township",D1207="Village",D1207="Charter Township"),D1207,"")&amp;IF(D1207="Township"," "&amp;"("&amp;VLOOKUP(A1207,counties,3,0)&amp;")",""),"  "," "))</f>
        <v>Jackson City Downtown Development Authority</v>
      </c>
    </row>
    <row r="1208" spans="1:8" ht="15.75" thickBot="1" x14ac:dyDescent="0.3">
      <c r="A1208">
        <f t="shared" si="19"/>
        <v>38</v>
      </c>
      <c r="B1208" s="8">
        <v>2016</v>
      </c>
      <c r="C1208" s="1" t="s">
        <v>1085</v>
      </c>
      <c r="D1208" s="1" t="s">
        <v>17</v>
      </c>
      <c r="E1208" s="2" t="s">
        <v>7</v>
      </c>
      <c r="F1208" s="9" t="s">
        <v>8</v>
      </c>
      <c r="H1208" t="str">
        <f>TRIM(SUBSTITUTE(PROPER(C1208)&amp;" "&amp;IF(OR(D1208="County",D1208="Township",D1208="Village",D1208="Charter Township"),D1208,"")&amp;IF(D1208="Township"," "&amp;"("&amp;VLOOKUP(A1208,counties,3,0)&amp;")",""),"  "," "))</f>
        <v>Jackson City Housing Commission</v>
      </c>
    </row>
    <row r="1209" spans="1:8" ht="15.75" thickBot="1" x14ac:dyDescent="0.3">
      <c r="A1209">
        <f t="shared" si="19"/>
        <v>38</v>
      </c>
      <c r="B1209" s="10">
        <v>2016</v>
      </c>
      <c r="C1209" s="3" t="s">
        <v>1086</v>
      </c>
      <c r="D1209" s="3" t="s">
        <v>17</v>
      </c>
      <c r="E1209" s="4" t="s">
        <v>7</v>
      </c>
      <c r="F1209" s="11" t="s">
        <v>8</v>
      </c>
      <c r="H1209" t="str">
        <f>TRIM(SUBSTITUTE(PROPER(C1209)&amp;" "&amp;IF(OR(D1209="County",D1209="Township",D1209="Village",D1209="Charter Township"),D1209,"")&amp;IF(D1209="Township"," "&amp;"("&amp;VLOOKUP(A1209,counties,3,0)&amp;")",""),"  "," "))</f>
        <v>Jackson City Transportation Authority</v>
      </c>
    </row>
    <row r="1210" spans="1:8" ht="15.75" thickBot="1" x14ac:dyDescent="0.3">
      <c r="A1210">
        <f t="shared" si="19"/>
        <v>38</v>
      </c>
      <c r="B1210" s="8">
        <v>2016</v>
      </c>
      <c r="C1210" s="1" t="s">
        <v>1087</v>
      </c>
      <c r="D1210" s="1" t="s">
        <v>17</v>
      </c>
      <c r="E1210" s="2" t="s">
        <v>7</v>
      </c>
      <c r="F1210" s="9" t="s">
        <v>8</v>
      </c>
      <c r="H1210" t="str">
        <f>TRIM(SUBSTITUTE(PROPER(C1210)&amp;" "&amp;IF(OR(D1210="County",D1210="Township",D1210="Village",D1210="Charter Township"),D1210,"")&amp;IF(D1210="Township"," "&amp;"("&amp;VLOOKUP(A1210,counties,3,0)&amp;")",""),"  "," "))</f>
        <v>Jackson Co Conservation District</v>
      </c>
    </row>
    <row r="1211" spans="1:8" ht="15.75" thickBot="1" x14ac:dyDescent="0.3">
      <c r="A1211">
        <f t="shared" si="19"/>
        <v>38</v>
      </c>
      <c r="B1211" s="10">
        <v>2016</v>
      </c>
      <c r="C1211" s="3" t="s">
        <v>1088</v>
      </c>
      <c r="D1211" s="3" t="s">
        <v>88</v>
      </c>
      <c r="E1211" s="4" t="s">
        <v>7</v>
      </c>
      <c r="F1211" s="11" t="s">
        <v>8</v>
      </c>
      <c r="H1211" t="str">
        <f>TRIM(SUBSTITUTE(PROPER(C1211)&amp;" "&amp;IF(OR(D1211="County",D1211="Township",D1211="Village",D1211="Charter Township"),D1211,"")&amp;IF(D1211="Township"," "&amp;"("&amp;VLOOKUP(A1211,counties,3,0)&amp;")",""),"  "," "))</f>
        <v>Jackson County Community College</v>
      </c>
    </row>
    <row r="1212" spans="1:8" ht="15.75" thickBot="1" x14ac:dyDescent="0.3">
      <c r="A1212">
        <f t="shared" si="19"/>
        <v>38</v>
      </c>
      <c r="B1212" s="8">
        <v>2016</v>
      </c>
      <c r="C1212" s="1" t="s">
        <v>1089</v>
      </c>
      <c r="D1212" s="1" t="s">
        <v>17</v>
      </c>
      <c r="E1212" s="2" t="s">
        <v>7</v>
      </c>
      <c r="F1212" s="9" t="s">
        <v>8</v>
      </c>
      <c r="H1212" t="str">
        <f>TRIM(SUBSTITUTE(PROPER(C1212)&amp;" "&amp;IF(OR(D1212="County",D1212="Township",D1212="Village",D1212="Charter Township"),D1212,"")&amp;IF(D1212="Township"," "&amp;"("&amp;VLOOKUP(A1212,counties,3,0)&amp;")",""),"  "," "))</f>
        <v>Jackson County Edc</v>
      </c>
    </row>
    <row r="1213" spans="1:8" ht="15.75" thickBot="1" x14ac:dyDescent="0.3">
      <c r="A1213">
        <f t="shared" si="19"/>
        <v>38</v>
      </c>
      <c r="B1213" s="10">
        <v>2016</v>
      </c>
      <c r="C1213" s="3" t="s">
        <v>1090</v>
      </c>
      <c r="D1213" s="3" t="s">
        <v>17</v>
      </c>
      <c r="E1213" s="4" t="s">
        <v>7</v>
      </c>
      <c r="F1213" s="11" t="s">
        <v>8</v>
      </c>
      <c r="H1213" t="str">
        <f>TRIM(SUBSTITUTE(PROPER(C1213)&amp;" "&amp;IF(OR(D1213="County",D1213="Township",D1213="Village",D1213="Charter Township"),D1213,"")&amp;IF(D1213="Township"," "&amp;"("&amp;VLOOKUP(A1213,counties,3,0)&amp;")",""),"  "," "))</f>
        <v>Jackson County Employees Retirement System</v>
      </c>
    </row>
    <row r="1214" spans="1:8" ht="15.75" thickBot="1" x14ac:dyDescent="0.3">
      <c r="A1214">
        <f t="shared" si="19"/>
        <v>38</v>
      </c>
      <c r="B1214" s="8">
        <v>2016</v>
      </c>
      <c r="C1214" s="1" t="s">
        <v>1091</v>
      </c>
      <c r="D1214" s="1" t="s">
        <v>17</v>
      </c>
      <c r="E1214" s="2" t="s">
        <v>7</v>
      </c>
      <c r="F1214" s="9" t="s">
        <v>8</v>
      </c>
      <c r="H1214" t="str">
        <f>TRIM(SUBSTITUTE(PROPER(C1214)&amp;" "&amp;IF(OR(D1214="County",D1214="Township",D1214="Village",D1214="Charter Township"),D1214,"")&amp;IF(D1214="Township"," "&amp;"("&amp;VLOOKUP(A1214,counties,3,0)&amp;")",""),"  "," "))</f>
        <v>Jackson County Medical Care Facility</v>
      </c>
    </row>
    <row r="1215" spans="1:8" ht="15.75" thickBot="1" x14ac:dyDescent="0.3">
      <c r="A1215">
        <f t="shared" si="19"/>
        <v>38</v>
      </c>
      <c r="B1215" s="10">
        <v>2016</v>
      </c>
      <c r="C1215" s="3" t="s">
        <v>1092</v>
      </c>
      <c r="D1215" s="3" t="s">
        <v>42</v>
      </c>
      <c r="E1215" s="4" t="s">
        <v>7</v>
      </c>
      <c r="F1215" s="11" t="s">
        <v>8</v>
      </c>
      <c r="H1215" t="str">
        <f>TRIM(SUBSTITUTE(PROPER(C1215)&amp;" "&amp;IF(OR(D1215="County",D1215="Township",D1215="Village",D1215="Charter Township"),D1215,"")&amp;IF(D1215="Township"," "&amp;"("&amp;VLOOKUP(A1215,counties,3,0)&amp;")",""),"  "," "))</f>
        <v>Jackson District Library</v>
      </c>
    </row>
    <row r="1216" spans="1:8" ht="15.75" thickBot="1" x14ac:dyDescent="0.3">
      <c r="A1216">
        <f t="shared" si="19"/>
        <v>38</v>
      </c>
      <c r="B1216" s="8">
        <v>2016</v>
      </c>
      <c r="C1216" s="1" t="s">
        <v>1093</v>
      </c>
      <c r="D1216" s="1" t="s">
        <v>17</v>
      </c>
      <c r="E1216" s="2" t="s">
        <v>7</v>
      </c>
      <c r="F1216" s="9" t="s">
        <v>8</v>
      </c>
      <c r="H1216" t="str">
        <f>TRIM(SUBSTITUTE(PROPER(C1216)&amp;" "&amp;IF(OR(D1216="County",D1216="Township",D1216="Village",D1216="Charter Township"),D1216,"")&amp;IF(D1216="Township"," "&amp;"("&amp;VLOOKUP(A1216,counties,3,0)&amp;")",""),"  "," "))</f>
        <v>Jackson Narcotics Enforcement Team (Jnet)</v>
      </c>
    </row>
    <row r="1217" spans="1:8" ht="15.75" thickBot="1" x14ac:dyDescent="0.3">
      <c r="A1217">
        <f t="shared" si="19"/>
        <v>38</v>
      </c>
      <c r="B1217" s="10">
        <v>2016</v>
      </c>
      <c r="C1217" s="3" t="s">
        <v>1094</v>
      </c>
      <c r="D1217" s="3" t="s">
        <v>9</v>
      </c>
      <c r="E1217" s="4" t="s">
        <v>7</v>
      </c>
      <c r="F1217" s="11" t="s">
        <v>8</v>
      </c>
      <c r="H1217" t="str">
        <f>TRIM(SUBSTITUTE(PROPER(C1217)&amp;" "&amp;IF(OR(D1217="County",D1217="Township",D1217="Village",D1217="Charter Township"),D1217,"")&amp;IF(D1217="Township"," "&amp;"("&amp;VLOOKUP(A1217,counties,3,0)&amp;")",""),"  "," "))</f>
        <v>Leoni Township (Jackson County)</v>
      </c>
    </row>
    <row r="1218" spans="1:8" ht="15.75" thickBot="1" x14ac:dyDescent="0.3">
      <c r="A1218">
        <f t="shared" si="19"/>
        <v>38</v>
      </c>
      <c r="B1218" s="8">
        <v>2016</v>
      </c>
      <c r="C1218" s="1" t="s">
        <v>1095</v>
      </c>
      <c r="D1218" s="1" t="s">
        <v>17</v>
      </c>
      <c r="E1218" s="2" t="s">
        <v>7</v>
      </c>
      <c r="F1218" s="9" t="s">
        <v>8</v>
      </c>
      <c r="H1218" t="str">
        <f>TRIM(SUBSTITUTE(PROPER(C1218)&amp;" "&amp;IF(OR(D1218="County",D1218="Township",D1218="Village",D1218="Charter Township"),D1218,"")&amp;IF(D1218="Township"," "&amp;"("&amp;VLOOKUP(A1218,counties,3,0)&amp;")",""),"  "," "))</f>
        <v>Leoni Regional Utility Authority</v>
      </c>
    </row>
    <row r="1219" spans="1:8" ht="15.75" thickBot="1" x14ac:dyDescent="0.3">
      <c r="A1219">
        <f t="shared" ref="A1219:A1282" si="20">IF(B1219="Year",A1218+1,A1218)</f>
        <v>38</v>
      </c>
      <c r="B1219" s="10">
        <v>2016</v>
      </c>
      <c r="C1219" s="3" t="s">
        <v>1096</v>
      </c>
      <c r="D1219" s="3" t="s">
        <v>9</v>
      </c>
      <c r="E1219" s="4" t="s">
        <v>7</v>
      </c>
      <c r="F1219" s="11" t="s">
        <v>8</v>
      </c>
      <c r="H1219" t="str">
        <f>TRIM(SUBSTITUTE(PROPER(C1219)&amp;" "&amp;IF(OR(D1219="County",D1219="Township",D1219="Village",D1219="Charter Township"),D1219,"")&amp;IF(D1219="Township"," "&amp;"("&amp;VLOOKUP(A1219,counties,3,0)&amp;")",""),"  "," "))</f>
        <v>Liberty Township (Jackson County)</v>
      </c>
    </row>
    <row r="1220" spans="1:8" ht="15.75" thickBot="1" x14ac:dyDescent="0.3">
      <c r="A1220">
        <f t="shared" si="20"/>
        <v>38</v>
      </c>
      <c r="B1220" s="8">
        <v>2016</v>
      </c>
      <c r="C1220" s="1" t="s">
        <v>1097</v>
      </c>
      <c r="D1220" s="1" t="s">
        <v>17</v>
      </c>
      <c r="E1220" s="2" t="s">
        <v>7</v>
      </c>
      <c r="F1220" s="9" t="s">
        <v>8</v>
      </c>
      <c r="H1220" t="str">
        <f>TRIM(SUBSTITUTE(PROPER(C1220)&amp;" "&amp;IF(OR(D1220="County",D1220="Township",D1220="Village",D1220="Charter Township"),D1220,"")&amp;IF(D1220="Township"," "&amp;"("&amp;VLOOKUP(A1220,counties,3,0)&amp;")",""),"  "," "))</f>
        <v>Lifeways-Jackson &amp; Hillsdale Counties</v>
      </c>
    </row>
    <row r="1221" spans="1:8" ht="21.75" thickBot="1" x14ac:dyDescent="0.3">
      <c r="A1221">
        <f t="shared" si="20"/>
        <v>38</v>
      </c>
      <c r="B1221" s="10">
        <v>2016</v>
      </c>
      <c r="C1221" s="3" t="s">
        <v>1098</v>
      </c>
      <c r="D1221" s="3" t="s">
        <v>17</v>
      </c>
      <c r="E1221" s="4" t="s">
        <v>7</v>
      </c>
      <c r="F1221" s="11" t="s">
        <v>8</v>
      </c>
      <c r="H1221" t="str">
        <f>TRIM(SUBSTITUTE(PROPER(C1221)&amp;" "&amp;IF(OR(D1221="County",D1221="Township",D1221="Village",D1221="Charter Township"),D1221,"")&amp;IF(D1221="Township"," "&amp;"("&amp;VLOOKUP(A1221,counties,3,0)&amp;")",""),"  "," "))</f>
        <v>Local Development Finance Authority Of The Village Of Parma</v>
      </c>
    </row>
    <row r="1222" spans="1:8" ht="15.75" thickBot="1" x14ac:dyDescent="0.3">
      <c r="A1222">
        <f t="shared" si="20"/>
        <v>38</v>
      </c>
      <c r="B1222" s="8">
        <v>2016</v>
      </c>
      <c r="C1222" s="1" t="s">
        <v>1099</v>
      </c>
      <c r="D1222" s="1" t="s">
        <v>9</v>
      </c>
      <c r="E1222" s="2" t="s">
        <v>7</v>
      </c>
      <c r="F1222" s="9" t="s">
        <v>8</v>
      </c>
      <c r="H1222" t="str">
        <f>TRIM(SUBSTITUTE(PROPER(C1222)&amp;" "&amp;IF(OR(D1222="County",D1222="Township",D1222="Village",D1222="Charter Township"),D1222,"")&amp;IF(D1222="Township"," "&amp;"("&amp;VLOOKUP(A1222,counties,3,0)&amp;")",""),"  "," "))</f>
        <v>Napoleon Township (Jackson County)</v>
      </c>
    </row>
    <row r="1223" spans="1:8" ht="15.75" thickBot="1" x14ac:dyDescent="0.3">
      <c r="A1223">
        <f t="shared" si="20"/>
        <v>38</v>
      </c>
      <c r="B1223" s="10">
        <v>2016</v>
      </c>
      <c r="C1223" s="3" t="s">
        <v>1100</v>
      </c>
      <c r="D1223" s="3" t="s">
        <v>9</v>
      </c>
      <c r="E1223" s="4" t="s">
        <v>7</v>
      </c>
      <c r="F1223" s="11" t="s">
        <v>8</v>
      </c>
      <c r="H1223" t="str">
        <f>TRIM(SUBSTITUTE(PROPER(C1223)&amp;" "&amp;IF(OR(D1223="County",D1223="Township",D1223="Village",D1223="Charter Township"),D1223,"")&amp;IF(D1223="Township"," "&amp;"("&amp;VLOOKUP(A1223,counties,3,0)&amp;")",""),"  "," "))</f>
        <v>Norvell Township (Jackson County)</v>
      </c>
    </row>
    <row r="1224" spans="1:8" ht="15.75" thickBot="1" x14ac:dyDescent="0.3">
      <c r="A1224">
        <f t="shared" si="20"/>
        <v>38</v>
      </c>
      <c r="B1224" s="8">
        <v>2016</v>
      </c>
      <c r="C1224" s="1" t="s">
        <v>1101</v>
      </c>
      <c r="D1224" s="1" t="s">
        <v>9</v>
      </c>
      <c r="E1224" s="2" t="s">
        <v>7</v>
      </c>
      <c r="F1224" s="9" t="s">
        <v>8</v>
      </c>
      <c r="H1224" t="str">
        <f>TRIM(SUBSTITUTE(PROPER(C1224)&amp;" "&amp;IF(OR(D1224="County",D1224="Township",D1224="Village",D1224="Charter Township"),D1224,"")&amp;IF(D1224="Township"," "&amp;"("&amp;VLOOKUP(A1224,counties,3,0)&amp;")",""),"  "," "))</f>
        <v>Parma Township (Jackson County)</v>
      </c>
    </row>
    <row r="1225" spans="1:8" ht="15.75" thickBot="1" x14ac:dyDescent="0.3">
      <c r="A1225">
        <f t="shared" si="20"/>
        <v>38</v>
      </c>
      <c r="B1225" s="10">
        <v>2016</v>
      </c>
      <c r="C1225" s="3" t="s">
        <v>1101</v>
      </c>
      <c r="D1225" s="3" t="s">
        <v>21</v>
      </c>
      <c r="E1225" s="4" t="s">
        <v>7</v>
      </c>
      <c r="F1225" s="11" t="s">
        <v>8</v>
      </c>
      <c r="H1225" t="str">
        <f>TRIM(SUBSTITUTE(PROPER(C1225)&amp;" "&amp;IF(OR(D1225="County",D1225="Township",D1225="Village",D1225="Charter Township"),D1225,"")&amp;IF(D1225="Township"," "&amp;"("&amp;VLOOKUP(A1225,counties,3,0)&amp;")",""),"  "," "))</f>
        <v>Parma Village</v>
      </c>
    </row>
    <row r="1226" spans="1:8" ht="15.75" thickBot="1" x14ac:dyDescent="0.3">
      <c r="A1226">
        <f t="shared" si="20"/>
        <v>38</v>
      </c>
      <c r="B1226" s="8">
        <v>2016</v>
      </c>
      <c r="C1226" s="1" t="s">
        <v>1102</v>
      </c>
      <c r="D1226" s="1" t="s">
        <v>9</v>
      </c>
      <c r="E1226" s="2" t="s">
        <v>7</v>
      </c>
      <c r="F1226" s="9" t="s">
        <v>19</v>
      </c>
      <c r="H1226" t="str">
        <f>TRIM(SUBSTITUTE(PROPER(C1226)&amp;" "&amp;IF(OR(D1226="County",D1226="Township",D1226="Village",D1226="Charter Township"),D1226,"")&amp;IF(D1226="Township"," "&amp;"("&amp;VLOOKUP(A1226,counties,3,0)&amp;")",""),"  "," "))</f>
        <v>Pulaski Township (Jackson County)</v>
      </c>
    </row>
    <row r="1227" spans="1:8" ht="15.75" thickBot="1" x14ac:dyDescent="0.3">
      <c r="A1227">
        <f t="shared" si="20"/>
        <v>38</v>
      </c>
      <c r="B1227" s="10">
        <v>2016</v>
      </c>
      <c r="C1227" s="3" t="s">
        <v>1103</v>
      </c>
      <c r="D1227" s="3" t="s">
        <v>17</v>
      </c>
      <c r="E1227" s="4" t="s">
        <v>7</v>
      </c>
      <c r="F1227" s="11" t="s">
        <v>8</v>
      </c>
      <c r="H1227" t="str">
        <f>TRIM(SUBSTITUTE(PROPER(C1227)&amp;" "&amp;IF(OR(D1227="County",D1227="Township",D1227="Village",D1227="Charter Township"),D1227,"")&amp;IF(D1227="Township"," "&amp;"("&amp;VLOOKUP(A1227,counties,3,0)&amp;")",""),"  "," "))</f>
        <v>Region 2 Planning Commission</v>
      </c>
    </row>
    <row r="1228" spans="1:8" ht="15.75" thickBot="1" x14ac:dyDescent="0.3">
      <c r="A1228">
        <f t="shared" si="20"/>
        <v>38</v>
      </c>
      <c r="B1228" s="8">
        <v>2016</v>
      </c>
      <c r="C1228" s="1" t="s">
        <v>1104</v>
      </c>
      <c r="D1228" s="1" t="s">
        <v>9</v>
      </c>
      <c r="E1228" s="2" t="s">
        <v>7</v>
      </c>
      <c r="F1228" s="9" t="s">
        <v>8</v>
      </c>
      <c r="H1228" t="str">
        <f>TRIM(SUBSTITUTE(PROPER(C1228)&amp;" "&amp;IF(OR(D1228="County",D1228="Township",D1228="Village",D1228="Charter Township"),D1228,"")&amp;IF(D1228="Township"," "&amp;"("&amp;VLOOKUP(A1228,counties,3,0)&amp;")",""),"  "," "))</f>
        <v>Rives Township (Jackson County)</v>
      </c>
    </row>
    <row r="1229" spans="1:8" ht="15.75" thickBot="1" x14ac:dyDescent="0.3">
      <c r="A1229">
        <f t="shared" si="20"/>
        <v>38</v>
      </c>
      <c r="B1229" s="10">
        <v>2016</v>
      </c>
      <c r="C1229" s="3" t="s">
        <v>1105</v>
      </c>
      <c r="D1229" s="3" t="s">
        <v>17</v>
      </c>
      <c r="E1229" s="4" t="s">
        <v>7</v>
      </c>
      <c r="F1229" s="11" t="s">
        <v>8</v>
      </c>
      <c r="H1229" t="str">
        <f>TRIM(SUBSTITUTE(PROPER(C1229)&amp;" "&amp;IF(OR(D1229="County",D1229="Township",D1229="Village",D1229="Charter Township"),D1229,"")&amp;IF(D1229="Township"," "&amp;"("&amp;VLOOKUP(A1229,counties,3,0)&amp;")",""),"  "," "))</f>
        <v>Round/Farwell Lakes Sewer Common Fund</v>
      </c>
    </row>
    <row r="1230" spans="1:8" ht="15.75" thickBot="1" x14ac:dyDescent="0.3">
      <c r="A1230">
        <f t="shared" si="20"/>
        <v>38</v>
      </c>
      <c r="B1230" s="8">
        <v>2016</v>
      </c>
      <c r="C1230" s="1" t="s">
        <v>1106</v>
      </c>
      <c r="D1230" s="1" t="s">
        <v>9</v>
      </c>
      <c r="E1230" s="2" t="s">
        <v>7</v>
      </c>
      <c r="F1230" s="9" t="s">
        <v>8</v>
      </c>
      <c r="H1230" t="str">
        <f>TRIM(SUBSTITUTE(PROPER(C1230)&amp;" "&amp;IF(OR(D1230="County",D1230="Township",D1230="Village",D1230="Charter Township"),D1230,"")&amp;IF(D1230="Township"," "&amp;"("&amp;VLOOKUP(A1230,counties,3,0)&amp;")",""),"  "," "))</f>
        <v>Sandstone Charter Township Township (Jackson County)</v>
      </c>
    </row>
    <row r="1231" spans="1:8" ht="15.75" thickBot="1" x14ac:dyDescent="0.3">
      <c r="A1231">
        <f t="shared" si="20"/>
        <v>38</v>
      </c>
      <c r="B1231" s="10">
        <v>2016</v>
      </c>
      <c r="C1231" s="3" t="s">
        <v>1107</v>
      </c>
      <c r="D1231" s="3" t="s">
        <v>9</v>
      </c>
      <c r="E1231" s="4" t="s">
        <v>7</v>
      </c>
      <c r="F1231" s="11" t="s">
        <v>8</v>
      </c>
      <c r="H1231" t="str">
        <f>TRIM(SUBSTITUTE(PROPER(C1231)&amp;" "&amp;IF(OR(D1231="County",D1231="Township",D1231="Village",D1231="Charter Township"),D1231,"")&amp;IF(D1231="Township"," "&amp;"("&amp;VLOOKUP(A1231,counties,3,0)&amp;")",""),"  "," "))</f>
        <v>Spring Arbor Township (Jackson County)</v>
      </c>
    </row>
    <row r="1232" spans="1:8" ht="15.75" thickBot="1" x14ac:dyDescent="0.3">
      <c r="A1232">
        <f t="shared" si="20"/>
        <v>38</v>
      </c>
      <c r="B1232" s="8">
        <v>2016</v>
      </c>
      <c r="C1232" s="1" t="s">
        <v>1108</v>
      </c>
      <c r="D1232" s="1" t="s">
        <v>9</v>
      </c>
      <c r="E1232" s="2" t="s">
        <v>7</v>
      </c>
      <c r="F1232" s="9" t="s">
        <v>8</v>
      </c>
      <c r="H1232" t="str">
        <f>TRIM(SUBSTITUTE(PROPER(C1232)&amp;" "&amp;IF(OR(D1232="County",D1232="Township",D1232="Village",D1232="Charter Township"),D1232,"")&amp;IF(D1232="Township"," "&amp;"("&amp;VLOOKUP(A1232,counties,3,0)&amp;")",""),"  "," "))</f>
        <v>Springport Township (Jackson County)</v>
      </c>
    </row>
    <row r="1233" spans="1:8" ht="15.75" thickBot="1" x14ac:dyDescent="0.3">
      <c r="A1233">
        <f t="shared" si="20"/>
        <v>38</v>
      </c>
      <c r="B1233" s="10">
        <v>2016</v>
      </c>
      <c r="C1233" s="3" t="s">
        <v>1108</v>
      </c>
      <c r="D1233" s="3" t="s">
        <v>21</v>
      </c>
      <c r="E1233" s="4" t="s">
        <v>7</v>
      </c>
      <c r="F1233" s="11" t="s">
        <v>8</v>
      </c>
      <c r="H1233" t="str">
        <f>TRIM(SUBSTITUTE(PROPER(C1233)&amp;" "&amp;IF(OR(D1233="County",D1233="Township",D1233="Village",D1233="Charter Township"),D1233,"")&amp;IF(D1233="Township"," "&amp;"("&amp;VLOOKUP(A1233,counties,3,0)&amp;")",""),"  "," "))</f>
        <v>Springport Village</v>
      </c>
    </row>
    <row r="1234" spans="1:8" ht="15.75" thickBot="1" x14ac:dyDescent="0.3">
      <c r="A1234">
        <f t="shared" si="20"/>
        <v>38</v>
      </c>
      <c r="B1234" s="8">
        <v>2016</v>
      </c>
      <c r="C1234" s="1" t="s">
        <v>1109</v>
      </c>
      <c r="D1234" s="1" t="s">
        <v>17</v>
      </c>
      <c r="E1234" s="2" t="s">
        <v>7</v>
      </c>
      <c r="F1234" s="9" t="s">
        <v>8</v>
      </c>
      <c r="H1234" t="str">
        <f>TRIM(SUBSTITUTE(PROPER(C1234)&amp;" "&amp;IF(OR(D1234="County",D1234="Township",D1234="Village",D1234="Charter Township"),D1234,"")&amp;IF(D1234="Township"," "&amp;"("&amp;VLOOKUP(A1234,counties,3,0)&amp;")",""),"  "," "))</f>
        <v>Springport/Clarence Regional Fire Board</v>
      </c>
    </row>
    <row r="1235" spans="1:8" ht="15.75" thickBot="1" x14ac:dyDescent="0.3">
      <c r="A1235">
        <f t="shared" si="20"/>
        <v>38</v>
      </c>
      <c r="B1235" s="10">
        <v>2016</v>
      </c>
      <c r="C1235" s="3" t="s">
        <v>1110</v>
      </c>
      <c r="D1235" s="3" t="s">
        <v>9</v>
      </c>
      <c r="E1235" s="4" t="s">
        <v>7</v>
      </c>
      <c r="F1235" s="11" t="s">
        <v>8</v>
      </c>
      <c r="H1235" t="str">
        <f>TRIM(SUBSTITUTE(PROPER(C1235)&amp;" "&amp;IF(OR(D1235="County",D1235="Township",D1235="Village",D1235="Charter Township"),D1235,"")&amp;IF(D1235="Township"," "&amp;"("&amp;VLOOKUP(A1235,counties,3,0)&amp;")",""),"  "," "))</f>
        <v>Summit Township (Jackson County)</v>
      </c>
    </row>
    <row r="1236" spans="1:8" ht="15.75" thickBot="1" x14ac:dyDescent="0.3">
      <c r="A1236">
        <f t="shared" si="20"/>
        <v>38</v>
      </c>
      <c r="B1236" s="8">
        <v>2016</v>
      </c>
      <c r="C1236" s="1" t="s">
        <v>1111</v>
      </c>
      <c r="D1236" s="1" t="s">
        <v>9</v>
      </c>
      <c r="E1236" s="2" t="s">
        <v>7</v>
      </c>
      <c r="F1236" s="9" t="s">
        <v>8</v>
      </c>
      <c r="H1236" t="str">
        <f>TRIM(SUBSTITUTE(PROPER(C1236)&amp;" "&amp;IF(OR(D1236="County",D1236="Township",D1236="Village",D1236="Charter Township"),D1236,"")&amp;IF(D1236="Township"," "&amp;"("&amp;VLOOKUP(A1236,counties,3,0)&amp;")",""),"  "," "))</f>
        <v>Tompkins Township (Jackson County)</v>
      </c>
    </row>
    <row r="1237" spans="1:8" ht="15.75" thickBot="1" x14ac:dyDescent="0.3">
      <c r="A1237">
        <f t="shared" si="20"/>
        <v>38</v>
      </c>
      <c r="B1237" s="12">
        <v>2016</v>
      </c>
      <c r="C1237" s="13" t="s">
        <v>1112</v>
      </c>
      <c r="D1237" s="13" t="s">
        <v>9</v>
      </c>
      <c r="E1237" s="14" t="s">
        <v>7</v>
      </c>
      <c r="F1237" s="15" t="s">
        <v>8</v>
      </c>
      <c r="H1237" t="str">
        <f>TRIM(SUBSTITUTE(PROPER(C1237)&amp;" "&amp;IF(OR(D1237="County",D1237="Township",D1237="Village",D1237="Charter Township"),D1237,"")&amp;IF(D1237="Township"," "&amp;"("&amp;VLOOKUP(A1237,counties,3,0)&amp;")",""),"  "," "))</f>
        <v>Waterloo Township (Jackson County)</v>
      </c>
    </row>
    <row r="1238" spans="1:8" ht="16.5" thickTop="1" thickBot="1" x14ac:dyDescent="0.3">
      <c r="A1238">
        <f t="shared" si="20"/>
        <v>39</v>
      </c>
      <c r="B1238" s="5" t="s">
        <v>0</v>
      </c>
      <c r="C1238" s="6" t="s">
        <v>1</v>
      </c>
      <c r="D1238" s="6" t="s">
        <v>2</v>
      </c>
      <c r="E1238" s="6" t="s">
        <v>3</v>
      </c>
      <c r="F1238" s="7" t="s">
        <v>4</v>
      </c>
      <c r="H1238" t="str">
        <f>TRIM(SUBSTITUTE(PROPER(C1238)&amp;" "&amp;IF(OR(D1238="County",D1238="Township",D1238="Village",D1238="Charter Township"),D1238,"")&amp;IF(D1238="Township"," "&amp;"("&amp;VLOOKUP(A1238,counties,3,0)&amp;")",""),"  "," "))</f>
        <v>Municipality</v>
      </c>
    </row>
    <row r="1239" spans="1:8" ht="15.75" thickBot="1" x14ac:dyDescent="0.3">
      <c r="A1239">
        <f t="shared" si="20"/>
        <v>39</v>
      </c>
      <c r="B1239" s="8">
        <v>2016</v>
      </c>
      <c r="C1239" s="1" t="s">
        <v>1113</v>
      </c>
      <c r="D1239" s="1" t="s">
        <v>9</v>
      </c>
      <c r="E1239" s="2" t="s">
        <v>7</v>
      </c>
      <c r="F1239" s="9" t="s">
        <v>8</v>
      </c>
      <c r="H1239" t="str">
        <f>TRIM(SUBSTITUTE(PROPER(C1239)&amp;" "&amp;IF(OR(D1239="County",D1239="Township",D1239="Village",D1239="Charter Township"),D1239,"")&amp;IF(D1239="Township"," "&amp;"("&amp;VLOOKUP(A1239,counties,3,0)&amp;")",""),"  "," "))</f>
        <v>Alamo Township (Kalamazoo County)</v>
      </c>
    </row>
    <row r="1240" spans="1:8" ht="15.75" thickBot="1" x14ac:dyDescent="0.3">
      <c r="A1240">
        <f t="shared" si="20"/>
        <v>39</v>
      </c>
      <c r="B1240" s="10">
        <v>2016</v>
      </c>
      <c r="C1240" s="3" t="s">
        <v>1114</v>
      </c>
      <c r="D1240" s="3" t="s">
        <v>21</v>
      </c>
      <c r="E1240" s="4" t="s">
        <v>7</v>
      </c>
      <c r="F1240" s="11" t="s">
        <v>8</v>
      </c>
      <c r="H1240" t="str">
        <f>TRIM(SUBSTITUTE(PROPER(C1240)&amp;" "&amp;IF(OR(D1240="County",D1240="Township",D1240="Village",D1240="Charter Township"),D1240,"")&amp;IF(D1240="Township"," "&amp;"("&amp;VLOOKUP(A1240,counties,3,0)&amp;")",""),"  "," "))</f>
        <v>Augusta Village</v>
      </c>
    </row>
    <row r="1241" spans="1:8" ht="15.75" thickBot="1" x14ac:dyDescent="0.3">
      <c r="A1241">
        <f t="shared" si="20"/>
        <v>39</v>
      </c>
      <c r="B1241" s="8">
        <v>2016</v>
      </c>
      <c r="C1241" s="1" t="s">
        <v>1115</v>
      </c>
      <c r="D1241" s="1" t="s">
        <v>42</v>
      </c>
      <c r="E1241" s="2" t="s">
        <v>7</v>
      </c>
      <c r="F1241" s="9" t="s">
        <v>8</v>
      </c>
      <c r="H1241" t="str">
        <f>TRIM(SUBSTITUTE(PROPER(C1241)&amp;" "&amp;IF(OR(D1241="County",D1241="Township",D1241="Village",D1241="Charter Township"),D1241,"")&amp;IF(D1241="Township"," "&amp;"("&amp;VLOOKUP(A1241,counties,3,0)&amp;")",""),"  "," "))</f>
        <v>Augusta-Ross District Library</v>
      </c>
    </row>
    <row r="1242" spans="1:8" ht="15.75" thickBot="1" x14ac:dyDescent="0.3">
      <c r="A1242">
        <f t="shared" si="20"/>
        <v>39</v>
      </c>
      <c r="B1242" s="10">
        <v>2016</v>
      </c>
      <c r="C1242" s="3" t="s">
        <v>1116</v>
      </c>
      <c r="D1242" s="3" t="s">
        <v>9</v>
      </c>
      <c r="E1242" s="4" t="s">
        <v>7</v>
      </c>
      <c r="F1242" s="11" t="s">
        <v>8</v>
      </c>
      <c r="H1242" t="str">
        <f>TRIM(SUBSTITUTE(PROPER(C1242)&amp;" "&amp;IF(OR(D1242="County",D1242="Township",D1242="Village",D1242="Charter Township"),D1242,"")&amp;IF(D1242="Township"," "&amp;"("&amp;VLOOKUP(A1242,counties,3,0)&amp;")",""),"  "," "))</f>
        <v>Brady Township (Kalamazoo County)</v>
      </c>
    </row>
    <row r="1243" spans="1:8" ht="15.75" thickBot="1" x14ac:dyDescent="0.3">
      <c r="A1243">
        <f t="shared" si="20"/>
        <v>39</v>
      </c>
      <c r="B1243" s="8">
        <v>2016</v>
      </c>
      <c r="C1243" s="1" t="s">
        <v>1117</v>
      </c>
      <c r="D1243" s="1" t="s">
        <v>17</v>
      </c>
      <c r="E1243" s="2" t="s">
        <v>7</v>
      </c>
      <c r="F1243" s="9" t="s">
        <v>8</v>
      </c>
      <c r="H1243" t="str">
        <f>TRIM(SUBSTITUTE(PROPER(C1243)&amp;" "&amp;IF(OR(D1243="County",D1243="Township",D1243="Village",D1243="Charter Township"),D1243,"")&amp;IF(D1243="Township"," "&amp;"("&amp;VLOOKUP(A1243,counties,3,0)&amp;")",""),"  "," "))</f>
        <v>Central County Transportation Authority</v>
      </c>
    </row>
    <row r="1244" spans="1:8" ht="15.75" thickBot="1" x14ac:dyDescent="0.3">
      <c r="A1244">
        <f t="shared" si="20"/>
        <v>39</v>
      </c>
      <c r="B1244" s="10">
        <v>2016</v>
      </c>
      <c r="C1244" s="3" t="s">
        <v>1118</v>
      </c>
      <c r="D1244" s="3" t="s">
        <v>9</v>
      </c>
      <c r="E1244" s="4" t="s">
        <v>7</v>
      </c>
      <c r="F1244" s="11" t="s">
        <v>8</v>
      </c>
      <c r="H1244" t="str">
        <f>TRIM(SUBSTITUTE(PROPER(C1244)&amp;" "&amp;IF(OR(D1244="County",D1244="Township",D1244="Village",D1244="Charter Township"),D1244,"")&amp;IF(D1244="Township"," "&amp;"("&amp;VLOOKUP(A1244,counties,3,0)&amp;")",""),"  "," "))</f>
        <v>Charleston Township (Kalamazoo County)</v>
      </c>
    </row>
    <row r="1245" spans="1:8" ht="15.75" thickBot="1" x14ac:dyDescent="0.3">
      <c r="A1245">
        <f t="shared" si="20"/>
        <v>39</v>
      </c>
      <c r="B1245" s="8">
        <v>2016</v>
      </c>
      <c r="C1245" s="1" t="s">
        <v>1119</v>
      </c>
      <c r="D1245" s="1" t="s">
        <v>17</v>
      </c>
      <c r="E1245" s="2" t="s">
        <v>7</v>
      </c>
      <c r="F1245" s="9" t="s">
        <v>8</v>
      </c>
      <c r="H1245" t="str">
        <f>TRIM(SUBSTITUTE(PROPER(C1245)&amp;" "&amp;IF(OR(D1245="County",D1245="Township",D1245="Village",D1245="Charter Township"),D1245,"")&amp;IF(D1245="Township"," "&amp;"("&amp;VLOOKUP(A1245,counties,3,0)&amp;")",""),"  "," "))</f>
        <v>City Of Kalamazoo Opeb Trust Funds</v>
      </c>
    </row>
    <row r="1246" spans="1:8" ht="15.75" thickBot="1" x14ac:dyDescent="0.3">
      <c r="A1246">
        <f t="shared" si="20"/>
        <v>39</v>
      </c>
      <c r="B1246" s="10">
        <v>2016</v>
      </c>
      <c r="C1246" s="3" t="s">
        <v>1120</v>
      </c>
      <c r="D1246" s="3" t="s">
        <v>21</v>
      </c>
      <c r="E1246" s="4" t="s">
        <v>7</v>
      </c>
      <c r="F1246" s="11" t="s">
        <v>8</v>
      </c>
      <c r="H1246" t="str">
        <f>TRIM(SUBSTITUTE(PROPER(C1246)&amp;" "&amp;IF(OR(D1246="County",D1246="Township",D1246="Village",D1246="Charter Township"),D1246,"")&amp;IF(D1246="Township"," "&amp;"("&amp;VLOOKUP(A1246,counties,3,0)&amp;")",""),"  "," "))</f>
        <v>Climax Village</v>
      </c>
    </row>
    <row r="1247" spans="1:8" ht="15.75" thickBot="1" x14ac:dyDescent="0.3">
      <c r="A1247">
        <f t="shared" si="20"/>
        <v>39</v>
      </c>
      <c r="B1247" s="8">
        <v>2016</v>
      </c>
      <c r="C1247" s="1" t="s">
        <v>1121</v>
      </c>
      <c r="D1247" s="1" t="s">
        <v>9</v>
      </c>
      <c r="E1247" s="2" t="s">
        <v>7</v>
      </c>
      <c r="F1247" s="9" t="s">
        <v>8</v>
      </c>
      <c r="H1247" t="str">
        <f>TRIM(SUBSTITUTE(PROPER(C1247)&amp;" "&amp;IF(OR(D1247="County",D1247="Township",D1247="Village",D1247="Charter Township"),D1247,"")&amp;IF(D1247="Township"," "&amp;"("&amp;VLOOKUP(A1247,counties,3,0)&amp;")",""),"  "," "))</f>
        <v>Comstock Charter Township (Kalamazoo County)</v>
      </c>
    </row>
    <row r="1248" spans="1:8" ht="15.75" thickBot="1" x14ac:dyDescent="0.3">
      <c r="A1248">
        <f t="shared" si="20"/>
        <v>39</v>
      </c>
      <c r="B1248" s="10">
        <v>2016</v>
      </c>
      <c r="C1248" s="3" t="s">
        <v>1122</v>
      </c>
      <c r="D1248" s="3" t="s">
        <v>9</v>
      </c>
      <c r="E1248" s="4" t="s">
        <v>7</v>
      </c>
      <c r="F1248" s="11" t="s">
        <v>8</v>
      </c>
      <c r="H1248" t="str">
        <f>TRIM(SUBSTITUTE(PROPER(C1248)&amp;" "&amp;IF(OR(D1248="County",D1248="Township",D1248="Village",D1248="Charter Township"),D1248,"")&amp;IF(D1248="Township"," "&amp;"("&amp;VLOOKUP(A1248,counties,3,0)&amp;")",""),"  "," "))</f>
        <v>Cooper Charter Township (Kalamazoo County)</v>
      </c>
    </row>
    <row r="1249" spans="1:8" ht="15.75" thickBot="1" x14ac:dyDescent="0.3">
      <c r="A1249">
        <f t="shared" si="20"/>
        <v>39</v>
      </c>
      <c r="B1249" s="8">
        <v>2016</v>
      </c>
      <c r="C1249" s="1" t="s">
        <v>1123</v>
      </c>
      <c r="D1249" s="1" t="s">
        <v>15</v>
      </c>
      <c r="E1249" s="2" t="s">
        <v>7</v>
      </c>
      <c r="F1249" s="9" t="s">
        <v>8</v>
      </c>
      <c r="H1249" t="str">
        <f>TRIM(SUBSTITUTE(PROPER(C1249)&amp;" "&amp;IF(OR(D1249="County",D1249="Township",D1249="Village",D1249="Charter Township"),D1249,"")&amp;IF(D1249="Township"," "&amp;"("&amp;VLOOKUP(A1249,counties,3,0)&amp;")",""),"  "," "))</f>
        <v>Galesburg</v>
      </c>
    </row>
    <row r="1250" spans="1:8" ht="15.75" thickBot="1" x14ac:dyDescent="0.3">
      <c r="A1250">
        <f t="shared" si="20"/>
        <v>39</v>
      </c>
      <c r="B1250" s="10">
        <v>2016</v>
      </c>
      <c r="C1250" s="3" t="s">
        <v>1124</v>
      </c>
      <c r="D1250" s="3" t="s">
        <v>42</v>
      </c>
      <c r="E1250" s="4" t="s">
        <v>7</v>
      </c>
      <c r="F1250" s="11" t="s">
        <v>8</v>
      </c>
      <c r="H1250" t="str">
        <f>TRIM(SUBSTITUTE(PROPER(C1250)&amp;" "&amp;IF(OR(D1250="County",D1250="Township",D1250="Village",D1250="Charter Township"),D1250,"")&amp;IF(D1250="Township"," "&amp;"("&amp;VLOOKUP(A1250,counties,3,0)&amp;")",""),"  "," "))</f>
        <v>Galesbury Charleston Memorial District Library</v>
      </c>
    </row>
    <row r="1251" spans="1:8" ht="15.75" thickBot="1" x14ac:dyDescent="0.3">
      <c r="A1251">
        <f t="shared" si="20"/>
        <v>39</v>
      </c>
      <c r="B1251" s="8">
        <v>2016</v>
      </c>
      <c r="C1251" s="1" t="s">
        <v>1125</v>
      </c>
      <c r="D1251" s="1" t="s">
        <v>17</v>
      </c>
      <c r="E1251" s="2" t="s">
        <v>7</v>
      </c>
      <c r="F1251" s="9" t="s">
        <v>8</v>
      </c>
      <c r="H1251" t="str">
        <f>TRIM(SUBSTITUTE(PROPER(C1251)&amp;" "&amp;IF(OR(D1251="County",D1251="Township",D1251="Village",D1251="Charter Township"),D1251,"")&amp;IF(D1251="Township"," "&amp;"("&amp;VLOOKUP(A1251,counties,3,0)&amp;")",""),"  "," "))</f>
        <v>Gull Lake Sewer And Water Authority</v>
      </c>
    </row>
    <row r="1252" spans="1:8" ht="15.75" thickBot="1" x14ac:dyDescent="0.3">
      <c r="A1252">
        <f t="shared" si="20"/>
        <v>39</v>
      </c>
      <c r="B1252" s="10">
        <v>2016</v>
      </c>
      <c r="C1252" s="3" t="s">
        <v>1126</v>
      </c>
      <c r="D1252" s="3" t="s">
        <v>15</v>
      </c>
      <c r="E1252" s="4" t="s">
        <v>7</v>
      </c>
      <c r="F1252" s="11" t="s">
        <v>8</v>
      </c>
      <c r="H1252" t="str">
        <f>TRIM(SUBSTITUTE(PROPER(C1252)&amp;" "&amp;IF(OR(D1252="County",D1252="Township",D1252="Village",D1252="Charter Township"),D1252,"")&amp;IF(D1252="Township"," "&amp;"("&amp;VLOOKUP(A1252,counties,3,0)&amp;")",""),"  "," "))</f>
        <v>Kalamazoo</v>
      </c>
    </row>
    <row r="1253" spans="1:8" ht="15.75" thickBot="1" x14ac:dyDescent="0.3">
      <c r="A1253">
        <f t="shared" si="20"/>
        <v>39</v>
      </c>
      <c r="B1253" s="8">
        <v>2016</v>
      </c>
      <c r="C1253" s="1" t="s">
        <v>1126</v>
      </c>
      <c r="D1253" s="1" t="s">
        <v>6</v>
      </c>
      <c r="E1253" s="2" t="s">
        <v>7</v>
      </c>
      <c r="F1253" s="9" t="s">
        <v>8</v>
      </c>
      <c r="H1253" t="str">
        <f>TRIM(SUBSTITUTE(PROPER(C1253)&amp;" "&amp;IF(OR(D1253="County",D1253="Township",D1253="Village",D1253="Charter Township"),D1253,"")&amp;IF(D1253="Township"," "&amp;"("&amp;VLOOKUP(A1253,counties,3,0)&amp;")",""),"  "," "))</f>
        <v>Kalamazoo County</v>
      </c>
    </row>
    <row r="1254" spans="1:8" ht="15.75" thickBot="1" x14ac:dyDescent="0.3">
      <c r="A1254">
        <f t="shared" si="20"/>
        <v>39</v>
      </c>
      <c r="B1254" s="10">
        <v>2016</v>
      </c>
      <c r="C1254" s="3" t="s">
        <v>1127</v>
      </c>
      <c r="D1254" s="3" t="s">
        <v>17</v>
      </c>
      <c r="E1254" s="4" t="s">
        <v>7</v>
      </c>
      <c r="F1254" s="11" t="s">
        <v>8</v>
      </c>
      <c r="H1254" t="str">
        <f>TRIM(SUBSTITUTE(PROPER(C1254)&amp;" "&amp;IF(OR(D1254="County",D1254="Township",D1254="Village",D1254="Charter Township"),D1254,"")&amp;IF(D1254="Township"," "&amp;"("&amp;VLOOKUP(A1254,counties,3,0)&amp;")",""),"  "," "))</f>
        <v>Kalamazoo Area Building Authority</v>
      </c>
    </row>
    <row r="1255" spans="1:8" ht="15.75" thickBot="1" x14ac:dyDescent="0.3">
      <c r="A1255">
        <f t="shared" si="20"/>
        <v>39</v>
      </c>
      <c r="B1255" s="8">
        <v>2016</v>
      </c>
      <c r="C1255" s="1" t="s">
        <v>1128</v>
      </c>
      <c r="D1255" s="1" t="s">
        <v>17</v>
      </c>
      <c r="E1255" s="2" t="s">
        <v>7</v>
      </c>
      <c r="F1255" s="9" t="s">
        <v>8</v>
      </c>
      <c r="H1255" t="str">
        <f>TRIM(SUBSTITUTE(PROPER(C1255)&amp;" "&amp;IF(OR(D1255="County",D1255="Township",D1255="Village",D1255="Charter Township"),D1255,"")&amp;IF(D1255="Township"," "&amp;"("&amp;VLOOKUP(A1255,counties,3,0)&amp;")",""),"  "," "))</f>
        <v>Kalamazoo Area Transportation Study</v>
      </c>
    </row>
    <row r="1256" spans="1:8" ht="15.75" thickBot="1" x14ac:dyDescent="0.3">
      <c r="A1256">
        <f t="shared" si="20"/>
        <v>39</v>
      </c>
      <c r="B1256" s="10">
        <v>2016</v>
      </c>
      <c r="C1256" s="3" t="s">
        <v>1129</v>
      </c>
      <c r="D1256" s="3" t="s">
        <v>9</v>
      </c>
      <c r="E1256" s="4" t="s">
        <v>7</v>
      </c>
      <c r="F1256" s="11" t="s">
        <v>8</v>
      </c>
      <c r="H1256" t="str">
        <f>TRIM(SUBSTITUTE(PROPER(C1256)&amp;" "&amp;IF(OR(D1256="County",D1256="Township",D1256="Village",D1256="Charter Township"),D1256,"")&amp;IF(D1256="Township"," "&amp;"("&amp;VLOOKUP(A1256,counties,3,0)&amp;")",""),"  "," "))</f>
        <v>Kalamazoo Charter Township (Kalamazoo County)</v>
      </c>
    </row>
    <row r="1257" spans="1:8" ht="15.75" thickBot="1" x14ac:dyDescent="0.3">
      <c r="A1257">
        <f t="shared" si="20"/>
        <v>39</v>
      </c>
      <c r="B1257" s="8">
        <v>2016</v>
      </c>
      <c r="C1257" s="1" t="s">
        <v>1130</v>
      </c>
      <c r="D1257" s="1" t="s">
        <v>17</v>
      </c>
      <c r="E1257" s="2" t="s">
        <v>7</v>
      </c>
      <c r="F1257" s="9" t="s">
        <v>8</v>
      </c>
      <c r="H1257" t="str">
        <f>TRIM(SUBSTITUTE(PROPER(C1257)&amp;" "&amp;IF(OR(D1257="County",D1257="Township",D1257="Village",D1257="Charter Township"),D1257,"")&amp;IF(D1257="Township"," "&amp;"("&amp;VLOOKUP(A1257,counties,3,0)&amp;")",""),"  "," "))</f>
        <v>Kalamazoo City Cemetery Perpetual Care Fund</v>
      </c>
    </row>
    <row r="1258" spans="1:8" ht="15.75" thickBot="1" x14ac:dyDescent="0.3">
      <c r="A1258">
        <f t="shared" si="20"/>
        <v>39</v>
      </c>
      <c r="B1258" s="10">
        <v>2016</v>
      </c>
      <c r="C1258" s="3" t="s">
        <v>1131</v>
      </c>
      <c r="D1258" s="3" t="s">
        <v>17</v>
      </c>
      <c r="E1258" s="4" t="s">
        <v>7</v>
      </c>
      <c r="F1258" s="11" t="s">
        <v>8</v>
      </c>
      <c r="H1258" t="str">
        <f>TRIM(SUBSTITUTE(PROPER(C1258)&amp;" "&amp;IF(OR(D1258="County",D1258="Township",D1258="Village",D1258="Charter Township"),D1258,"")&amp;IF(D1258="Township"," "&amp;"("&amp;VLOOKUP(A1258,counties,3,0)&amp;")",""),"  "," "))</f>
        <v>Kalamazoo City Downtown Development Authority</v>
      </c>
    </row>
    <row r="1259" spans="1:8" ht="15.75" thickBot="1" x14ac:dyDescent="0.3">
      <c r="A1259">
        <f t="shared" si="20"/>
        <v>39</v>
      </c>
      <c r="B1259" s="8">
        <v>2016</v>
      </c>
      <c r="C1259" s="1" t="s">
        <v>1132</v>
      </c>
      <c r="D1259" s="1" t="s">
        <v>17</v>
      </c>
      <c r="E1259" s="2" t="s">
        <v>7</v>
      </c>
      <c r="F1259" s="9" t="s">
        <v>8</v>
      </c>
      <c r="H1259" t="str">
        <f>TRIM(SUBSTITUTE(PROPER(C1259)&amp;" "&amp;IF(OR(D1259="County",D1259="Township",D1259="Village",D1259="Charter Township"),D1259,"")&amp;IF(D1259="Township"," "&amp;"("&amp;VLOOKUP(A1259,counties,3,0)&amp;")",""),"  "," "))</f>
        <v>Kalamazoo City Edc</v>
      </c>
    </row>
    <row r="1260" spans="1:8" ht="15.75" thickBot="1" x14ac:dyDescent="0.3">
      <c r="A1260">
        <f t="shared" si="20"/>
        <v>39</v>
      </c>
      <c r="B1260" s="10">
        <v>2016</v>
      </c>
      <c r="C1260" s="3" t="s">
        <v>1133</v>
      </c>
      <c r="D1260" s="3" t="s">
        <v>17</v>
      </c>
      <c r="E1260" s="4" t="s">
        <v>7</v>
      </c>
      <c r="F1260" s="11" t="s">
        <v>8</v>
      </c>
      <c r="H1260" t="str">
        <f>TRIM(SUBSTITUTE(PROPER(C1260)&amp;" "&amp;IF(OR(D1260="County",D1260="Township",D1260="Village",D1260="Charter Township"),D1260,"")&amp;IF(D1260="Township"," "&amp;"("&amp;VLOOKUP(A1260,counties,3,0)&amp;")",""),"  "," "))</f>
        <v>Kalamazoo City Employees Retirement System</v>
      </c>
    </row>
    <row r="1261" spans="1:8" ht="15.75" thickBot="1" x14ac:dyDescent="0.3">
      <c r="A1261">
        <f t="shared" si="20"/>
        <v>39</v>
      </c>
      <c r="B1261" s="8">
        <v>2016</v>
      </c>
      <c r="C1261" s="1" t="s">
        <v>1134</v>
      </c>
      <c r="D1261" s="1" t="s">
        <v>17</v>
      </c>
      <c r="E1261" s="2" t="s">
        <v>7</v>
      </c>
      <c r="F1261" s="9" t="s">
        <v>8</v>
      </c>
      <c r="H1261" t="str">
        <f>TRIM(SUBSTITUTE(PROPER(C1261)&amp;" "&amp;IF(OR(D1261="County",D1261="Township",D1261="Village",D1261="Charter Township"),D1261,"")&amp;IF(D1261="Township"," "&amp;"("&amp;VLOOKUP(A1261,counties,3,0)&amp;")",""),"  "," "))</f>
        <v>Kalamazoo City Metro Transit System</v>
      </c>
    </row>
    <row r="1262" spans="1:8" ht="21.75" thickBot="1" x14ac:dyDescent="0.3">
      <c r="A1262">
        <f t="shared" si="20"/>
        <v>39</v>
      </c>
      <c r="B1262" s="10">
        <v>2016</v>
      </c>
      <c r="C1262" s="3" t="s">
        <v>1135</v>
      </c>
      <c r="D1262" s="3" t="s">
        <v>17</v>
      </c>
      <c r="E1262" s="4" t="s">
        <v>7</v>
      </c>
      <c r="F1262" s="11" t="s">
        <v>8</v>
      </c>
      <c r="H1262" t="str">
        <f>TRIM(SUBSTITUTE(PROPER(C1262)&amp;" "&amp;IF(OR(D1262="County",D1262="Township",D1262="Village",D1262="Charter Township"),D1262,"")&amp;IF(D1262="Township"," "&amp;"("&amp;VLOOKUP(A1262,counties,3,0)&amp;")",""),"  "," "))</f>
        <v>Kalamazoo Community Mental Health &amp; Substance Abuse Services</v>
      </c>
    </row>
    <row r="1263" spans="1:8" ht="15.75" thickBot="1" x14ac:dyDescent="0.3">
      <c r="A1263">
        <f t="shared" si="20"/>
        <v>39</v>
      </c>
      <c r="B1263" s="8">
        <v>2016</v>
      </c>
      <c r="C1263" s="1" t="s">
        <v>1136</v>
      </c>
      <c r="D1263" s="1" t="s">
        <v>17</v>
      </c>
      <c r="E1263" s="2" t="s">
        <v>7</v>
      </c>
      <c r="F1263" s="9" t="s">
        <v>8</v>
      </c>
      <c r="H1263" t="str">
        <f>TRIM(SUBSTITUTE(PROPER(C1263)&amp;" "&amp;IF(OR(D1263="County",D1263="Township",D1263="Village",D1263="Charter Township"),D1263,"")&amp;IF(D1263="Township"," "&amp;"("&amp;VLOOKUP(A1263,counties,3,0)&amp;")",""),"  "," "))</f>
        <v>Kalamazoo County Consolidated Dispatch Authority</v>
      </c>
    </row>
    <row r="1264" spans="1:8" ht="15.75" thickBot="1" x14ac:dyDescent="0.3">
      <c r="A1264">
        <f t="shared" si="20"/>
        <v>39</v>
      </c>
      <c r="B1264" s="10">
        <v>2016</v>
      </c>
      <c r="C1264" s="3" t="s">
        <v>1137</v>
      </c>
      <c r="D1264" s="3" t="s">
        <v>17</v>
      </c>
      <c r="E1264" s="4" t="s">
        <v>7</v>
      </c>
      <c r="F1264" s="11" t="s">
        <v>8</v>
      </c>
      <c r="H1264" t="str">
        <f>TRIM(SUBSTITUTE(PROPER(C1264)&amp;" "&amp;IF(OR(D1264="County",D1264="Township",D1264="Village",D1264="Charter Township"),D1264,"")&amp;IF(D1264="Township"," "&amp;"("&amp;VLOOKUP(A1264,counties,3,0)&amp;")",""),"  "," "))</f>
        <v>Kalamazoo County Employees Retirement System</v>
      </c>
    </row>
    <row r="1265" spans="1:8" ht="15.75" thickBot="1" x14ac:dyDescent="0.3">
      <c r="A1265">
        <f t="shared" si="20"/>
        <v>39</v>
      </c>
      <c r="B1265" s="8">
        <v>2016</v>
      </c>
      <c r="C1265" s="1" t="s">
        <v>1138</v>
      </c>
      <c r="D1265" s="1" t="s">
        <v>17</v>
      </c>
      <c r="E1265" s="2" t="s">
        <v>7</v>
      </c>
      <c r="F1265" s="9" t="s">
        <v>8</v>
      </c>
      <c r="H1265" t="str">
        <f>TRIM(SUBSTITUTE(PROPER(C1265)&amp;" "&amp;IF(OR(D1265="County",D1265="Township",D1265="Village",D1265="Charter Township"),D1265,"")&amp;IF(D1265="Township"," "&amp;"("&amp;VLOOKUP(A1265,counties,3,0)&amp;")",""),"  "," "))</f>
        <v>Kalamazoo County Land Bank Authority</v>
      </c>
    </row>
    <row r="1266" spans="1:8" ht="15.75" thickBot="1" x14ac:dyDescent="0.3">
      <c r="A1266">
        <f t="shared" si="20"/>
        <v>39</v>
      </c>
      <c r="B1266" s="10">
        <v>2016</v>
      </c>
      <c r="C1266" s="3" t="s">
        <v>1139</v>
      </c>
      <c r="D1266" s="3" t="s">
        <v>11</v>
      </c>
      <c r="E1266" s="4" t="s">
        <v>7</v>
      </c>
      <c r="F1266" s="11" t="s">
        <v>8</v>
      </c>
      <c r="H1266" t="str">
        <f>TRIM(SUBSTITUTE(PROPER(C1266)&amp;" "&amp;IF(OR(D1266="County",D1266="Township",D1266="Village",D1266="Charter Township"),D1266,"")&amp;IF(D1266="Township"," "&amp;"("&amp;VLOOKUP(A1266,counties,3,0)&amp;")",""),"  "," "))</f>
        <v>Kalamazoo County Road Commission</v>
      </c>
    </row>
    <row r="1267" spans="1:8" ht="15.75" thickBot="1" x14ac:dyDescent="0.3">
      <c r="A1267">
        <f t="shared" si="20"/>
        <v>39</v>
      </c>
      <c r="B1267" s="8">
        <v>2016</v>
      </c>
      <c r="C1267" s="1" t="s">
        <v>1140</v>
      </c>
      <c r="D1267" s="1" t="s">
        <v>17</v>
      </c>
      <c r="E1267" s="2" t="s">
        <v>7</v>
      </c>
      <c r="F1267" s="9" t="s">
        <v>8</v>
      </c>
      <c r="H1267" t="str">
        <f>TRIM(SUBSTITUTE(PROPER(C1267)&amp;" "&amp;IF(OR(D1267="County",D1267="Township",D1267="Village",D1267="Charter Township"),D1267,"")&amp;IF(D1267="Township"," "&amp;"("&amp;VLOOKUP(A1267,counties,3,0)&amp;")",""),"  "," "))</f>
        <v>Kalamazoo County Transportation Authority</v>
      </c>
    </row>
    <row r="1268" spans="1:8" ht="15.75" thickBot="1" x14ac:dyDescent="0.3">
      <c r="A1268">
        <f t="shared" si="20"/>
        <v>39</v>
      </c>
      <c r="B1268" s="10">
        <v>2016</v>
      </c>
      <c r="C1268" s="3" t="s">
        <v>1141</v>
      </c>
      <c r="D1268" s="3" t="s">
        <v>42</v>
      </c>
      <c r="E1268" s="4" t="s">
        <v>7</v>
      </c>
      <c r="F1268" s="11" t="s">
        <v>8</v>
      </c>
      <c r="H1268" t="str">
        <f>TRIM(SUBSTITUTE(PROPER(C1268)&amp;" "&amp;IF(OR(D1268="County",D1268="Township",D1268="Village",D1268="Charter Township"),D1268,"")&amp;IF(D1268="Township"," "&amp;"("&amp;VLOOKUP(A1268,counties,3,0)&amp;")",""),"  "," "))</f>
        <v>Kalamazoo Public Library</v>
      </c>
    </row>
    <row r="1269" spans="1:8" ht="21.75" thickBot="1" x14ac:dyDescent="0.3">
      <c r="A1269">
        <f t="shared" si="20"/>
        <v>39</v>
      </c>
      <c r="B1269" s="8">
        <v>2016</v>
      </c>
      <c r="C1269" s="1" t="s">
        <v>1142</v>
      </c>
      <c r="D1269" s="1" t="s">
        <v>17</v>
      </c>
      <c r="E1269" s="2" t="s">
        <v>7</v>
      </c>
      <c r="F1269" s="9" t="s">
        <v>8</v>
      </c>
      <c r="H1269" t="str">
        <f>TRIM(SUBSTITUTE(PROPER(C1269)&amp;" "&amp;IF(OR(D1269="County",D1269="Township",D1269="Village",D1269="Charter Township"),D1269,"")&amp;IF(D1269="Township"," "&amp;"("&amp;VLOOKUP(A1269,counties,3,0)&amp;")",""),"  "," "))</f>
        <v>Kalamazoo Regional Water &amp; Wastewater Commission</v>
      </c>
    </row>
    <row r="1270" spans="1:8" ht="15.75" thickBot="1" x14ac:dyDescent="0.3">
      <c r="A1270">
        <f t="shared" si="20"/>
        <v>39</v>
      </c>
      <c r="B1270" s="10">
        <v>2016</v>
      </c>
      <c r="C1270" s="3" t="s">
        <v>1143</v>
      </c>
      <c r="D1270" s="3" t="s">
        <v>88</v>
      </c>
      <c r="E1270" s="4" t="s">
        <v>7</v>
      </c>
      <c r="F1270" s="11" t="s">
        <v>8</v>
      </c>
      <c r="H1270" t="str">
        <f>TRIM(SUBSTITUTE(PROPER(C1270)&amp;" "&amp;IF(OR(D1270="County",D1270="Township",D1270="Village",D1270="Charter Township"),D1270,"")&amp;IF(D1270="Township"," "&amp;"("&amp;VLOOKUP(A1270,counties,3,0)&amp;")",""),"  "," "))</f>
        <v>Kalamazoo Valley Community College</v>
      </c>
    </row>
    <row r="1271" spans="1:8" ht="15.75" thickBot="1" x14ac:dyDescent="0.3">
      <c r="A1271">
        <f t="shared" si="20"/>
        <v>39</v>
      </c>
      <c r="B1271" s="8">
        <v>2016</v>
      </c>
      <c r="C1271" s="1" t="s">
        <v>1144</v>
      </c>
      <c r="D1271" s="1" t="s">
        <v>9</v>
      </c>
      <c r="E1271" s="2" t="s">
        <v>7</v>
      </c>
      <c r="F1271" s="9" t="s">
        <v>8</v>
      </c>
      <c r="H1271" t="str">
        <f>TRIM(SUBSTITUTE(PROPER(C1271)&amp;" "&amp;IF(OR(D1271="County",D1271="Township",D1271="Village",D1271="Charter Township"),D1271,"")&amp;IF(D1271="Township"," "&amp;"("&amp;VLOOKUP(A1271,counties,3,0)&amp;")",""),"  "," "))</f>
        <v>Oshtemo Charter Township (Kalamazoo County)</v>
      </c>
    </row>
    <row r="1272" spans="1:8" ht="15.75" thickBot="1" x14ac:dyDescent="0.3">
      <c r="A1272">
        <f t="shared" si="20"/>
        <v>39</v>
      </c>
      <c r="B1272" s="10">
        <v>2016</v>
      </c>
      <c r="C1272" s="3" t="s">
        <v>1145</v>
      </c>
      <c r="D1272" s="3" t="s">
        <v>15</v>
      </c>
      <c r="E1272" s="4" t="s">
        <v>7</v>
      </c>
      <c r="F1272" s="11" t="s">
        <v>8</v>
      </c>
      <c r="H1272" t="str">
        <f>TRIM(SUBSTITUTE(PROPER(C1272)&amp;" "&amp;IF(OR(D1272="County",D1272="Township",D1272="Village",D1272="Charter Township"),D1272,"")&amp;IF(D1272="Township"," "&amp;"("&amp;VLOOKUP(A1272,counties,3,0)&amp;")",""),"  "," "))</f>
        <v>Parchment</v>
      </c>
    </row>
    <row r="1273" spans="1:8" ht="15.75" thickBot="1" x14ac:dyDescent="0.3">
      <c r="A1273">
        <f t="shared" si="20"/>
        <v>39</v>
      </c>
      <c r="B1273" s="8">
        <v>2016</v>
      </c>
      <c r="C1273" s="1" t="s">
        <v>1146</v>
      </c>
      <c r="D1273" s="1" t="s">
        <v>42</v>
      </c>
      <c r="E1273" s="2" t="s">
        <v>7</v>
      </c>
      <c r="F1273" s="9" t="s">
        <v>8</v>
      </c>
      <c r="H1273" t="str">
        <f>TRIM(SUBSTITUTE(PROPER(C1273)&amp;" "&amp;IF(OR(D1273="County",D1273="Township",D1273="Village",D1273="Charter Township"),D1273,"")&amp;IF(D1273="Township"," "&amp;"("&amp;VLOOKUP(A1273,counties,3,0)&amp;")",""),"  "," "))</f>
        <v>Parchment Community Library</v>
      </c>
    </row>
    <row r="1274" spans="1:8" ht="15.75" thickBot="1" x14ac:dyDescent="0.3">
      <c r="A1274">
        <f t="shared" si="20"/>
        <v>39</v>
      </c>
      <c r="B1274" s="10">
        <v>2016</v>
      </c>
      <c r="C1274" s="3" t="s">
        <v>1147</v>
      </c>
      <c r="D1274" s="3" t="s">
        <v>9</v>
      </c>
      <c r="E1274" s="4" t="s">
        <v>7</v>
      </c>
      <c r="F1274" s="11" t="s">
        <v>8</v>
      </c>
      <c r="H1274" t="str">
        <f>TRIM(SUBSTITUTE(PROPER(C1274)&amp;" "&amp;IF(OR(D1274="County",D1274="Township",D1274="Village",D1274="Charter Township"),D1274,"")&amp;IF(D1274="Township"," "&amp;"("&amp;VLOOKUP(A1274,counties,3,0)&amp;")",""),"  "," "))</f>
        <v>Pavilion Township (Kalamazoo County)</v>
      </c>
    </row>
    <row r="1275" spans="1:8" ht="15.75" thickBot="1" x14ac:dyDescent="0.3">
      <c r="A1275">
        <f t="shared" si="20"/>
        <v>39</v>
      </c>
      <c r="B1275" s="8">
        <v>2016</v>
      </c>
      <c r="C1275" s="1" t="s">
        <v>1148</v>
      </c>
      <c r="D1275" s="1" t="s">
        <v>15</v>
      </c>
      <c r="E1275" s="2" t="s">
        <v>7</v>
      </c>
      <c r="F1275" s="9" t="s">
        <v>8</v>
      </c>
      <c r="H1275" t="str">
        <f>TRIM(SUBSTITUTE(PROPER(C1275)&amp;" "&amp;IF(OR(D1275="County",D1275="Township",D1275="Village",D1275="Charter Township"),D1275,"")&amp;IF(D1275="Township"," "&amp;"("&amp;VLOOKUP(A1275,counties,3,0)&amp;")",""),"  "," "))</f>
        <v>Portage</v>
      </c>
    </row>
    <row r="1276" spans="1:8" ht="15.75" thickBot="1" x14ac:dyDescent="0.3">
      <c r="A1276">
        <f t="shared" si="20"/>
        <v>39</v>
      </c>
      <c r="B1276" s="10">
        <v>2016</v>
      </c>
      <c r="C1276" s="3" t="s">
        <v>1149</v>
      </c>
      <c r="D1276" s="3" t="s">
        <v>42</v>
      </c>
      <c r="E1276" s="4" t="s">
        <v>7</v>
      </c>
      <c r="F1276" s="11" t="s">
        <v>8</v>
      </c>
      <c r="H1276" t="str">
        <f>TRIM(SUBSTITUTE(PROPER(C1276)&amp;" "&amp;IF(OR(D1276="County",D1276="Township",D1276="Village",D1276="Charter Township"),D1276,"")&amp;IF(D1276="Township"," "&amp;"("&amp;VLOOKUP(A1276,counties,3,0)&amp;")",""),"  "," "))</f>
        <v>Portage District Library</v>
      </c>
    </row>
    <row r="1277" spans="1:8" ht="15.75" thickBot="1" x14ac:dyDescent="0.3">
      <c r="A1277">
        <f t="shared" si="20"/>
        <v>39</v>
      </c>
      <c r="B1277" s="8">
        <v>2016</v>
      </c>
      <c r="C1277" s="1" t="s">
        <v>1150</v>
      </c>
      <c r="D1277" s="1" t="s">
        <v>9</v>
      </c>
      <c r="E1277" s="2" t="s">
        <v>7</v>
      </c>
      <c r="F1277" s="9" t="s">
        <v>19</v>
      </c>
      <c r="H1277" t="str">
        <f>TRIM(SUBSTITUTE(PROPER(C1277)&amp;" "&amp;IF(OR(D1277="County",D1277="Township",D1277="Village",D1277="Charter Township"),D1277,"")&amp;IF(D1277="Township"," "&amp;"("&amp;VLOOKUP(A1277,counties,3,0)&amp;")",""),"  "," "))</f>
        <v>Richland Township (Kalamazoo County)</v>
      </c>
    </row>
    <row r="1278" spans="1:8" ht="15.75" thickBot="1" x14ac:dyDescent="0.3">
      <c r="A1278">
        <f t="shared" si="20"/>
        <v>39</v>
      </c>
      <c r="B1278" s="10">
        <v>2016</v>
      </c>
      <c r="C1278" s="3" t="s">
        <v>1150</v>
      </c>
      <c r="D1278" s="3" t="s">
        <v>21</v>
      </c>
      <c r="E1278" s="4" t="s">
        <v>7</v>
      </c>
      <c r="F1278" s="11" t="s">
        <v>19</v>
      </c>
      <c r="H1278" t="str">
        <f>TRIM(SUBSTITUTE(PROPER(C1278)&amp;" "&amp;IF(OR(D1278="County",D1278="Township",D1278="Village",D1278="Charter Township"),D1278,"")&amp;IF(D1278="Township"," "&amp;"("&amp;VLOOKUP(A1278,counties,3,0)&amp;")",""),"  "," "))</f>
        <v>Richland Village</v>
      </c>
    </row>
    <row r="1279" spans="1:8" ht="15.75" thickBot="1" x14ac:dyDescent="0.3">
      <c r="A1279">
        <f t="shared" si="20"/>
        <v>39</v>
      </c>
      <c r="B1279" s="8">
        <v>2016</v>
      </c>
      <c r="C1279" s="1" t="s">
        <v>1151</v>
      </c>
      <c r="D1279" s="1" t="s">
        <v>42</v>
      </c>
      <c r="E1279" s="2" t="s">
        <v>7</v>
      </c>
      <c r="F1279" s="9" t="s">
        <v>8</v>
      </c>
      <c r="H1279" t="str">
        <f>TRIM(SUBSTITUTE(PROPER(C1279)&amp;" "&amp;IF(OR(D1279="County",D1279="Township",D1279="Village",D1279="Charter Township"),D1279,"")&amp;IF(D1279="Township"," "&amp;"("&amp;VLOOKUP(A1279,counties,3,0)&amp;")",""),"  "," "))</f>
        <v>Richland Community Library</v>
      </c>
    </row>
    <row r="1280" spans="1:8" ht="15.75" thickBot="1" x14ac:dyDescent="0.3">
      <c r="A1280">
        <f t="shared" si="20"/>
        <v>39</v>
      </c>
      <c r="B1280" s="10">
        <v>2016</v>
      </c>
      <c r="C1280" s="3" t="s">
        <v>1152</v>
      </c>
      <c r="D1280" s="3" t="s">
        <v>9</v>
      </c>
      <c r="E1280" s="4" t="s">
        <v>7</v>
      </c>
      <c r="F1280" s="11" t="s">
        <v>8</v>
      </c>
      <c r="H1280" t="str">
        <f>TRIM(SUBSTITUTE(PROPER(C1280)&amp;" "&amp;IF(OR(D1280="County",D1280="Township",D1280="Village",D1280="Charter Township"),D1280,"")&amp;IF(D1280="Township"," "&amp;"("&amp;VLOOKUP(A1280,counties,3,0)&amp;")",""),"  "," "))</f>
        <v>Ross Township (Kalamazoo County)</v>
      </c>
    </row>
    <row r="1281" spans="1:8" ht="15.75" thickBot="1" x14ac:dyDescent="0.3">
      <c r="A1281">
        <f t="shared" si="20"/>
        <v>39</v>
      </c>
      <c r="B1281" s="8">
        <v>2016</v>
      </c>
      <c r="C1281" s="1" t="s">
        <v>870</v>
      </c>
      <c r="D1281" s="1" t="s">
        <v>9</v>
      </c>
      <c r="E1281" s="2" t="s">
        <v>7</v>
      </c>
      <c r="F1281" s="9" t="s">
        <v>8</v>
      </c>
      <c r="H1281" t="str">
        <f>TRIM(SUBSTITUTE(PROPER(C1281)&amp;" "&amp;IF(OR(D1281="County",D1281="Township",D1281="Village",D1281="Charter Township"),D1281,"")&amp;IF(D1281="Township"," "&amp;"("&amp;VLOOKUP(A1281,counties,3,0)&amp;")",""),"  "," "))</f>
        <v>Schoolcraft Township (Kalamazoo County)</v>
      </c>
    </row>
    <row r="1282" spans="1:8" ht="15.75" thickBot="1" x14ac:dyDescent="0.3">
      <c r="A1282">
        <f t="shared" si="20"/>
        <v>39</v>
      </c>
      <c r="B1282" s="10">
        <v>2016</v>
      </c>
      <c r="C1282" s="3" t="s">
        <v>870</v>
      </c>
      <c r="D1282" s="3" t="s">
        <v>21</v>
      </c>
      <c r="E1282" s="4" t="s">
        <v>7</v>
      </c>
      <c r="F1282" s="11" t="s">
        <v>19</v>
      </c>
      <c r="H1282" t="str">
        <f>TRIM(SUBSTITUTE(PROPER(C1282)&amp;" "&amp;IF(OR(D1282="County",D1282="Township",D1282="Village",D1282="Charter Township"),D1282,"")&amp;IF(D1282="Township"," "&amp;"("&amp;VLOOKUP(A1282,counties,3,0)&amp;")",""),"  "," "))</f>
        <v>Schoolcraft Village</v>
      </c>
    </row>
    <row r="1283" spans="1:8" ht="15.75" thickBot="1" x14ac:dyDescent="0.3">
      <c r="A1283">
        <f t="shared" ref="A1283:A1346" si="21">IF(B1283="Year",A1282+1,A1282)</f>
        <v>39</v>
      </c>
      <c r="B1283" s="8">
        <v>2016</v>
      </c>
      <c r="C1283" s="1" t="s">
        <v>1153</v>
      </c>
      <c r="D1283" s="1" t="s">
        <v>17</v>
      </c>
      <c r="E1283" s="2" t="s">
        <v>7</v>
      </c>
      <c r="F1283" s="9" t="s">
        <v>8</v>
      </c>
      <c r="H1283" t="str">
        <f>TRIM(SUBSTITUTE(PROPER(C1283)&amp;" "&amp;IF(OR(D1283="County",D1283="Township",D1283="Village",D1283="Charter Township"),D1283,"")&amp;IF(D1283="Township"," "&amp;"("&amp;VLOOKUP(A1283,counties,3,0)&amp;")",""),"  "," "))</f>
        <v>South County Sewer &amp; Water Auth</v>
      </c>
    </row>
    <row r="1284" spans="1:8" ht="15.75" thickBot="1" x14ac:dyDescent="0.3">
      <c r="A1284">
        <f t="shared" si="21"/>
        <v>39</v>
      </c>
      <c r="B1284" s="10">
        <v>2016</v>
      </c>
      <c r="C1284" s="3" t="s">
        <v>1154</v>
      </c>
      <c r="D1284" s="3" t="s">
        <v>17</v>
      </c>
      <c r="E1284" s="4" t="s">
        <v>7</v>
      </c>
      <c r="F1284" s="11" t="s">
        <v>8</v>
      </c>
      <c r="H1284" t="str">
        <f>TRIM(SUBSTITUTE(PROPER(C1284)&amp;" "&amp;IF(OR(D1284="County",D1284="Township",D1284="Village",D1284="Charter Township"),D1284,"")&amp;IF(D1284="Township"," "&amp;"("&amp;VLOOKUP(A1284,counties,3,0)&amp;")",""),"  "," "))</f>
        <v>South Kalamazoo County Fire Authority</v>
      </c>
    </row>
    <row r="1285" spans="1:8" ht="15.75" thickBot="1" x14ac:dyDescent="0.3">
      <c r="A1285">
        <f t="shared" si="21"/>
        <v>39</v>
      </c>
      <c r="B1285" s="8">
        <v>2016</v>
      </c>
      <c r="C1285" s="1" t="s">
        <v>1155</v>
      </c>
      <c r="D1285" s="1" t="s">
        <v>17</v>
      </c>
      <c r="E1285" s="2" t="s">
        <v>7</v>
      </c>
      <c r="F1285" s="9" t="s">
        <v>8</v>
      </c>
      <c r="H1285" t="str">
        <f>TRIM(SUBSTITUTE(PROPER(C1285)&amp;" "&amp;IF(OR(D1285="County",D1285="Township",D1285="Village",D1285="Charter Township"),D1285,"")&amp;IF(D1285="Township"," "&amp;"("&amp;VLOOKUP(A1285,counties,3,0)&amp;")",""),"  "," "))</f>
        <v>Southwest Enforcement Team-Swet</v>
      </c>
    </row>
    <row r="1286" spans="1:8" ht="15.75" thickBot="1" x14ac:dyDescent="0.3">
      <c r="A1286">
        <f t="shared" si="21"/>
        <v>39</v>
      </c>
      <c r="B1286" s="10">
        <v>2016</v>
      </c>
      <c r="C1286" s="3" t="s">
        <v>1156</v>
      </c>
      <c r="D1286" s="3" t="s">
        <v>17</v>
      </c>
      <c r="E1286" s="4" t="s">
        <v>7</v>
      </c>
      <c r="F1286" s="11" t="s">
        <v>8</v>
      </c>
      <c r="H1286" t="str">
        <f>TRIM(SUBSTITUTE(PROPER(C1286)&amp;" "&amp;IF(OR(D1286="County",D1286="Township",D1286="Village",D1286="Charter Township"),D1286,"")&amp;IF(D1286="Township"," "&amp;"("&amp;VLOOKUP(A1286,counties,3,0)&amp;")",""),"  "," "))</f>
        <v>Southwest Michigan Behavioral Health</v>
      </c>
    </row>
    <row r="1287" spans="1:8" ht="15.75" thickBot="1" x14ac:dyDescent="0.3">
      <c r="A1287">
        <f t="shared" si="21"/>
        <v>39</v>
      </c>
      <c r="B1287" s="8">
        <v>2016</v>
      </c>
      <c r="C1287" s="1" t="s">
        <v>1157</v>
      </c>
      <c r="D1287" s="1" t="s">
        <v>9</v>
      </c>
      <c r="E1287" s="2" t="s">
        <v>7</v>
      </c>
      <c r="F1287" s="9" t="s">
        <v>8</v>
      </c>
      <c r="H1287" t="str">
        <f>TRIM(SUBSTITUTE(PROPER(C1287)&amp;" "&amp;IF(OR(D1287="County",D1287="Township",D1287="Village",D1287="Charter Township"),D1287,"")&amp;IF(D1287="Township"," "&amp;"("&amp;VLOOKUP(A1287,counties,3,0)&amp;")",""),"  "," "))</f>
        <v>Texas Charter Township (Kalamazoo County)</v>
      </c>
    </row>
    <row r="1288" spans="1:8" ht="15.75" thickBot="1" x14ac:dyDescent="0.3">
      <c r="A1288">
        <f t="shared" si="21"/>
        <v>39</v>
      </c>
      <c r="B1288" s="10">
        <v>2016</v>
      </c>
      <c r="C1288" s="3" t="s">
        <v>1158</v>
      </c>
      <c r="D1288" s="3" t="s">
        <v>21</v>
      </c>
      <c r="E1288" s="4" t="s">
        <v>7</v>
      </c>
      <c r="F1288" s="11" t="s">
        <v>8</v>
      </c>
      <c r="H1288" t="str">
        <f>TRIM(SUBSTITUTE(PROPER(C1288)&amp;" "&amp;IF(OR(D1288="County",D1288="Township",D1288="Village",D1288="Charter Township"),D1288,"")&amp;IF(D1288="Township"," "&amp;"("&amp;VLOOKUP(A1288,counties,3,0)&amp;")",""),"  "," "))</f>
        <v>Vicksburg Village</v>
      </c>
    </row>
    <row r="1289" spans="1:8" ht="15.75" thickBot="1" x14ac:dyDescent="0.3">
      <c r="A1289">
        <f t="shared" si="21"/>
        <v>39</v>
      </c>
      <c r="B1289" s="8">
        <v>2016</v>
      </c>
      <c r="C1289" s="1" t="s">
        <v>1159</v>
      </c>
      <c r="D1289" s="1" t="s">
        <v>42</v>
      </c>
      <c r="E1289" s="2" t="s">
        <v>7</v>
      </c>
      <c r="F1289" s="9" t="s">
        <v>19</v>
      </c>
      <c r="H1289" t="str">
        <f>TRIM(SUBSTITUTE(PROPER(C1289)&amp;" "&amp;IF(OR(D1289="County",D1289="Township",D1289="Village",D1289="Charter Township"),D1289,"")&amp;IF(D1289="Township"," "&amp;"("&amp;VLOOKUP(A1289,counties,3,0)&amp;")",""),"  "," "))</f>
        <v>Vicksburg District Library</v>
      </c>
    </row>
    <row r="1290" spans="1:8" ht="15.75" thickBot="1" x14ac:dyDescent="0.3">
      <c r="A1290">
        <f t="shared" si="21"/>
        <v>39</v>
      </c>
      <c r="B1290" s="12">
        <v>2016</v>
      </c>
      <c r="C1290" s="13" t="s">
        <v>1160</v>
      </c>
      <c r="D1290" s="13" t="s">
        <v>9</v>
      </c>
      <c r="E1290" s="14" t="s">
        <v>7</v>
      </c>
      <c r="F1290" s="15" t="s">
        <v>8</v>
      </c>
      <c r="H1290" t="str">
        <f>TRIM(SUBSTITUTE(PROPER(C1290)&amp;" "&amp;IF(OR(D1290="County",D1290="Township",D1290="Village",D1290="Charter Township"),D1290,"")&amp;IF(D1290="Township"," "&amp;"("&amp;VLOOKUP(A1290,counties,3,0)&amp;")",""),"  "," "))</f>
        <v>Wakeshma Township (Kalamazoo County)</v>
      </c>
    </row>
    <row r="1291" spans="1:8" ht="16.5" thickTop="1" thickBot="1" x14ac:dyDescent="0.3">
      <c r="A1291">
        <f t="shared" si="21"/>
        <v>40</v>
      </c>
      <c r="B1291" s="5" t="s">
        <v>0</v>
      </c>
      <c r="C1291" s="6" t="s">
        <v>1</v>
      </c>
      <c r="D1291" s="6" t="s">
        <v>2</v>
      </c>
      <c r="E1291" s="6" t="s">
        <v>3</v>
      </c>
      <c r="F1291" s="7" t="s">
        <v>4</v>
      </c>
      <c r="H1291" t="str">
        <f>TRIM(SUBSTITUTE(PROPER(C1291)&amp;" "&amp;IF(OR(D1291="County",D1291="Township",D1291="Village",D1291="Charter Township"),D1291,"")&amp;IF(D1291="Township"," "&amp;"("&amp;VLOOKUP(A1291,counties,3,0)&amp;")",""),"  "," "))</f>
        <v>Municipality</v>
      </c>
    </row>
    <row r="1292" spans="1:8" ht="15.75" thickBot="1" x14ac:dyDescent="0.3">
      <c r="A1292">
        <f t="shared" si="21"/>
        <v>40</v>
      </c>
      <c r="B1292" s="8">
        <v>2016</v>
      </c>
      <c r="C1292" s="1" t="s">
        <v>1161</v>
      </c>
      <c r="D1292" s="1" t="s">
        <v>9</v>
      </c>
      <c r="E1292" s="2" t="s">
        <v>7</v>
      </c>
      <c r="F1292" s="9" t="s">
        <v>8</v>
      </c>
      <c r="H1292" t="str">
        <f>TRIM(SUBSTITUTE(PROPER(C1292)&amp;" "&amp;IF(OR(D1292="County",D1292="Township",D1292="Village",D1292="Charter Township"),D1292,"")&amp;IF(D1292="Township"," "&amp;"("&amp;VLOOKUP(A1292,counties,3,0)&amp;")",""),"  "," "))</f>
        <v>Bear Lake Township (Kalkaska County)</v>
      </c>
    </row>
    <row r="1293" spans="1:8" ht="15.75" thickBot="1" x14ac:dyDescent="0.3">
      <c r="A1293">
        <f t="shared" si="21"/>
        <v>40</v>
      </c>
      <c r="B1293" s="10">
        <v>2016</v>
      </c>
      <c r="C1293" s="3" t="s">
        <v>1162</v>
      </c>
      <c r="D1293" s="3" t="s">
        <v>9</v>
      </c>
      <c r="E1293" s="4" t="s">
        <v>7</v>
      </c>
      <c r="F1293" s="11" t="s">
        <v>8</v>
      </c>
      <c r="H1293" t="str">
        <f>TRIM(SUBSTITUTE(PROPER(C1293)&amp;" "&amp;IF(OR(D1293="County",D1293="Township",D1293="Village",D1293="Charter Township"),D1293,"")&amp;IF(D1293="Township"," "&amp;"("&amp;VLOOKUP(A1293,counties,3,0)&amp;")",""),"  "," "))</f>
        <v>Blue Lake Township (Kalkaska County)</v>
      </c>
    </row>
    <row r="1294" spans="1:8" ht="15.75" thickBot="1" x14ac:dyDescent="0.3">
      <c r="A1294">
        <f t="shared" si="21"/>
        <v>40</v>
      </c>
      <c r="B1294" s="8">
        <v>2016</v>
      </c>
      <c r="C1294" s="1" t="s">
        <v>1163</v>
      </c>
      <c r="D1294" s="1" t="s">
        <v>9</v>
      </c>
      <c r="E1294" s="2" t="s">
        <v>7</v>
      </c>
      <c r="F1294" s="9" t="s">
        <v>8</v>
      </c>
      <c r="H1294" t="str">
        <f>TRIM(SUBSTITUTE(PROPER(C1294)&amp;" "&amp;IF(OR(D1294="County",D1294="Township",D1294="Village",D1294="Charter Township"),D1294,"")&amp;IF(D1294="Township"," "&amp;"("&amp;VLOOKUP(A1294,counties,3,0)&amp;")",""),"  "," "))</f>
        <v>Boardman Township (Kalkaska County)</v>
      </c>
    </row>
    <row r="1295" spans="1:8" ht="15.75" thickBot="1" x14ac:dyDescent="0.3">
      <c r="A1295">
        <f t="shared" si="21"/>
        <v>40</v>
      </c>
      <c r="B1295" s="10">
        <v>2016</v>
      </c>
      <c r="C1295" s="3" t="s">
        <v>1164</v>
      </c>
      <c r="D1295" s="3" t="s">
        <v>9</v>
      </c>
      <c r="E1295" s="4" t="s">
        <v>7</v>
      </c>
      <c r="F1295" s="11" t="s">
        <v>8</v>
      </c>
      <c r="H1295" t="str">
        <f>TRIM(SUBSTITUTE(PROPER(C1295)&amp;" "&amp;IF(OR(D1295="County",D1295="Township",D1295="Village",D1295="Charter Township"),D1295,"")&amp;IF(D1295="Township"," "&amp;"("&amp;VLOOKUP(A1295,counties,3,0)&amp;")",""),"  "," "))</f>
        <v>Clearwater Township (Kalkaska County)</v>
      </c>
    </row>
    <row r="1296" spans="1:8" ht="15.75" thickBot="1" x14ac:dyDescent="0.3">
      <c r="A1296">
        <f t="shared" si="21"/>
        <v>40</v>
      </c>
      <c r="B1296" s="8">
        <v>2016</v>
      </c>
      <c r="C1296" s="1" t="s">
        <v>1165</v>
      </c>
      <c r="D1296" s="1" t="s">
        <v>9</v>
      </c>
      <c r="E1296" s="2" t="s">
        <v>7</v>
      </c>
      <c r="F1296" s="9" t="s">
        <v>8</v>
      </c>
      <c r="H1296" t="str">
        <f>TRIM(SUBSTITUTE(PROPER(C1296)&amp;" "&amp;IF(OR(D1296="County",D1296="Township",D1296="Village",D1296="Charter Township"),D1296,"")&amp;IF(D1296="Township"," "&amp;"("&amp;VLOOKUP(A1296,counties,3,0)&amp;")",""),"  "," "))</f>
        <v>Coldsprings Township (Kalkaska County)</v>
      </c>
    </row>
    <row r="1297" spans="1:8" ht="21.75" thickBot="1" x14ac:dyDescent="0.3">
      <c r="A1297">
        <f t="shared" si="21"/>
        <v>40</v>
      </c>
      <c r="B1297" s="10">
        <v>2016</v>
      </c>
      <c r="C1297" s="3" t="s">
        <v>1166</v>
      </c>
      <c r="D1297" s="3" t="s">
        <v>17</v>
      </c>
      <c r="E1297" s="4" t="s">
        <v>7</v>
      </c>
      <c r="F1297" s="11" t="s">
        <v>8</v>
      </c>
      <c r="H1297" t="str">
        <f>TRIM(SUBSTITUTE(PROPER(C1297)&amp;" "&amp;IF(OR(D1297="County",D1297="Township",D1297="Village",D1297="Charter Township"),D1297,"")&amp;IF(D1297="Township"," "&amp;"("&amp;VLOOKUP(A1297,counties,3,0)&amp;")",""),"  "," "))</f>
        <v>Coldsprings-Excelsior Volunteer Fire &amp; Rescue Dept</v>
      </c>
    </row>
    <row r="1298" spans="1:8" ht="15.75" thickBot="1" x14ac:dyDescent="0.3">
      <c r="A1298">
        <f t="shared" si="21"/>
        <v>40</v>
      </c>
      <c r="B1298" s="8">
        <v>2016</v>
      </c>
      <c r="C1298" s="1" t="s">
        <v>1167</v>
      </c>
      <c r="D1298" s="1" t="s">
        <v>9</v>
      </c>
      <c r="E1298" s="2" t="s">
        <v>7</v>
      </c>
      <c r="F1298" s="9" t="s">
        <v>8</v>
      </c>
      <c r="H1298" t="str">
        <f>TRIM(SUBSTITUTE(PROPER(C1298)&amp;" "&amp;IF(OR(D1298="County",D1298="Township",D1298="Village",D1298="Charter Township"),D1298,"")&amp;IF(D1298="Township"," "&amp;"("&amp;VLOOKUP(A1298,counties,3,0)&amp;")",""),"  "," "))</f>
        <v>Excelsior Township (Kalkaska County)</v>
      </c>
    </row>
    <row r="1299" spans="1:8" ht="15.75" thickBot="1" x14ac:dyDescent="0.3">
      <c r="A1299">
        <f t="shared" si="21"/>
        <v>40</v>
      </c>
      <c r="B1299" s="10">
        <v>2016</v>
      </c>
      <c r="C1299" s="3" t="s">
        <v>492</v>
      </c>
      <c r="D1299" s="3" t="s">
        <v>9</v>
      </c>
      <c r="E1299" s="4" t="s">
        <v>7</v>
      </c>
      <c r="F1299" s="11" t="s">
        <v>8</v>
      </c>
      <c r="H1299" t="str">
        <f>TRIM(SUBSTITUTE(PROPER(C1299)&amp;" "&amp;IF(OR(D1299="County",D1299="Township",D1299="Village",D1299="Charter Township"),D1299,"")&amp;IF(D1299="Township"," "&amp;"("&amp;VLOOKUP(A1299,counties,3,0)&amp;")",""),"  "," "))</f>
        <v>Garfield Township (Kalkaska County)</v>
      </c>
    </row>
    <row r="1300" spans="1:8" ht="15.75" thickBot="1" x14ac:dyDescent="0.3">
      <c r="A1300">
        <f t="shared" si="21"/>
        <v>40</v>
      </c>
      <c r="B1300" s="8">
        <v>2016</v>
      </c>
      <c r="C1300" s="1" t="s">
        <v>1168</v>
      </c>
      <c r="D1300" s="1" t="s">
        <v>6</v>
      </c>
      <c r="E1300" s="2" t="s">
        <v>7</v>
      </c>
      <c r="F1300" s="9" t="s">
        <v>8</v>
      </c>
      <c r="H1300" t="str">
        <f>TRIM(SUBSTITUTE(PROPER(C1300)&amp;" "&amp;IF(OR(D1300="County",D1300="Township",D1300="Village",D1300="Charter Township"),D1300,"")&amp;IF(D1300="Township"," "&amp;"("&amp;VLOOKUP(A1300,counties,3,0)&amp;")",""),"  "," "))</f>
        <v>Kalkaska County</v>
      </c>
    </row>
    <row r="1301" spans="1:8" ht="15.75" thickBot="1" x14ac:dyDescent="0.3">
      <c r="A1301">
        <f t="shared" si="21"/>
        <v>40</v>
      </c>
      <c r="B1301" s="10">
        <v>2016</v>
      </c>
      <c r="C1301" s="3" t="s">
        <v>1168</v>
      </c>
      <c r="D1301" s="3" t="s">
        <v>9</v>
      </c>
      <c r="E1301" s="4" t="s">
        <v>7</v>
      </c>
      <c r="F1301" s="11" t="s">
        <v>8</v>
      </c>
      <c r="H1301" t="str">
        <f>TRIM(SUBSTITUTE(PROPER(C1301)&amp;" "&amp;IF(OR(D1301="County",D1301="Township",D1301="Village",D1301="Charter Township"),D1301,"")&amp;IF(D1301="Township"," "&amp;"("&amp;VLOOKUP(A1301,counties,3,0)&amp;")",""),"  "," "))</f>
        <v>Kalkaska Township (Kalkaska County)</v>
      </c>
    </row>
    <row r="1302" spans="1:8" ht="15.75" thickBot="1" x14ac:dyDescent="0.3">
      <c r="A1302">
        <f t="shared" si="21"/>
        <v>40</v>
      </c>
      <c r="B1302" s="8">
        <v>2016</v>
      </c>
      <c r="C1302" s="1" t="s">
        <v>1168</v>
      </c>
      <c r="D1302" s="1" t="s">
        <v>21</v>
      </c>
      <c r="E1302" s="2" t="s">
        <v>7</v>
      </c>
      <c r="F1302" s="9" t="s">
        <v>8</v>
      </c>
      <c r="H1302" t="str">
        <f>TRIM(SUBSTITUTE(PROPER(C1302)&amp;" "&amp;IF(OR(D1302="County",D1302="Township",D1302="Village",D1302="Charter Township"),D1302,"")&amp;IF(D1302="Township"," "&amp;"("&amp;VLOOKUP(A1302,counties,3,0)&amp;")",""),"  "," "))</f>
        <v>Kalkaska Village</v>
      </c>
    </row>
    <row r="1303" spans="1:8" ht="15.75" thickBot="1" x14ac:dyDescent="0.3">
      <c r="A1303">
        <f t="shared" si="21"/>
        <v>40</v>
      </c>
      <c r="B1303" s="10">
        <v>2016</v>
      </c>
      <c r="C1303" s="3" t="s">
        <v>1169</v>
      </c>
      <c r="D1303" s="3" t="s">
        <v>11</v>
      </c>
      <c r="E1303" s="4" t="s">
        <v>7</v>
      </c>
      <c r="F1303" s="11" t="s">
        <v>8</v>
      </c>
      <c r="H1303" t="str">
        <f>TRIM(SUBSTITUTE(PROPER(C1303)&amp;" "&amp;IF(OR(D1303="County",D1303="Township",D1303="Village",D1303="Charter Township"),D1303,"")&amp;IF(D1303="Township"," "&amp;"("&amp;VLOOKUP(A1303,counties,3,0)&amp;")",""),"  "," "))</f>
        <v>Kalkaska Co Road Commission</v>
      </c>
    </row>
    <row r="1304" spans="1:8" ht="15.75" thickBot="1" x14ac:dyDescent="0.3">
      <c r="A1304">
        <f t="shared" si="21"/>
        <v>40</v>
      </c>
      <c r="B1304" s="8">
        <v>2016</v>
      </c>
      <c r="C1304" s="1" t="s">
        <v>1170</v>
      </c>
      <c r="D1304" s="1" t="s">
        <v>17</v>
      </c>
      <c r="E1304" s="2" t="s">
        <v>7</v>
      </c>
      <c r="F1304" s="9" t="s">
        <v>8</v>
      </c>
      <c r="H1304" t="str">
        <f>TRIM(SUBSTITUTE(PROPER(C1304)&amp;" "&amp;IF(OR(D1304="County",D1304="Township",D1304="Village",D1304="Charter Township"),D1304,"")&amp;IF(D1304="Township"," "&amp;"("&amp;VLOOKUP(A1304,counties,3,0)&amp;")",""),"  "," "))</f>
        <v>Kalkaska County Hospital Authority</v>
      </c>
    </row>
    <row r="1305" spans="1:8" ht="15.75" thickBot="1" x14ac:dyDescent="0.3">
      <c r="A1305">
        <f t="shared" si="21"/>
        <v>40</v>
      </c>
      <c r="B1305" s="10">
        <v>2016</v>
      </c>
      <c r="C1305" s="3" t="s">
        <v>1171</v>
      </c>
      <c r="D1305" s="3" t="s">
        <v>17</v>
      </c>
      <c r="E1305" s="4" t="s">
        <v>7</v>
      </c>
      <c r="F1305" s="11" t="s">
        <v>8</v>
      </c>
      <c r="H1305" t="str">
        <f>TRIM(SUBSTITUTE(PROPER(C1305)&amp;" "&amp;IF(OR(D1305="County",D1305="Township",D1305="Village",D1305="Charter Township"),D1305,"")&amp;IF(D1305="Township"," "&amp;"("&amp;VLOOKUP(A1305,counties,3,0)&amp;")",""),"  "," "))</f>
        <v>Kalkaska Public Transit Authority</v>
      </c>
    </row>
    <row r="1306" spans="1:8" ht="15.75" thickBot="1" x14ac:dyDescent="0.3">
      <c r="A1306">
        <f t="shared" si="21"/>
        <v>40</v>
      </c>
      <c r="B1306" s="8">
        <v>2016</v>
      </c>
      <c r="C1306" s="1" t="s">
        <v>1172</v>
      </c>
      <c r="D1306" s="1" t="s">
        <v>17</v>
      </c>
      <c r="E1306" s="2" t="s">
        <v>7</v>
      </c>
      <c r="F1306" s="9" t="s">
        <v>8</v>
      </c>
      <c r="H1306" t="str">
        <f>TRIM(SUBSTITUTE(PROPER(C1306)&amp;" "&amp;IF(OR(D1306="County",D1306="Township",D1306="Village",D1306="Charter Township"),D1306,"")&amp;IF(D1306="Township"," "&amp;"("&amp;VLOOKUP(A1306,counties,3,0)&amp;")",""),"  "," "))</f>
        <v>Manistee Lake Improvement Board</v>
      </c>
    </row>
    <row r="1307" spans="1:8" ht="15.75" thickBot="1" x14ac:dyDescent="0.3">
      <c r="A1307">
        <f t="shared" si="21"/>
        <v>40</v>
      </c>
      <c r="B1307" s="10">
        <v>2016</v>
      </c>
      <c r="C1307" s="3" t="s">
        <v>1173</v>
      </c>
      <c r="D1307" s="3" t="s">
        <v>9</v>
      </c>
      <c r="E1307" s="4" t="s">
        <v>7</v>
      </c>
      <c r="F1307" s="11" t="s">
        <v>8</v>
      </c>
      <c r="H1307" t="str">
        <f>TRIM(SUBSTITUTE(PROPER(C1307)&amp;" "&amp;IF(OR(D1307="County",D1307="Township",D1307="Village",D1307="Charter Township"),D1307,"")&amp;IF(D1307="Township"," "&amp;"("&amp;VLOOKUP(A1307,counties,3,0)&amp;")",""),"  "," "))</f>
        <v>Oliver Township (Kalkaska County)</v>
      </c>
    </row>
    <row r="1308" spans="1:8" ht="15.75" thickBot="1" x14ac:dyDescent="0.3">
      <c r="A1308">
        <f t="shared" si="21"/>
        <v>40</v>
      </c>
      <c r="B1308" s="8">
        <v>2016</v>
      </c>
      <c r="C1308" s="1" t="s">
        <v>990</v>
      </c>
      <c r="D1308" s="1" t="s">
        <v>9</v>
      </c>
      <c r="E1308" s="2" t="s">
        <v>7</v>
      </c>
      <c r="F1308" s="9" t="s">
        <v>8</v>
      </c>
      <c r="H1308" t="str">
        <f>TRIM(SUBSTITUTE(PROPER(C1308)&amp;" "&amp;IF(OR(D1308="County",D1308="Township",D1308="Village",D1308="Charter Township"),D1308,"")&amp;IF(D1308="Township"," "&amp;"("&amp;VLOOKUP(A1308,counties,3,0)&amp;")",""),"  "," "))</f>
        <v>Orange Township (Kalkaska County)</v>
      </c>
    </row>
    <row r="1309" spans="1:8" ht="15.75" thickBot="1" x14ac:dyDescent="0.3">
      <c r="A1309">
        <f t="shared" si="21"/>
        <v>40</v>
      </c>
      <c r="B1309" s="12">
        <v>2016</v>
      </c>
      <c r="C1309" s="13" t="s">
        <v>376</v>
      </c>
      <c r="D1309" s="13" t="s">
        <v>9</v>
      </c>
      <c r="E1309" s="14" t="s">
        <v>7</v>
      </c>
      <c r="F1309" s="15" t="s">
        <v>19</v>
      </c>
      <c r="H1309" t="str">
        <f>TRIM(SUBSTITUTE(PROPER(C1309)&amp;" "&amp;IF(OR(D1309="County",D1309="Township",D1309="Village",D1309="Charter Township"),D1309,"")&amp;IF(D1309="Township"," "&amp;"("&amp;VLOOKUP(A1309,counties,3,0)&amp;")",""),"  "," "))</f>
        <v>Springfield Township (Kalkaska County)</v>
      </c>
    </row>
    <row r="1310" spans="1:8" ht="16.5" thickTop="1" thickBot="1" x14ac:dyDescent="0.3">
      <c r="A1310">
        <f t="shared" si="21"/>
        <v>41</v>
      </c>
      <c r="B1310" s="5" t="s">
        <v>0</v>
      </c>
      <c r="C1310" s="6" t="s">
        <v>1</v>
      </c>
      <c r="D1310" s="6" t="s">
        <v>2</v>
      </c>
      <c r="E1310" s="6" t="s">
        <v>3</v>
      </c>
      <c r="F1310" s="7" t="s">
        <v>4</v>
      </c>
      <c r="H1310" t="str">
        <f>TRIM(SUBSTITUTE(PROPER(C1310)&amp;" "&amp;IF(OR(D1310="County",D1310="Township",D1310="Village",D1310="Charter Township"),D1310,"")&amp;IF(D1310="Township"," "&amp;"("&amp;VLOOKUP(A1310,counties,3,0)&amp;")",""),"  "," "))</f>
        <v>Municipality</v>
      </c>
    </row>
    <row r="1311" spans="1:8" ht="15.75" thickBot="1" x14ac:dyDescent="0.3">
      <c r="A1311">
        <f t="shared" si="21"/>
        <v>41</v>
      </c>
      <c r="B1311" s="8">
        <v>2016</v>
      </c>
      <c r="C1311" s="1" t="s">
        <v>1174</v>
      </c>
      <c r="D1311" s="1" t="s">
        <v>9</v>
      </c>
      <c r="E1311" s="2" t="s">
        <v>7</v>
      </c>
      <c r="F1311" s="9" t="s">
        <v>19</v>
      </c>
      <c r="H1311" t="str">
        <f>TRIM(SUBSTITUTE(PROPER(C1311)&amp;" "&amp;IF(OR(D1311="County",D1311="Township",D1311="Village",D1311="Charter Township"),D1311,"")&amp;IF(D1311="Township"," "&amp;"("&amp;VLOOKUP(A1311,counties,3,0)&amp;")",""),"  "," "))</f>
        <v>Ada Township (Kent County)</v>
      </c>
    </row>
    <row r="1312" spans="1:8" ht="15.75" thickBot="1" x14ac:dyDescent="0.3">
      <c r="A1312">
        <f t="shared" si="21"/>
        <v>41</v>
      </c>
      <c r="B1312" s="10">
        <v>2016</v>
      </c>
      <c r="C1312" s="3" t="s">
        <v>1175</v>
      </c>
      <c r="D1312" s="3" t="s">
        <v>9</v>
      </c>
      <c r="E1312" s="4" t="s">
        <v>7</v>
      </c>
      <c r="F1312" s="11" t="s">
        <v>19</v>
      </c>
      <c r="H1312" t="str">
        <f>TRIM(SUBSTITUTE(PROPER(C1312)&amp;" "&amp;IF(OR(D1312="County",D1312="Township",D1312="Village",D1312="Charter Township"),D1312,"")&amp;IF(D1312="Township"," "&amp;"("&amp;VLOOKUP(A1312,counties,3,0)&amp;")",""),"  "," "))</f>
        <v>Algoma Township (Kent County)</v>
      </c>
    </row>
    <row r="1313" spans="1:8" ht="15.75" thickBot="1" x14ac:dyDescent="0.3">
      <c r="A1313">
        <f t="shared" si="21"/>
        <v>41</v>
      </c>
      <c r="B1313" s="8">
        <v>2016</v>
      </c>
      <c r="C1313" s="1" t="s">
        <v>1176</v>
      </c>
      <c r="D1313" s="1" t="s">
        <v>9</v>
      </c>
      <c r="E1313" s="2" t="s">
        <v>7</v>
      </c>
      <c r="F1313" s="9" t="s">
        <v>8</v>
      </c>
      <c r="H1313" t="str">
        <f>TRIM(SUBSTITUTE(PROPER(C1313)&amp;" "&amp;IF(OR(D1313="County",D1313="Township",D1313="Village",D1313="Charter Township"),D1313,"")&amp;IF(D1313="Township"," "&amp;"("&amp;VLOOKUP(A1313,counties,3,0)&amp;")",""),"  "," "))</f>
        <v>Alpine Township (Kent County)</v>
      </c>
    </row>
    <row r="1314" spans="1:8" ht="21.75" thickBot="1" x14ac:dyDescent="0.3">
      <c r="A1314">
        <f t="shared" si="21"/>
        <v>41</v>
      </c>
      <c r="B1314" s="10">
        <v>2016</v>
      </c>
      <c r="C1314" s="3" t="s">
        <v>1177</v>
      </c>
      <c r="D1314" s="3" t="s">
        <v>17</v>
      </c>
      <c r="E1314" s="4" t="s">
        <v>7</v>
      </c>
      <c r="F1314" s="11" t="s">
        <v>8</v>
      </c>
      <c r="H1314" t="str">
        <f>TRIM(SUBSTITUTE(PROPER(C1314)&amp;" "&amp;IF(OR(D1314="County",D1314="Township",D1314="Village",D1314="Charter Township"),D1314,"")&amp;IF(D1314="Township"," "&amp;"("&amp;VLOOKUP(A1314,counties,3,0)&amp;")",""),"  "," "))</f>
        <v>Area Community Service Employment/Training Council</v>
      </c>
    </row>
    <row r="1315" spans="1:8" ht="15.75" thickBot="1" x14ac:dyDescent="0.3">
      <c r="A1315">
        <f t="shared" si="21"/>
        <v>41</v>
      </c>
      <c r="B1315" s="8">
        <v>2016</v>
      </c>
      <c r="C1315" s="1" t="s">
        <v>1178</v>
      </c>
      <c r="D1315" s="1" t="s">
        <v>9</v>
      </c>
      <c r="E1315" s="2" t="s">
        <v>7</v>
      </c>
      <c r="F1315" s="9" t="s">
        <v>8</v>
      </c>
      <c r="H1315" t="str">
        <f>TRIM(SUBSTITUTE(PROPER(C1315)&amp;" "&amp;IF(OR(D1315="County",D1315="Township",D1315="Village",D1315="Charter Township"),D1315,"")&amp;IF(D1315="Township"," "&amp;"("&amp;VLOOKUP(A1315,counties,3,0)&amp;")",""),"  "," "))</f>
        <v>Bowne Township (Kent County)</v>
      </c>
    </row>
    <row r="1316" spans="1:8" ht="15.75" thickBot="1" x14ac:dyDescent="0.3">
      <c r="A1316">
        <f t="shared" si="21"/>
        <v>41</v>
      </c>
      <c r="B1316" s="10">
        <v>2016</v>
      </c>
      <c r="C1316" s="3" t="s">
        <v>1179</v>
      </c>
      <c r="D1316" s="3" t="s">
        <v>9</v>
      </c>
      <c r="E1316" s="4" t="s">
        <v>7</v>
      </c>
      <c r="F1316" s="11" t="s">
        <v>8</v>
      </c>
      <c r="H1316" t="str">
        <f>TRIM(SUBSTITUTE(PROPER(C1316)&amp;" "&amp;IF(OR(D1316="County",D1316="Township",D1316="Village",D1316="Charter Township"),D1316,"")&amp;IF(D1316="Township"," "&amp;"("&amp;VLOOKUP(A1316,counties,3,0)&amp;")",""),"  "," "))</f>
        <v>Byron Township (Kent County)</v>
      </c>
    </row>
    <row r="1317" spans="1:8" ht="15.75" thickBot="1" x14ac:dyDescent="0.3">
      <c r="A1317">
        <f t="shared" si="21"/>
        <v>41</v>
      </c>
      <c r="B1317" s="8">
        <v>2016</v>
      </c>
      <c r="C1317" s="1" t="s">
        <v>1180</v>
      </c>
      <c r="D1317" s="1" t="s">
        <v>17</v>
      </c>
      <c r="E1317" s="2" t="s">
        <v>7</v>
      </c>
      <c r="F1317" s="9" t="s">
        <v>8</v>
      </c>
      <c r="H1317" t="str">
        <f>TRIM(SUBSTITUTE(PROPER(C1317)&amp;" "&amp;IF(OR(D1317="County",D1317="Township",D1317="Village",D1317="Charter Township"),D1317,"")&amp;IF(D1317="Township"," "&amp;"("&amp;VLOOKUP(A1317,counties,3,0)&amp;")",""),"  "," "))</f>
        <v>Byron-Gaines Utility Authority</v>
      </c>
    </row>
    <row r="1318" spans="1:8" ht="15.75" thickBot="1" x14ac:dyDescent="0.3">
      <c r="A1318">
        <f t="shared" si="21"/>
        <v>41</v>
      </c>
      <c r="B1318" s="10">
        <v>2016</v>
      </c>
      <c r="C1318" s="3" t="s">
        <v>12</v>
      </c>
      <c r="D1318" s="3" t="s">
        <v>21</v>
      </c>
      <c r="E1318" s="4" t="s">
        <v>7</v>
      </c>
      <c r="F1318" s="11" t="s">
        <v>8</v>
      </c>
      <c r="H1318" t="str">
        <f>TRIM(SUBSTITUTE(PROPER(C1318)&amp;" "&amp;IF(OR(D1318="County",D1318="Township",D1318="Village",D1318="Charter Township"),D1318,"")&amp;IF(D1318="Township"," "&amp;"("&amp;VLOOKUP(A1318,counties,3,0)&amp;")",""),"  "," "))</f>
        <v>Caledonia Village</v>
      </c>
    </row>
    <row r="1319" spans="1:8" ht="15.75" thickBot="1" x14ac:dyDescent="0.3">
      <c r="A1319">
        <f t="shared" si="21"/>
        <v>41</v>
      </c>
      <c r="B1319" s="8">
        <v>2016</v>
      </c>
      <c r="C1319" s="1" t="s">
        <v>1181</v>
      </c>
      <c r="D1319" s="1" t="s">
        <v>9</v>
      </c>
      <c r="E1319" s="2" t="s">
        <v>7</v>
      </c>
      <c r="F1319" s="9" t="s">
        <v>8</v>
      </c>
      <c r="H1319" t="str">
        <f>TRIM(SUBSTITUTE(PROPER(C1319)&amp;" "&amp;IF(OR(D1319="County",D1319="Township",D1319="Village",D1319="Charter Township"),D1319,"")&amp;IF(D1319="Township"," "&amp;"("&amp;VLOOKUP(A1319,counties,3,0)&amp;")",""),"  "," "))</f>
        <v>Caledonia Charter Township (Kent County)</v>
      </c>
    </row>
    <row r="1320" spans="1:8" ht="15.75" thickBot="1" x14ac:dyDescent="0.3">
      <c r="A1320">
        <f t="shared" si="21"/>
        <v>41</v>
      </c>
      <c r="B1320" s="10">
        <v>2016</v>
      </c>
      <c r="C1320" s="3" t="s">
        <v>1182</v>
      </c>
      <c r="D1320" s="3" t="s">
        <v>9</v>
      </c>
      <c r="E1320" s="4" t="s">
        <v>7</v>
      </c>
      <c r="F1320" s="11" t="s">
        <v>8</v>
      </c>
      <c r="H1320" t="str">
        <f>TRIM(SUBSTITUTE(PROPER(C1320)&amp;" "&amp;IF(OR(D1320="County",D1320="Township",D1320="Village",D1320="Charter Township"),D1320,"")&amp;IF(D1320="Township"," "&amp;"("&amp;VLOOKUP(A1320,counties,3,0)&amp;")",""),"  "," "))</f>
        <v>Cannon Township (Kent County)</v>
      </c>
    </row>
    <row r="1321" spans="1:8" ht="15.75" thickBot="1" x14ac:dyDescent="0.3">
      <c r="A1321">
        <f t="shared" si="21"/>
        <v>41</v>
      </c>
      <c r="B1321" s="8">
        <v>2016</v>
      </c>
      <c r="C1321" s="1" t="s">
        <v>1183</v>
      </c>
      <c r="D1321" s="1" t="s">
        <v>9</v>
      </c>
      <c r="E1321" s="2" t="s">
        <v>7</v>
      </c>
      <c r="F1321" s="9" t="s">
        <v>8</v>
      </c>
      <c r="H1321" t="str">
        <f>TRIM(SUBSTITUTE(PROPER(C1321)&amp;" "&amp;IF(OR(D1321="County",D1321="Township",D1321="Village",D1321="Charter Township"),D1321,"")&amp;IF(D1321="Township"," "&amp;"("&amp;VLOOKUP(A1321,counties,3,0)&amp;")",""),"  "," "))</f>
        <v>Cascade Charter Township (Kent County)</v>
      </c>
    </row>
    <row r="1322" spans="1:8" ht="15.75" thickBot="1" x14ac:dyDescent="0.3">
      <c r="A1322">
        <f t="shared" si="21"/>
        <v>41</v>
      </c>
      <c r="B1322" s="10">
        <v>2016</v>
      </c>
      <c r="C1322" s="3" t="s">
        <v>1184</v>
      </c>
      <c r="D1322" s="3" t="s">
        <v>15</v>
      </c>
      <c r="E1322" s="4" t="s">
        <v>7</v>
      </c>
      <c r="F1322" s="11" t="s">
        <v>8</v>
      </c>
      <c r="H1322" t="str">
        <f>TRIM(SUBSTITUTE(PROPER(C1322)&amp;" "&amp;IF(OR(D1322="County",D1322="Township",D1322="Village",D1322="Charter Township"),D1322,"")&amp;IF(D1322="Township"," "&amp;"("&amp;VLOOKUP(A1322,counties,3,0)&amp;")",""),"  "," "))</f>
        <v>Cedar Springs</v>
      </c>
    </row>
    <row r="1323" spans="1:8" ht="15.75" thickBot="1" x14ac:dyDescent="0.3">
      <c r="A1323">
        <f t="shared" si="21"/>
        <v>41</v>
      </c>
      <c r="B1323" s="8">
        <v>2016</v>
      </c>
      <c r="C1323" s="1" t="s">
        <v>1185</v>
      </c>
      <c r="D1323" s="1" t="s">
        <v>17</v>
      </c>
      <c r="E1323" s="2" t="s">
        <v>7</v>
      </c>
      <c r="F1323" s="9" t="s">
        <v>8</v>
      </c>
      <c r="H1323" t="str">
        <f>TRIM(SUBSTITUTE(PROPER(C1323)&amp;" "&amp;IF(OR(D1323="County",D1323="Township",D1323="Village",D1323="Charter Township"),D1323,"")&amp;IF(D1323="Township"," "&amp;"("&amp;VLOOKUP(A1323,counties,3,0)&amp;")",""),"  "," "))</f>
        <v>Cedar Springs Area Parks &amp; Recreation Board</v>
      </c>
    </row>
    <row r="1324" spans="1:8" ht="15.75" thickBot="1" x14ac:dyDescent="0.3">
      <c r="A1324">
        <f t="shared" si="21"/>
        <v>41</v>
      </c>
      <c r="B1324" s="10">
        <v>2016</v>
      </c>
      <c r="C1324" s="3" t="s">
        <v>1186</v>
      </c>
      <c r="D1324" s="3" t="s">
        <v>72</v>
      </c>
      <c r="E1324" s="4" t="s">
        <v>7</v>
      </c>
      <c r="F1324" s="11" t="s">
        <v>8</v>
      </c>
      <c r="H1324" t="str">
        <f>TRIM(SUBSTITUTE(PROPER(C1324)&amp;" "&amp;IF(OR(D1324="County",D1324="Township",D1324="Village",D1324="Charter Township"),D1324,"")&amp;IF(D1324="Township"," "&amp;"("&amp;VLOOKUP(A1324,counties,3,0)&amp;")",""),"  "," "))</f>
        <v>City Grand Rapids General Retirement System</v>
      </c>
    </row>
    <row r="1325" spans="1:8" ht="21.75" thickBot="1" x14ac:dyDescent="0.3">
      <c r="A1325">
        <f t="shared" si="21"/>
        <v>41</v>
      </c>
      <c r="B1325" s="8">
        <v>2016</v>
      </c>
      <c r="C1325" s="1" t="s">
        <v>1187</v>
      </c>
      <c r="D1325" s="1" t="s">
        <v>72</v>
      </c>
      <c r="E1325" s="2" t="s">
        <v>7</v>
      </c>
      <c r="F1325" s="9" t="s">
        <v>8</v>
      </c>
      <c r="H1325" t="str">
        <f>TRIM(SUBSTITUTE(PROPER(C1325)&amp;" "&amp;IF(OR(D1325="County",D1325="Township",D1325="Village",D1325="Charter Township"),D1325,"")&amp;IF(D1325="Township"," "&amp;"("&amp;VLOOKUP(A1325,counties,3,0)&amp;")",""),"  "," "))</f>
        <v>City Of Grand Rapids Police And Fire Retirement System</v>
      </c>
    </row>
    <row r="1326" spans="1:8" ht="21.75" thickBot="1" x14ac:dyDescent="0.3">
      <c r="A1326">
        <f t="shared" si="21"/>
        <v>41</v>
      </c>
      <c r="B1326" s="10">
        <v>2016</v>
      </c>
      <c r="C1326" s="3" t="s">
        <v>1188</v>
      </c>
      <c r="D1326" s="3" t="s">
        <v>17</v>
      </c>
      <c r="E1326" s="4" t="s">
        <v>7</v>
      </c>
      <c r="F1326" s="11" t="s">
        <v>8</v>
      </c>
      <c r="H1326" t="str">
        <f>TRIM(SUBSTITUTE(PROPER(C1326)&amp;" "&amp;IF(OR(D1326="County",D1326="Township",D1326="Village",D1326="Charter Township"),D1326,"")&amp;IF(D1326="Township"," "&amp;"("&amp;VLOOKUP(A1326,counties,3,0)&amp;")",""),"  "," "))</f>
        <v>City Of Grand Rapids/Kent Co Jt Building Authority</v>
      </c>
    </row>
    <row r="1327" spans="1:8" ht="15.75" thickBot="1" x14ac:dyDescent="0.3">
      <c r="A1327">
        <f t="shared" si="21"/>
        <v>41</v>
      </c>
      <c r="B1327" s="8">
        <v>2016</v>
      </c>
      <c r="C1327" s="1" t="s">
        <v>1189</v>
      </c>
      <c r="D1327" s="1" t="s">
        <v>9</v>
      </c>
      <c r="E1327" s="2" t="s">
        <v>7</v>
      </c>
      <c r="F1327" s="9" t="s">
        <v>8</v>
      </c>
      <c r="H1327" t="str">
        <f>TRIM(SUBSTITUTE(PROPER(C1327)&amp;" "&amp;IF(OR(D1327="County",D1327="Township",D1327="Village",D1327="Charter Township"),D1327,"")&amp;IF(D1327="Township"," "&amp;"("&amp;VLOOKUP(A1327,counties,3,0)&amp;")",""),"  "," "))</f>
        <v>Courtland Township (Kent County)</v>
      </c>
    </row>
    <row r="1328" spans="1:8" ht="15.75" thickBot="1" x14ac:dyDescent="0.3">
      <c r="A1328">
        <f t="shared" si="21"/>
        <v>41</v>
      </c>
      <c r="B1328" s="10">
        <v>2016</v>
      </c>
      <c r="C1328" s="3" t="s">
        <v>1190</v>
      </c>
      <c r="D1328" s="3" t="s">
        <v>15</v>
      </c>
      <c r="E1328" s="4" t="s">
        <v>7</v>
      </c>
      <c r="F1328" s="11" t="s">
        <v>8</v>
      </c>
      <c r="H1328" t="str">
        <f>TRIM(SUBSTITUTE(PROPER(C1328)&amp;" "&amp;IF(OR(D1328="County",D1328="Township",D1328="Village",D1328="Charter Township"),D1328,"")&amp;IF(D1328="Township"," "&amp;"("&amp;VLOOKUP(A1328,counties,3,0)&amp;")",""),"  "," "))</f>
        <v>East Grand Rapids</v>
      </c>
    </row>
    <row r="1329" spans="1:8" ht="15.75" thickBot="1" x14ac:dyDescent="0.3">
      <c r="A1329">
        <f t="shared" si="21"/>
        <v>41</v>
      </c>
      <c r="B1329" s="8">
        <v>2016</v>
      </c>
      <c r="C1329" s="1" t="s">
        <v>1191</v>
      </c>
      <c r="D1329" s="1" t="s">
        <v>9</v>
      </c>
      <c r="E1329" s="2" t="s">
        <v>7</v>
      </c>
      <c r="F1329" s="9" t="s">
        <v>8</v>
      </c>
      <c r="H1329" t="str">
        <f>TRIM(SUBSTITUTE(PROPER(C1329)&amp;" "&amp;IF(OR(D1329="County",D1329="Township",D1329="Village",D1329="Charter Township"),D1329,"")&amp;IF(D1329="Township"," "&amp;"("&amp;VLOOKUP(A1329,counties,3,0)&amp;")",""),"  "," "))</f>
        <v>Gaines Charter Township Township (Kent County)</v>
      </c>
    </row>
    <row r="1330" spans="1:8" ht="15.75" thickBot="1" x14ac:dyDescent="0.3">
      <c r="A1330">
        <f t="shared" si="21"/>
        <v>41</v>
      </c>
      <c r="B1330" s="10">
        <v>2016</v>
      </c>
      <c r="C1330" s="3" t="s">
        <v>1192</v>
      </c>
      <c r="D1330" s="3" t="s">
        <v>17</v>
      </c>
      <c r="E1330" s="4" t="s">
        <v>7</v>
      </c>
      <c r="F1330" s="11" t="s">
        <v>8</v>
      </c>
      <c r="H1330" t="str">
        <f>TRIM(SUBSTITUTE(PROPER(C1330)&amp;" "&amp;IF(OR(D1330="County",D1330="Township",D1330="Village",D1330="Charter Township"),D1330,"")&amp;IF(D1330="Township"," "&amp;"("&amp;VLOOKUP(A1330,counties,3,0)&amp;")",""),"  "," "))</f>
        <v>Gerald R. Ford International Airport Authority</v>
      </c>
    </row>
    <row r="1331" spans="1:8" ht="15.75" thickBot="1" x14ac:dyDescent="0.3">
      <c r="A1331">
        <f t="shared" si="21"/>
        <v>41</v>
      </c>
      <c r="B1331" s="8">
        <v>2016</v>
      </c>
      <c r="C1331" s="1" t="s">
        <v>1193</v>
      </c>
      <c r="D1331" s="1" t="s">
        <v>15</v>
      </c>
      <c r="E1331" s="2" t="s">
        <v>7</v>
      </c>
      <c r="F1331" s="9" t="s">
        <v>8</v>
      </c>
      <c r="H1331" t="str">
        <f>TRIM(SUBSTITUTE(PROPER(C1331)&amp;" "&amp;IF(OR(D1331="County",D1331="Township",D1331="Village",D1331="Charter Township"),D1331,"")&amp;IF(D1331="Township"," "&amp;"("&amp;VLOOKUP(A1331,counties,3,0)&amp;")",""),"  "," "))</f>
        <v>Grand Rapids</v>
      </c>
    </row>
    <row r="1332" spans="1:8" ht="15.75" thickBot="1" x14ac:dyDescent="0.3">
      <c r="A1332">
        <f t="shared" si="21"/>
        <v>41</v>
      </c>
      <c r="B1332" s="10">
        <v>2016</v>
      </c>
      <c r="C1332" s="3" t="s">
        <v>1194</v>
      </c>
      <c r="D1332" s="3" t="s">
        <v>9</v>
      </c>
      <c r="E1332" s="4" t="s">
        <v>7</v>
      </c>
      <c r="F1332" s="11" t="s">
        <v>8</v>
      </c>
      <c r="H1332" t="str">
        <f>TRIM(SUBSTITUTE(PROPER(C1332)&amp;" "&amp;IF(OR(D1332="County",D1332="Township",D1332="Village",D1332="Charter Township"),D1332,"")&amp;IF(D1332="Township"," "&amp;"("&amp;VLOOKUP(A1332,counties,3,0)&amp;")",""),"  "," "))</f>
        <v>Grand Rapids Charter Township (Kent County)</v>
      </c>
    </row>
    <row r="1333" spans="1:8" ht="15.75" thickBot="1" x14ac:dyDescent="0.3">
      <c r="A1333">
        <f t="shared" si="21"/>
        <v>41</v>
      </c>
      <c r="B1333" s="8">
        <v>2016</v>
      </c>
      <c r="C1333" s="1" t="s">
        <v>1195</v>
      </c>
      <c r="D1333" s="1" t="s">
        <v>17</v>
      </c>
      <c r="E1333" s="2" t="s">
        <v>7</v>
      </c>
      <c r="F1333" s="9" t="s">
        <v>8</v>
      </c>
      <c r="H1333" t="str">
        <f>TRIM(SUBSTITUTE(PROPER(C1333)&amp;" "&amp;IF(OR(D1333="County",D1333="Township",D1333="Village",D1333="Charter Township"),D1333,"")&amp;IF(D1333="Township"," "&amp;"("&amp;VLOOKUP(A1333,counties,3,0)&amp;")",""),"  "," "))</f>
        <v>Grand Rapids City Brownfield Redevelopment Auth</v>
      </c>
    </row>
    <row r="1334" spans="1:8" ht="15.75" thickBot="1" x14ac:dyDescent="0.3">
      <c r="A1334">
        <f t="shared" si="21"/>
        <v>41</v>
      </c>
      <c r="B1334" s="10">
        <v>2016</v>
      </c>
      <c r="C1334" s="3" t="s">
        <v>1196</v>
      </c>
      <c r="D1334" s="3" t="s">
        <v>17</v>
      </c>
      <c r="E1334" s="4" t="s">
        <v>7</v>
      </c>
      <c r="F1334" s="11" t="s">
        <v>8</v>
      </c>
      <c r="H1334" t="str">
        <f>TRIM(SUBSTITUTE(PROPER(C1334)&amp;" "&amp;IF(OR(D1334="County",D1334="Township",D1334="Village",D1334="Charter Township"),D1334,"")&amp;IF(D1334="Township"," "&amp;"("&amp;VLOOKUP(A1334,counties,3,0)&amp;")",""),"  "," "))</f>
        <v>Grand Rapids City Building Authority</v>
      </c>
    </row>
    <row r="1335" spans="1:8" ht="15.75" thickBot="1" x14ac:dyDescent="0.3">
      <c r="A1335">
        <f t="shared" si="21"/>
        <v>41</v>
      </c>
      <c r="B1335" s="8">
        <v>2016</v>
      </c>
      <c r="C1335" s="1" t="s">
        <v>1197</v>
      </c>
      <c r="D1335" s="1" t="s">
        <v>17</v>
      </c>
      <c r="E1335" s="2" t="s">
        <v>7</v>
      </c>
      <c r="F1335" s="9" t="s">
        <v>8</v>
      </c>
      <c r="H1335" t="str">
        <f>TRIM(SUBSTITUTE(PROPER(C1335)&amp;" "&amp;IF(OR(D1335="County",D1335="Township",D1335="Village",D1335="Charter Township"),D1335,"")&amp;IF(D1335="Township"," "&amp;"("&amp;VLOOKUP(A1335,counties,3,0)&amp;")",""),"  "," "))</f>
        <v>Grand Rapids City Housing Commission</v>
      </c>
    </row>
    <row r="1336" spans="1:8" ht="15.75" thickBot="1" x14ac:dyDescent="0.3">
      <c r="A1336">
        <f t="shared" si="21"/>
        <v>41</v>
      </c>
      <c r="B1336" s="10">
        <v>2016</v>
      </c>
      <c r="C1336" s="3" t="s">
        <v>1198</v>
      </c>
      <c r="D1336" s="3" t="s">
        <v>88</v>
      </c>
      <c r="E1336" s="4" t="s">
        <v>7</v>
      </c>
      <c r="F1336" s="11" t="s">
        <v>8</v>
      </c>
      <c r="H1336" t="str">
        <f>TRIM(SUBSTITUTE(PROPER(C1336)&amp;" "&amp;IF(OR(D1336="County",D1336="Township",D1336="Village",D1336="Charter Township"),D1336,"")&amp;IF(D1336="Township"," "&amp;"("&amp;VLOOKUP(A1336,counties,3,0)&amp;")",""),"  "," "))</f>
        <v>Grand Rapids Community College</v>
      </c>
    </row>
    <row r="1337" spans="1:8" ht="15.75" thickBot="1" x14ac:dyDescent="0.3">
      <c r="A1337">
        <f t="shared" si="21"/>
        <v>41</v>
      </c>
      <c r="B1337" s="8">
        <v>2016</v>
      </c>
      <c r="C1337" s="1" t="s">
        <v>1199</v>
      </c>
      <c r="D1337" s="1" t="s">
        <v>17</v>
      </c>
      <c r="E1337" s="2" t="s">
        <v>7</v>
      </c>
      <c r="F1337" s="9" t="s">
        <v>8</v>
      </c>
      <c r="H1337" t="str">
        <f>TRIM(SUBSTITUTE(PROPER(C1337)&amp;" "&amp;IF(OR(D1337="County",D1337="Township",D1337="Village",D1337="Charter Township"),D1337,"")&amp;IF(D1337="Township"," "&amp;"("&amp;VLOOKUP(A1337,counties,3,0)&amp;")",""),"  "," "))</f>
        <v>Grand Rapids Downtown Development Authority</v>
      </c>
    </row>
    <row r="1338" spans="1:8" ht="15.75" thickBot="1" x14ac:dyDescent="0.3">
      <c r="A1338">
        <f t="shared" si="21"/>
        <v>41</v>
      </c>
      <c r="B1338" s="10">
        <v>2016</v>
      </c>
      <c r="C1338" s="3" t="s">
        <v>1200</v>
      </c>
      <c r="D1338" s="3" t="s">
        <v>17</v>
      </c>
      <c r="E1338" s="4" t="s">
        <v>7</v>
      </c>
      <c r="F1338" s="11" t="s">
        <v>8</v>
      </c>
      <c r="H1338" t="str">
        <f>TRIM(SUBSTITUTE(PROPER(C1338)&amp;" "&amp;IF(OR(D1338="County",D1338="Township",D1338="Village",D1338="Charter Township"),D1338,"")&amp;IF(D1338="Township"," "&amp;"("&amp;VLOOKUP(A1338,counties,3,0)&amp;")",""),"  "," "))</f>
        <v>Grand Rapids Smartzone Ldfa</v>
      </c>
    </row>
    <row r="1339" spans="1:8" ht="15.75" thickBot="1" x14ac:dyDescent="0.3">
      <c r="A1339">
        <f t="shared" si="21"/>
        <v>41</v>
      </c>
      <c r="B1339" s="8">
        <v>2016</v>
      </c>
      <c r="C1339" s="1" t="s">
        <v>1201</v>
      </c>
      <c r="D1339" s="1" t="s">
        <v>17</v>
      </c>
      <c r="E1339" s="2" t="s">
        <v>7</v>
      </c>
      <c r="F1339" s="9" t="s">
        <v>8</v>
      </c>
      <c r="H1339" t="str">
        <f>TRIM(SUBSTITUTE(PROPER(C1339)&amp;" "&amp;IF(OR(D1339="County",D1339="Township",D1339="Village",D1339="Charter Township"),D1339,"")&amp;IF(D1339="Township"," "&amp;"("&amp;VLOOKUP(A1339,counties,3,0)&amp;")",""),"  "," "))</f>
        <v>Grand Rapids Tax Increment Financing Authority</v>
      </c>
    </row>
    <row r="1340" spans="1:8" ht="15.75" thickBot="1" x14ac:dyDescent="0.3">
      <c r="A1340">
        <f t="shared" si="21"/>
        <v>41</v>
      </c>
      <c r="B1340" s="10">
        <v>2016</v>
      </c>
      <c r="C1340" s="3" t="s">
        <v>1202</v>
      </c>
      <c r="D1340" s="3" t="s">
        <v>17</v>
      </c>
      <c r="E1340" s="4" t="s">
        <v>7</v>
      </c>
      <c r="F1340" s="11" t="s">
        <v>8</v>
      </c>
      <c r="H1340" t="str">
        <f>TRIM(SUBSTITUTE(PROPER(C1340)&amp;" "&amp;IF(OR(D1340="County",D1340="Township",D1340="Village",D1340="Charter Township"),D1340,"")&amp;IF(D1340="Township"," "&amp;"("&amp;VLOOKUP(A1340,counties,3,0)&amp;")",""),"  "," "))</f>
        <v>Grand Rapids-Kent Co Convention-Arena Authority</v>
      </c>
    </row>
    <row r="1341" spans="1:8" ht="15.75" thickBot="1" x14ac:dyDescent="0.3">
      <c r="A1341">
        <f t="shared" si="21"/>
        <v>41</v>
      </c>
      <c r="B1341" s="8">
        <v>2016</v>
      </c>
      <c r="C1341" s="1" t="s">
        <v>1203</v>
      </c>
      <c r="D1341" s="1" t="s">
        <v>17</v>
      </c>
      <c r="E1341" s="2" t="s">
        <v>7</v>
      </c>
      <c r="F1341" s="9" t="s">
        <v>8</v>
      </c>
      <c r="H1341" t="str">
        <f>TRIM(SUBSTITUTE(PROPER(C1341)&amp;" "&amp;IF(OR(D1341="County",D1341="Township",D1341="Village",D1341="Charter Township"),D1341,"")&amp;IF(D1341="Township"," "&amp;"("&amp;VLOOKUP(A1341,counties,3,0)&amp;")",""),"  "," "))</f>
        <v>Grand Valley Metropolitan Council</v>
      </c>
    </row>
    <row r="1342" spans="1:8" ht="15.75" thickBot="1" x14ac:dyDescent="0.3">
      <c r="A1342">
        <f t="shared" si="21"/>
        <v>41</v>
      </c>
      <c r="B1342" s="10">
        <v>2016</v>
      </c>
      <c r="C1342" s="3" t="s">
        <v>1204</v>
      </c>
      <c r="D1342" s="3" t="s">
        <v>17</v>
      </c>
      <c r="E1342" s="4" t="s">
        <v>7</v>
      </c>
      <c r="F1342" s="11" t="s">
        <v>8</v>
      </c>
      <c r="H1342" t="str">
        <f>TRIM(SUBSTITUTE(PROPER(C1342)&amp;" "&amp;IF(OR(D1342="County",D1342="Township",D1342="Village",D1342="Charter Township"),D1342,"")&amp;IF(D1342="Township"," "&amp;"("&amp;VLOOKUP(A1342,counties,3,0)&amp;")",""),"  "," "))</f>
        <v>Grand Valley Regional Biosolids Authority</v>
      </c>
    </row>
    <row r="1343" spans="1:8" ht="15.75" thickBot="1" x14ac:dyDescent="0.3">
      <c r="A1343">
        <f t="shared" si="21"/>
        <v>41</v>
      </c>
      <c r="B1343" s="8">
        <v>2016</v>
      </c>
      <c r="C1343" s="1" t="s">
        <v>1205</v>
      </c>
      <c r="D1343" s="1" t="s">
        <v>15</v>
      </c>
      <c r="E1343" s="2" t="s">
        <v>7</v>
      </c>
      <c r="F1343" s="9" t="s">
        <v>8</v>
      </c>
      <c r="H1343" t="str">
        <f>TRIM(SUBSTITUTE(PROPER(C1343)&amp;" "&amp;IF(OR(D1343="County",D1343="Township",D1343="Village",D1343="Charter Township"),D1343,"")&amp;IF(D1343="Township"," "&amp;"("&amp;VLOOKUP(A1343,counties,3,0)&amp;")",""),"  "," "))</f>
        <v>Grandville</v>
      </c>
    </row>
    <row r="1344" spans="1:8" ht="15.75" thickBot="1" x14ac:dyDescent="0.3">
      <c r="A1344">
        <f t="shared" si="21"/>
        <v>41</v>
      </c>
      <c r="B1344" s="10">
        <v>2016</v>
      </c>
      <c r="C1344" s="3" t="s">
        <v>1206</v>
      </c>
      <c r="D1344" s="3" t="s">
        <v>9</v>
      </c>
      <c r="E1344" s="4" t="s">
        <v>7</v>
      </c>
      <c r="F1344" s="11" t="s">
        <v>19</v>
      </c>
      <c r="H1344" t="str">
        <f>TRIM(SUBSTITUTE(PROPER(C1344)&amp;" "&amp;IF(OR(D1344="County",D1344="Township",D1344="Village",D1344="Charter Township"),D1344,"")&amp;IF(D1344="Township"," "&amp;"("&amp;VLOOKUP(A1344,counties,3,0)&amp;")",""),"  "," "))</f>
        <v>Grattan Township (Kent County)</v>
      </c>
    </row>
    <row r="1345" spans="1:8" ht="15.75" thickBot="1" x14ac:dyDescent="0.3">
      <c r="A1345">
        <f t="shared" si="21"/>
        <v>41</v>
      </c>
      <c r="B1345" s="8">
        <v>2016</v>
      </c>
      <c r="C1345" s="1" t="s">
        <v>1207</v>
      </c>
      <c r="D1345" s="1" t="s">
        <v>17</v>
      </c>
      <c r="E1345" s="2" t="s">
        <v>7</v>
      </c>
      <c r="F1345" s="9" t="s">
        <v>8</v>
      </c>
      <c r="H1345" t="str">
        <f>TRIM(SUBSTITUTE(PROPER(C1345)&amp;" "&amp;IF(OR(D1345="County",D1345="Township",D1345="Village",D1345="Charter Township"),D1345,"")&amp;IF(D1345="Township"," "&amp;"("&amp;VLOOKUP(A1345,counties,3,0)&amp;")",""),"  "," "))</f>
        <v>Interurban Transit Partnership</v>
      </c>
    </row>
    <row r="1346" spans="1:8" ht="15.75" thickBot="1" x14ac:dyDescent="0.3">
      <c r="A1346">
        <f t="shared" si="21"/>
        <v>41</v>
      </c>
      <c r="B1346" s="10">
        <v>2016</v>
      </c>
      <c r="C1346" s="3" t="s">
        <v>1208</v>
      </c>
      <c r="D1346" s="3" t="s">
        <v>6</v>
      </c>
      <c r="E1346" s="4" t="s">
        <v>7</v>
      </c>
      <c r="F1346" s="11" t="s">
        <v>8</v>
      </c>
      <c r="H1346" t="str">
        <f>TRIM(SUBSTITUTE(PROPER(C1346)&amp;" "&amp;IF(OR(D1346="County",D1346="Township",D1346="Village",D1346="Charter Township"),D1346,"")&amp;IF(D1346="Township"," "&amp;"("&amp;VLOOKUP(A1346,counties,3,0)&amp;")",""),"  "," "))</f>
        <v>Kent County</v>
      </c>
    </row>
    <row r="1347" spans="1:8" ht="15.75" thickBot="1" x14ac:dyDescent="0.3">
      <c r="A1347">
        <f t="shared" ref="A1347:A1410" si="22">IF(B1347="Year",A1346+1,A1346)</f>
        <v>41</v>
      </c>
      <c r="B1347" s="8">
        <v>2016</v>
      </c>
      <c r="C1347" s="1" t="s">
        <v>1209</v>
      </c>
      <c r="D1347" s="1" t="s">
        <v>21</v>
      </c>
      <c r="E1347" s="2" t="s">
        <v>7</v>
      </c>
      <c r="F1347" s="9" t="s">
        <v>19</v>
      </c>
      <c r="H1347" t="str">
        <f>TRIM(SUBSTITUTE(PROPER(C1347)&amp;" "&amp;IF(OR(D1347="County",D1347="Township",D1347="Village",D1347="Charter Township"),D1347,"")&amp;IF(D1347="Township"," "&amp;"("&amp;VLOOKUP(A1347,counties,3,0)&amp;")",""),"  "," "))</f>
        <v>Kent City Village</v>
      </c>
    </row>
    <row r="1348" spans="1:8" ht="15.75" thickBot="1" x14ac:dyDescent="0.3">
      <c r="A1348">
        <f t="shared" si="22"/>
        <v>41</v>
      </c>
      <c r="B1348" s="10">
        <v>2016</v>
      </c>
      <c r="C1348" s="3" t="s">
        <v>1210</v>
      </c>
      <c r="D1348" s="3" t="s">
        <v>72</v>
      </c>
      <c r="E1348" s="4" t="s">
        <v>7</v>
      </c>
      <c r="F1348" s="11" t="s">
        <v>8</v>
      </c>
      <c r="H1348" t="str">
        <f>TRIM(SUBSTITUTE(PROPER(C1348)&amp;" "&amp;IF(OR(D1348="County",D1348="Township",D1348="Village",D1348="Charter Township"),D1348,"")&amp;IF(D1348="Township"," "&amp;"("&amp;VLOOKUP(A1348,counties,3,0)&amp;")",""),"  "," "))</f>
        <v>Kent Co Voluntary Employee'S Beneficiary Assn</v>
      </c>
    </row>
    <row r="1349" spans="1:8" ht="15.75" thickBot="1" x14ac:dyDescent="0.3">
      <c r="A1349">
        <f t="shared" si="22"/>
        <v>41</v>
      </c>
      <c r="B1349" s="8">
        <v>2016</v>
      </c>
      <c r="C1349" s="1" t="s">
        <v>1211</v>
      </c>
      <c r="D1349" s="1" t="s">
        <v>17</v>
      </c>
      <c r="E1349" s="2" t="s">
        <v>7</v>
      </c>
      <c r="F1349" s="9" t="s">
        <v>8</v>
      </c>
      <c r="H1349" t="str">
        <f>TRIM(SUBSTITUTE(PROPER(C1349)&amp;" "&amp;IF(OR(D1349="County",D1349="Township",D1349="Village",D1349="Charter Township"),D1349,"")&amp;IF(D1349="Township"," "&amp;"("&amp;VLOOKUP(A1349,counties,3,0)&amp;")",""),"  "," "))</f>
        <v>Kent County Cmh Authority</v>
      </c>
    </row>
    <row r="1350" spans="1:8" ht="15.75" thickBot="1" x14ac:dyDescent="0.3">
      <c r="A1350">
        <f t="shared" si="22"/>
        <v>41</v>
      </c>
      <c r="B1350" s="10">
        <v>2016</v>
      </c>
      <c r="C1350" s="3" t="s">
        <v>1212</v>
      </c>
      <c r="D1350" s="3" t="s">
        <v>17</v>
      </c>
      <c r="E1350" s="4" t="s">
        <v>7</v>
      </c>
      <c r="F1350" s="11" t="s">
        <v>8</v>
      </c>
      <c r="H1350" t="str">
        <f>TRIM(SUBSTITUTE(PROPER(C1350)&amp;" "&amp;IF(OR(D1350="County",D1350="Township",D1350="Village",D1350="Charter Township"),D1350,"")&amp;IF(D1350="Township"," "&amp;"("&amp;VLOOKUP(A1350,counties,3,0)&amp;")",""),"  "," "))</f>
        <v>Kent County Dispatch Authority</v>
      </c>
    </row>
    <row r="1351" spans="1:8" ht="15.75" thickBot="1" x14ac:dyDescent="0.3">
      <c r="A1351">
        <f t="shared" si="22"/>
        <v>41</v>
      </c>
      <c r="B1351" s="8">
        <v>2016</v>
      </c>
      <c r="C1351" s="1" t="s">
        <v>1213</v>
      </c>
      <c r="D1351" s="1" t="s">
        <v>17</v>
      </c>
      <c r="E1351" s="2" t="s">
        <v>7</v>
      </c>
      <c r="F1351" s="9" t="s">
        <v>8</v>
      </c>
      <c r="H1351" t="str">
        <f>TRIM(SUBSTITUTE(PROPER(C1351)&amp;" "&amp;IF(OR(D1351="County",D1351="Township",D1351="Village",D1351="Charter Township"),D1351,"")&amp;IF(D1351="Township"," "&amp;"("&amp;VLOOKUP(A1351,counties,3,0)&amp;")",""),"  "," "))</f>
        <v>Kent County Employees Retirement Plan</v>
      </c>
    </row>
    <row r="1352" spans="1:8" ht="15.75" thickBot="1" x14ac:dyDescent="0.3">
      <c r="A1352">
        <f t="shared" si="22"/>
        <v>41</v>
      </c>
      <c r="B1352" s="10">
        <v>2016</v>
      </c>
      <c r="C1352" s="3" t="s">
        <v>1214</v>
      </c>
      <c r="D1352" s="3" t="s">
        <v>17</v>
      </c>
      <c r="E1352" s="4" t="s">
        <v>7</v>
      </c>
      <c r="F1352" s="11" t="s">
        <v>8</v>
      </c>
      <c r="H1352" t="str">
        <f>TRIM(SUBSTITUTE(PROPER(C1352)&amp;" "&amp;IF(OR(D1352="County",D1352="Township",D1352="Village",D1352="Charter Township"),D1352,"")&amp;IF(D1352="Township"," "&amp;"("&amp;VLOOKUP(A1352,counties,3,0)&amp;")",""),"  "," "))</f>
        <v>Kent County Land Bank Authority</v>
      </c>
    </row>
    <row r="1353" spans="1:8" ht="15.75" thickBot="1" x14ac:dyDescent="0.3">
      <c r="A1353">
        <f t="shared" si="22"/>
        <v>41</v>
      </c>
      <c r="B1353" s="8">
        <v>2016</v>
      </c>
      <c r="C1353" s="1" t="s">
        <v>1215</v>
      </c>
      <c r="D1353" s="1" t="s">
        <v>11</v>
      </c>
      <c r="E1353" s="2" t="s">
        <v>7</v>
      </c>
      <c r="F1353" s="9" t="s">
        <v>8</v>
      </c>
      <c r="H1353" t="str">
        <f>TRIM(SUBSTITUTE(PROPER(C1353)&amp;" "&amp;IF(OR(D1353="County",D1353="Township",D1353="Village",D1353="Charter Township"),D1353,"")&amp;IF(D1353="Township"," "&amp;"("&amp;VLOOKUP(A1353,counties,3,0)&amp;")",""),"  "," "))</f>
        <v>Kent County Road Commission</v>
      </c>
    </row>
    <row r="1354" spans="1:8" ht="15.75" thickBot="1" x14ac:dyDescent="0.3">
      <c r="A1354">
        <f t="shared" si="22"/>
        <v>41</v>
      </c>
      <c r="B1354" s="10">
        <v>2016</v>
      </c>
      <c r="C1354" s="3" t="s">
        <v>1216</v>
      </c>
      <c r="D1354" s="3" t="s">
        <v>42</v>
      </c>
      <c r="E1354" s="4" t="s">
        <v>7</v>
      </c>
      <c r="F1354" s="11" t="s">
        <v>8</v>
      </c>
      <c r="H1354" t="str">
        <f>TRIM(SUBSTITUTE(PROPER(C1354)&amp;" "&amp;IF(OR(D1354="County",D1354="Township",D1354="Village",D1354="Charter Township"),D1354,"")&amp;IF(D1354="Township"," "&amp;"("&amp;VLOOKUP(A1354,counties,3,0)&amp;")",""),"  "," "))</f>
        <v>Kent District Library</v>
      </c>
    </row>
    <row r="1355" spans="1:8" ht="21.75" thickBot="1" x14ac:dyDescent="0.3">
      <c r="A1355">
        <f t="shared" si="22"/>
        <v>41</v>
      </c>
      <c r="B1355" s="8">
        <v>2016</v>
      </c>
      <c r="C1355" s="1" t="s">
        <v>1217</v>
      </c>
      <c r="D1355" s="1" t="s">
        <v>425</v>
      </c>
      <c r="E1355" s="2" t="s">
        <v>7</v>
      </c>
      <c r="F1355" s="9" t="s">
        <v>8</v>
      </c>
      <c r="H1355" t="str">
        <f>TRIM(SUBSTITUTE(PROPER(C1355)&amp;" "&amp;IF(OR(D1355="County",D1355="Township",D1355="Village",D1355="Charter Township"),D1355,"")&amp;IF(D1355="Township"," "&amp;"("&amp;VLOOKUP(A1355,counties,3,0)&amp;")",""),"  "," "))</f>
        <v>Kent Hospital Finance Authority</v>
      </c>
    </row>
    <row r="1356" spans="1:8" ht="15.75" thickBot="1" x14ac:dyDescent="0.3">
      <c r="A1356">
        <f t="shared" si="22"/>
        <v>41</v>
      </c>
      <c r="B1356" s="10">
        <v>2016</v>
      </c>
      <c r="C1356" s="3" t="s">
        <v>1218</v>
      </c>
      <c r="D1356" s="3" t="s">
        <v>15</v>
      </c>
      <c r="E1356" s="4" t="s">
        <v>7</v>
      </c>
      <c r="F1356" s="11" t="s">
        <v>8</v>
      </c>
      <c r="H1356" t="str">
        <f>TRIM(SUBSTITUTE(PROPER(C1356)&amp;" "&amp;IF(OR(D1356="County",D1356="Township",D1356="Village",D1356="Charter Township"),D1356,"")&amp;IF(D1356="Township"," "&amp;"("&amp;VLOOKUP(A1356,counties,3,0)&amp;")",""),"  "," "))</f>
        <v>Kentwood</v>
      </c>
    </row>
    <row r="1357" spans="1:8" ht="15.75" thickBot="1" x14ac:dyDescent="0.3">
      <c r="A1357">
        <f t="shared" si="22"/>
        <v>41</v>
      </c>
      <c r="B1357" s="8">
        <v>2016</v>
      </c>
      <c r="C1357" s="1" t="s">
        <v>1219</v>
      </c>
      <c r="D1357" s="1" t="s">
        <v>42</v>
      </c>
      <c r="E1357" s="2" t="s">
        <v>7</v>
      </c>
      <c r="F1357" s="9" t="s">
        <v>8</v>
      </c>
      <c r="H1357" t="str">
        <f>TRIM(SUBSTITUTE(PROPER(C1357)&amp;" "&amp;IF(OR(D1357="County",D1357="Township",D1357="Village",D1357="Charter Township"),D1357,"")&amp;IF(D1357="Township"," "&amp;"("&amp;VLOOKUP(A1357,counties,3,0)&amp;")",""),"  "," "))</f>
        <v>Lakeland Library Cooperative</v>
      </c>
    </row>
    <row r="1358" spans="1:8" ht="15.75" thickBot="1" x14ac:dyDescent="0.3">
      <c r="A1358">
        <f t="shared" si="22"/>
        <v>41</v>
      </c>
      <c r="B1358" s="10">
        <v>2016</v>
      </c>
      <c r="C1358" s="3" t="s">
        <v>1220</v>
      </c>
      <c r="D1358" s="3" t="s">
        <v>15</v>
      </c>
      <c r="E1358" s="4" t="s">
        <v>7</v>
      </c>
      <c r="F1358" s="11" t="s">
        <v>8</v>
      </c>
      <c r="H1358" t="str">
        <f>TRIM(SUBSTITUTE(PROPER(C1358)&amp;" "&amp;IF(OR(D1358="County",D1358="Township",D1358="Village",D1358="Charter Township"),D1358,"")&amp;IF(D1358="Township"," "&amp;"("&amp;VLOOKUP(A1358,counties,3,0)&amp;")",""),"  "," "))</f>
        <v>Lowell</v>
      </c>
    </row>
    <row r="1359" spans="1:8" ht="15.75" thickBot="1" x14ac:dyDescent="0.3">
      <c r="A1359">
        <f t="shared" si="22"/>
        <v>41</v>
      </c>
      <c r="B1359" s="8">
        <v>2016</v>
      </c>
      <c r="C1359" s="1" t="s">
        <v>1221</v>
      </c>
      <c r="D1359" s="1" t="s">
        <v>17</v>
      </c>
      <c r="E1359" s="2" t="s">
        <v>7</v>
      </c>
      <c r="F1359" s="9" t="s">
        <v>8</v>
      </c>
      <c r="H1359" t="str">
        <f>TRIM(SUBSTITUTE(PROPER(C1359)&amp;" "&amp;IF(OR(D1359="County",D1359="Township",D1359="Village",D1359="Charter Township"),D1359,"")&amp;IF(D1359="Township"," "&amp;"("&amp;VLOOKUP(A1359,counties,3,0)&amp;")",""),"  "," "))</f>
        <v>Lowell Area Fire &amp; Emergency Services Authority</v>
      </c>
    </row>
    <row r="1360" spans="1:8" ht="15.75" thickBot="1" x14ac:dyDescent="0.3">
      <c r="A1360">
        <f t="shared" si="22"/>
        <v>41</v>
      </c>
      <c r="B1360" s="10">
        <v>2016</v>
      </c>
      <c r="C1360" s="3" t="s">
        <v>1222</v>
      </c>
      <c r="D1360" s="3" t="s">
        <v>72</v>
      </c>
      <c r="E1360" s="4" t="s">
        <v>7</v>
      </c>
      <c r="F1360" s="11" t="s">
        <v>8</v>
      </c>
      <c r="H1360" t="str">
        <f>TRIM(SUBSTITUTE(PROPER(C1360)&amp;" "&amp;IF(OR(D1360="County",D1360="Township",D1360="Village",D1360="Charter Township"),D1360,"")&amp;IF(D1360="Township"," "&amp;"("&amp;VLOOKUP(A1360,counties,3,0)&amp;")",""),"  "," "))</f>
        <v>Lowell Area Recreation Authority</v>
      </c>
    </row>
    <row r="1361" spans="1:8" ht="15.75" thickBot="1" x14ac:dyDescent="0.3">
      <c r="A1361">
        <f t="shared" si="22"/>
        <v>41</v>
      </c>
      <c r="B1361" s="8">
        <v>2016</v>
      </c>
      <c r="C1361" s="1" t="s">
        <v>1223</v>
      </c>
      <c r="D1361" s="1" t="s">
        <v>9</v>
      </c>
      <c r="E1361" s="2" t="s">
        <v>7</v>
      </c>
      <c r="F1361" s="9" t="s">
        <v>8</v>
      </c>
      <c r="H1361" t="str">
        <f>TRIM(SUBSTITUTE(PROPER(C1361)&amp;" "&amp;IF(OR(D1361="County",D1361="Township",D1361="Village",D1361="Charter Township"),D1361,"")&amp;IF(D1361="Township"," "&amp;"("&amp;VLOOKUP(A1361,counties,3,0)&amp;")",""),"  "," "))</f>
        <v>Lowell Charter Township (Kent County)</v>
      </c>
    </row>
    <row r="1362" spans="1:8" ht="15.75" thickBot="1" x14ac:dyDescent="0.3">
      <c r="A1362">
        <f t="shared" si="22"/>
        <v>41</v>
      </c>
      <c r="B1362" s="10">
        <v>2016</v>
      </c>
      <c r="C1362" s="3" t="s">
        <v>1224</v>
      </c>
      <c r="D1362" s="3" t="s">
        <v>17</v>
      </c>
      <c r="E1362" s="4" t="s">
        <v>7</v>
      </c>
      <c r="F1362" s="11" t="s">
        <v>8</v>
      </c>
      <c r="H1362" t="str">
        <f>TRIM(SUBSTITUTE(PROPER(C1362)&amp;" "&amp;IF(OR(D1362="County",D1362="Township",D1362="Village",D1362="Charter Township"),D1362,"")&amp;IF(D1362="Township"," "&amp;"("&amp;VLOOKUP(A1362,counties,3,0)&amp;")",""),"  "," "))</f>
        <v>Lowell Light &amp; Power And Lowell Cable Television</v>
      </c>
    </row>
    <row r="1363" spans="1:8" ht="15.75" thickBot="1" x14ac:dyDescent="0.3">
      <c r="A1363">
        <f t="shared" si="22"/>
        <v>41</v>
      </c>
      <c r="B1363" s="8">
        <v>2016</v>
      </c>
      <c r="C1363" s="1" t="s">
        <v>1225</v>
      </c>
      <c r="D1363" s="1" t="s">
        <v>17</v>
      </c>
      <c r="E1363" s="2" t="s">
        <v>7</v>
      </c>
      <c r="F1363" s="9" t="s">
        <v>8</v>
      </c>
      <c r="H1363" t="str">
        <f>TRIM(SUBSTITUTE(PROPER(C1363)&amp;" "&amp;IF(OR(D1363="County",D1363="Township",D1363="Village",D1363="Charter Township"),D1363,"")&amp;IF(D1363="Township"," "&amp;"("&amp;VLOOKUP(A1363,counties,3,0)&amp;")",""),"  "," "))</f>
        <v>Metropolitan Enforcement Team-Met</v>
      </c>
    </row>
    <row r="1364" spans="1:8" ht="15.75" thickBot="1" x14ac:dyDescent="0.3">
      <c r="A1364">
        <f t="shared" si="22"/>
        <v>41</v>
      </c>
      <c r="B1364" s="10">
        <v>2016</v>
      </c>
      <c r="C1364" s="3" t="s">
        <v>1226</v>
      </c>
      <c r="D1364" s="3" t="s">
        <v>9</v>
      </c>
      <c r="E1364" s="4" t="s">
        <v>7</v>
      </c>
      <c r="F1364" s="11" t="s">
        <v>8</v>
      </c>
      <c r="H1364" t="str">
        <f>TRIM(SUBSTITUTE(PROPER(C1364)&amp;" "&amp;IF(OR(D1364="County",D1364="Township",D1364="Village",D1364="Charter Township"),D1364,"")&amp;IF(D1364="Township"," "&amp;"("&amp;VLOOKUP(A1364,counties,3,0)&amp;")",""),"  "," "))</f>
        <v>Nelson Township (Kent County)</v>
      </c>
    </row>
    <row r="1365" spans="1:8" ht="15.75" thickBot="1" x14ac:dyDescent="0.3">
      <c r="A1365">
        <f t="shared" si="22"/>
        <v>41</v>
      </c>
      <c r="B1365" s="8">
        <v>2016</v>
      </c>
      <c r="C1365" s="1" t="s">
        <v>1227</v>
      </c>
      <c r="D1365" s="1" t="s">
        <v>17</v>
      </c>
      <c r="E1365" s="2" t="s">
        <v>7</v>
      </c>
      <c r="F1365" s="9" t="s">
        <v>8</v>
      </c>
      <c r="H1365" t="str">
        <f>TRIM(SUBSTITUTE(PROPER(C1365)&amp;" "&amp;IF(OR(D1365="County",D1365="Township",D1365="Village",D1365="Charter Township"),D1365,"")&amp;IF(D1365="Township"," "&amp;"("&amp;VLOOKUP(A1365,counties,3,0)&amp;")",""),"  "," "))</f>
        <v>North Kent Sewer Authority</v>
      </c>
    </row>
    <row r="1366" spans="1:8" ht="15.75" thickBot="1" x14ac:dyDescent="0.3">
      <c r="A1366">
        <f t="shared" si="22"/>
        <v>41</v>
      </c>
      <c r="B1366" s="10">
        <v>2016</v>
      </c>
      <c r="C1366" s="3" t="s">
        <v>1228</v>
      </c>
      <c r="D1366" s="3" t="s">
        <v>9</v>
      </c>
      <c r="E1366" s="4" t="s">
        <v>7</v>
      </c>
      <c r="F1366" s="11" t="s">
        <v>19</v>
      </c>
      <c r="H1366" t="str">
        <f>TRIM(SUBSTITUTE(PROPER(C1366)&amp;" "&amp;IF(OR(D1366="County",D1366="Township",D1366="Village",D1366="Charter Township"),D1366,"")&amp;IF(D1366="Township"," "&amp;"("&amp;VLOOKUP(A1366,counties,3,0)&amp;")",""),"  "," "))</f>
        <v>Oakfield Township (Kent County)</v>
      </c>
    </row>
    <row r="1367" spans="1:8" ht="15.75" thickBot="1" x14ac:dyDescent="0.3">
      <c r="A1367">
        <f t="shared" si="22"/>
        <v>41</v>
      </c>
      <c r="B1367" s="8">
        <v>2016</v>
      </c>
      <c r="C1367" s="1" t="s">
        <v>1229</v>
      </c>
      <c r="D1367" s="1" t="s">
        <v>9</v>
      </c>
      <c r="E1367" s="2" t="s">
        <v>7</v>
      </c>
      <c r="F1367" s="9" t="s">
        <v>8</v>
      </c>
      <c r="H1367" t="str">
        <f>TRIM(SUBSTITUTE(PROPER(C1367)&amp;" "&amp;IF(OR(D1367="County",D1367="Township",D1367="Village",D1367="Charter Township"),D1367,"")&amp;IF(D1367="Township"," "&amp;"("&amp;VLOOKUP(A1367,counties,3,0)&amp;")",""),"  "," "))</f>
        <v>Plainfield Charter Township (Kent County)</v>
      </c>
    </row>
    <row r="1368" spans="1:8" ht="15.75" thickBot="1" x14ac:dyDescent="0.3">
      <c r="A1368">
        <f t="shared" si="22"/>
        <v>41</v>
      </c>
      <c r="B1368" s="10">
        <v>2016</v>
      </c>
      <c r="C1368" s="3" t="s">
        <v>1230</v>
      </c>
      <c r="D1368" s="3" t="s">
        <v>15</v>
      </c>
      <c r="E1368" s="4" t="s">
        <v>7</v>
      </c>
      <c r="F1368" s="11" t="s">
        <v>8</v>
      </c>
      <c r="H1368" t="str">
        <f>TRIM(SUBSTITUTE(PROPER(C1368)&amp;" "&amp;IF(OR(D1368="County",D1368="Township",D1368="Village",D1368="Charter Township"),D1368,"")&amp;IF(D1368="Township"," "&amp;"("&amp;VLOOKUP(A1368,counties,3,0)&amp;")",""),"  "," "))</f>
        <v>Rockford</v>
      </c>
    </row>
    <row r="1369" spans="1:8" ht="15.75" thickBot="1" x14ac:dyDescent="0.3">
      <c r="A1369">
        <f t="shared" si="22"/>
        <v>41</v>
      </c>
      <c r="B1369" s="8">
        <v>2016</v>
      </c>
      <c r="C1369" s="1" t="s">
        <v>1231</v>
      </c>
      <c r="D1369" s="1" t="s">
        <v>17</v>
      </c>
      <c r="E1369" s="2" t="s">
        <v>7</v>
      </c>
      <c r="F1369" s="9" t="s">
        <v>8</v>
      </c>
      <c r="H1369" t="str">
        <f>TRIM(SUBSTITUTE(PROPER(C1369)&amp;" "&amp;IF(OR(D1369="County",D1369="Township",D1369="Village",D1369="Charter Township"),D1369,"")&amp;IF(D1369="Township"," "&amp;"("&amp;VLOOKUP(A1369,counties,3,0)&amp;")",""),"  "," "))</f>
        <v>Rockford City Housing Commission</v>
      </c>
    </row>
    <row r="1370" spans="1:8" ht="15.75" thickBot="1" x14ac:dyDescent="0.3">
      <c r="A1370">
        <f t="shared" si="22"/>
        <v>41</v>
      </c>
      <c r="B1370" s="10">
        <v>2016</v>
      </c>
      <c r="C1370" s="3" t="s">
        <v>1232</v>
      </c>
      <c r="D1370" s="3" t="s">
        <v>21</v>
      </c>
      <c r="E1370" s="4" t="s">
        <v>7</v>
      </c>
      <c r="F1370" s="11" t="s">
        <v>8</v>
      </c>
      <c r="H1370" t="str">
        <f>TRIM(SUBSTITUTE(PROPER(C1370)&amp;" "&amp;IF(OR(D1370="County",D1370="Township",D1370="Village",D1370="Charter Township"),D1370,"")&amp;IF(D1370="Township"," "&amp;"("&amp;VLOOKUP(A1370,counties,3,0)&amp;")",""),"  "," "))</f>
        <v>Sand Lake Village</v>
      </c>
    </row>
    <row r="1371" spans="1:8" ht="15.75" thickBot="1" x14ac:dyDescent="0.3">
      <c r="A1371">
        <f t="shared" si="22"/>
        <v>41</v>
      </c>
      <c r="B1371" s="8">
        <v>2016</v>
      </c>
      <c r="C1371" s="1" t="s">
        <v>1233</v>
      </c>
      <c r="D1371" s="1" t="s">
        <v>9</v>
      </c>
      <c r="E1371" s="2" t="s">
        <v>7</v>
      </c>
      <c r="F1371" s="9" t="s">
        <v>8</v>
      </c>
      <c r="H1371" t="str">
        <f>TRIM(SUBSTITUTE(PROPER(C1371)&amp;" "&amp;IF(OR(D1371="County",D1371="Township",D1371="Village",D1371="Charter Township"),D1371,"")&amp;IF(D1371="Township"," "&amp;"("&amp;VLOOKUP(A1371,counties,3,0)&amp;")",""),"  "," "))</f>
        <v>Solon Township (Kent County)</v>
      </c>
    </row>
    <row r="1372" spans="1:8" ht="15.75" thickBot="1" x14ac:dyDescent="0.3">
      <c r="A1372">
        <f t="shared" si="22"/>
        <v>41</v>
      </c>
      <c r="B1372" s="10">
        <v>2016</v>
      </c>
      <c r="C1372" s="3" t="s">
        <v>1234</v>
      </c>
      <c r="D1372" s="3" t="s">
        <v>9</v>
      </c>
      <c r="E1372" s="4" t="s">
        <v>7</v>
      </c>
      <c r="F1372" s="11" t="s">
        <v>19</v>
      </c>
      <c r="H1372" t="str">
        <f>TRIM(SUBSTITUTE(PROPER(C1372)&amp;" "&amp;IF(OR(D1372="County",D1372="Township",D1372="Village",D1372="Charter Township"),D1372,"")&amp;IF(D1372="Township"," "&amp;"("&amp;VLOOKUP(A1372,counties,3,0)&amp;")",""),"  "," "))</f>
        <v>Sparta Township (Kent County)</v>
      </c>
    </row>
    <row r="1373" spans="1:8" ht="15.75" thickBot="1" x14ac:dyDescent="0.3">
      <c r="A1373">
        <f t="shared" si="22"/>
        <v>41</v>
      </c>
      <c r="B1373" s="8">
        <v>2016</v>
      </c>
      <c r="C1373" s="1" t="s">
        <v>1234</v>
      </c>
      <c r="D1373" s="1" t="s">
        <v>21</v>
      </c>
      <c r="E1373" s="2" t="s">
        <v>7</v>
      </c>
      <c r="F1373" s="9" t="s">
        <v>8</v>
      </c>
      <c r="H1373" t="str">
        <f>TRIM(SUBSTITUTE(PROPER(C1373)&amp;" "&amp;IF(OR(D1373="County",D1373="Township",D1373="Village",D1373="Charter Township"),D1373,"")&amp;IF(D1373="Township"," "&amp;"("&amp;VLOOKUP(A1373,counties,3,0)&amp;")",""),"  "," "))</f>
        <v>Sparta Village</v>
      </c>
    </row>
    <row r="1374" spans="1:8" ht="15.75" thickBot="1" x14ac:dyDescent="0.3">
      <c r="A1374">
        <f t="shared" si="22"/>
        <v>41</v>
      </c>
      <c r="B1374" s="10">
        <v>2016</v>
      </c>
      <c r="C1374" s="3" t="s">
        <v>1235</v>
      </c>
      <c r="D1374" s="3" t="s">
        <v>17</v>
      </c>
      <c r="E1374" s="4" t="s">
        <v>7</v>
      </c>
      <c r="F1374" s="11" t="s">
        <v>8</v>
      </c>
      <c r="H1374" t="str">
        <f>TRIM(SUBSTITUTE(PROPER(C1374)&amp;" "&amp;IF(OR(D1374="County",D1374="Township",D1374="Village",D1374="Charter Township"),D1374,"")&amp;IF(D1374="Township"," "&amp;"("&amp;VLOOKUP(A1374,counties,3,0)&amp;")",""),"  "," "))</f>
        <v>Sparta Fire Department</v>
      </c>
    </row>
    <row r="1375" spans="1:8" ht="15.75" thickBot="1" x14ac:dyDescent="0.3">
      <c r="A1375">
        <f t="shared" si="22"/>
        <v>41</v>
      </c>
      <c r="B1375" s="8">
        <v>2016</v>
      </c>
      <c r="C1375" s="1" t="s">
        <v>1236</v>
      </c>
      <c r="D1375" s="1" t="s">
        <v>9</v>
      </c>
      <c r="E1375" s="2" t="s">
        <v>7</v>
      </c>
      <c r="F1375" s="9" t="s">
        <v>19</v>
      </c>
      <c r="H1375" t="str">
        <f>TRIM(SUBSTITUTE(PROPER(C1375)&amp;" "&amp;IF(OR(D1375="County",D1375="Township",D1375="Village",D1375="Charter Township"),D1375,"")&amp;IF(D1375="Township"," "&amp;"("&amp;VLOOKUP(A1375,counties,3,0)&amp;")",""),"  "," "))</f>
        <v>Spencer Township (Kent County)</v>
      </c>
    </row>
    <row r="1376" spans="1:8" ht="15.75" thickBot="1" x14ac:dyDescent="0.3">
      <c r="A1376">
        <f t="shared" si="22"/>
        <v>41</v>
      </c>
      <c r="B1376" s="10">
        <v>2016</v>
      </c>
      <c r="C1376" s="3" t="s">
        <v>1237</v>
      </c>
      <c r="D1376" s="3" t="s">
        <v>9</v>
      </c>
      <c r="E1376" s="4" t="s">
        <v>7</v>
      </c>
      <c r="F1376" s="11" t="s">
        <v>8</v>
      </c>
      <c r="H1376" t="str">
        <f>TRIM(SUBSTITUTE(PROPER(C1376)&amp;" "&amp;IF(OR(D1376="County",D1376="Township",D1376="Village",D1376="Charter Township"),D1376,"")&amp;IF(D1376="Township"," "&amp;"("&amp;VLOOKUP(A1376,counties,3,0)&amp;")",""),"  "," "))</f>
        <v>Tyrone Township (Kent County)</v>
      </c>
    </row>
    <row r="1377" spans="1:8" ht="15.75" thickBot="1" x14ac:dyDescent="0.3">
      <c r="A1377">
        <f t="shared" si="22"/>
        <v>41</v>
      </c>
      <c r="B1377" s="8">
        <v>2016</v>
      </c>
      <c r="C1377" s="1" t="s">
        <v>1238</v>
      </c>
      <c r="D1377" s="1" t="s">
        <v>9</v>
      </c>
      <c r="E1377" s="2" t="s">
        <v>7</v>
      </c>
      <c r="F1377" s="9" t="s">
        <v>19</v>
      </c>
      <c r="H1377" t="str">
        <f>TRIM(SUBSTITUTE(PROPER(C1377)&amp;" "&amp;IF(OR(D1377="County",D1377="Township",D1377="Village",D1377="Charter Township"),D1377,"")&amp;IF(D1377="Township"," "&amp;"("&amp;VLOOKUP(A1377,counties,3,0)&amp;")",""),"  "," "))</f>
        <v>Vergennes Township (Kent County)</v>
      </c>
    </row>
    <row r="1378" spans="1:8" ht="15.75" thickBot="1" x14ac:dyDescent="0.3">
      <c r="A1378">
        <f t="shared" si="22"/>
        <v>41</v>
      </c>
      <c r="B1378" s="10">
        <v>2016</v>
      </c>
      <c r="C1378" s="3" t="s">
        <v>459</v>
      </c>
      <c r="D1378" s="3" t="s">
        <v>15</v>
      </c>
      <c r="E1378" s="4" t="s">
        <v>7</v>
      </c>
      <c r="F1378" s="11" t="s">
        <v>8</v>
      </c>
      <c r="H1378" t="str">
        <f>TRIM(SUBSTITUTE(PROPER(C1378)&amp;" "&amp;IF(OR(D1378="County",D1378="Township",D1378="Village",D1378="Charter Township"),D1378,"")&amp;IF(D1378="Township"," "&amp;"("&amp;VLOOKUP(A1378,counties,3,0)&amp;")",""),"  "," "))</f>
        <v>Walker</v>
      </c>
    </row>
    <row r="1379" spans="1:8" ht="15.75" thickBot="1" x14ac:dyDescent="0.3">
      <c r="A1379">
        <f t="shared" si="22"/>
        <v>41</v>
      </c>
      <c r="B1379" s="8">
        <v>2016</v>
      </c>
      <c r="C1379" s="1" t="s">
        <v>1239</v>
      </c>
      <c r="D1379" s="1" t="s">
        <v>17</v>
      </c>
      <c r="E1379" s="2" t="s">
        <v>7</v>
      </c>
      <c r="F1379" s="9" t="s">
        <v>8</v>
      </c>
      <c r="H1379" t="str">
        <f>TRIM(SUBSTITUTE(PROPER(C1379)&amp;" "&amp;IF(OR(D1379="County",D1379="Township",D1379="Village",D1379="Charter Township"),D1379,"")&amp;IF(D1379="Township"," "&amp;"("&amp;VLOOKUP(A1379,counties,3,0)&amp;")",""),"  "," "))</f>
        <v>West Michigan Regional Planning Commission</v>
      </c>
    </row>
    <row r="1380" spans="1:8" ht="15.75" thickBot="1" x14ac:dyDescent="0.3">
      <c r="A1380">
        <f t="shared" si="22"/>
        <v>41</v>
      </c>
      <c r="B1380" s="12">
        <v>2016</v>
      </c>
      <c r="C1380" s="13" t="s">
        <v>1240</v>
      </c>
      <c r="D1380" s="13" t="s">
        <v>15</v>
      </c>
      <c r="E1380" s="14" t="s">
        <v>7</v>
      </c>
      <c r="F1380" s="15" t="s">
        <v>8</v>
      </c>
      <c r="H1380" t="str">
        <f>TRIM(SUBSTITUTE(PROPER(C1380)&amp;" "&amp;IF(OR(D1380="County",D1380="Township",D1380="Village",D1380="Charter Township"),D1380,"")&amp;IF(D1380="Township"," "&amp;"("&amp;VLOOKUP(A1380,counties,3,0)&amp;")",""),"  "," "))</f>
        <v>Wyoming</v>
      </c>
    </row>
    <row r="1381" spans="1:8" ht="16.5" thickTop="1" thickBot="1" x14ac:dyDescent="0.3">
      <c r="A1381">
        <f t="shared" si="22"/>
        <v>42</v>
      </c>
      <c r="B1381" s="5" t="s">
        <v>0</v>
      </c>
      <c r="C1381" s="6" t="s">
        <v>1</v>
      </c>
      <c r="D1381" s="6" t="s">
        <v>2</v>
      </c>
      <c r="E1381" s="6" t="s">
        <v>3</v>
      </c>
      <c r="F1381" s="7" t="s">
        <v>4</v>
      </c>
      <c r="H1381" t="str">
        <f>TRIM(SUBSTITUTE(PROPER(C1381)&amp;" "&amp;IF(OR(D1381="County",D1381="Township",D1381="Village",D1381="Charter Township"),D1381,"")&amp;IF(D1381="Township"," "&amp;"("&amp;VLOOKUP(A1381,counties,3,0)&amp;")",""),"  "," "))</f>
        <v>Municipality</v>
      </c>
    </row>
    <row r="1382" spans="1:8" ht="15.75" thickBot="1" x14ac:dyDescent="0.3">
      <c r="A1382">
        <f t="shared" si="22"/>
        <v>42</v>
      </c>
      <c r="B1382" s="8">
        <v>2016</v>
      </c>
      <c r="C1382" s="1" t="s">
        <v>1241</v>
      </c>
      <c r="D1382" s="1" t="s">
        <v>21</v>
      </c>
      <c r="E1382" s="2" t="s">
        <v>7</v>
      </c>
      <c r="F1382" s="9" t="s">
        <v>8</v>
      </c>
      <c r="H1382" t="str">
        <f>TRIM(SUBSTITUTE(PROPER(C1382)&amp;" "&amp;IF(OR(D1382="County",D1382="Township",D1382="Village",D1382="Charter Township"),D1382,"")&amp;IF(D1382="Township"," "&amp;"("&amp;VLOOKUP(A1382,counties,3,0)&amp;")",""),"  "," "))</f>
        <v>Ahmeek Village</v>
      </c>
    </row>
    <row r="1383" spans="1:8" ht="15.75" thickBot="1" x14ac:dyDescent="0.3">
      <c r="A1383">
        <f t="shared" si="22"/>
        <v>42</v>
      </c>
      <c r="B1383" s="10">
        <v>2016</v>
      </c>
      <c r="C1383" s="3" t="s">
        <v>1242</v>
      </c>
      <c r="D1383" s="3" t="s">
        <v>9</v>
      </c>
      <c r="E1383" s="4" t="s">
        <v>7</v>
      </c>
      <c r="F1383" s="11" t="s">
        <v>19</v>
      </c>
      <c r="H1383" t="str">
        <f>TRIM(SUBSTITUTE(PROPER(C1383)&amp;" "&amp;IF(OR(D1383="County",D1383="Township",D1383="Village",D1383="Charter Township"),D1383,"")&amp;IF(D1383="Township"," "&amp;"("&amp;VLOOKUP(A1383,counties,3,0)&amp;")",""),"  "," "))</f>
        <v>Eagle Harbor Township (Keweenaw County)</v>
      </c>
    </row>
    <row r="1384" spans="1:8" ht="15.75" thickBot="1" x14ac:dyDescent="0.3">
      <c r="A1384">
        <f t="shared" si="22"/>
        <v>42</v>
      </c>
      <c r="B1384" s="8">
        <v>2016</v>
      </c>
      <c r="C1384" s="1" t="s">
        <v>449</v>
      </c>
      <c r="D1384" s="1" t="s">
        <v>9</v>
      </c>
      <c r="E1384" s="2" t="s">
        <v>7</v>
      </c>
      <c r="F1384" s="9" t="s">
        <v>8</v>
      </c>
      <c r="H1384" t="str">
        <f>TRIM(SUBSTITUTE(PROPER(C1384)&amp;" "&amp;IF(OR(D1384="County",D1384="Township",D1384="Village",D1384="Charter Township"),D1384,"")&amp;IF(D1384="Township"," "&amp;"("&amp;VLOOKUP(A1384,counties,3,0)&amp;")",""),"  "," "))</f>
        <v>Grant Township (Keweenaw County)</v>
      </c>
    </row>
    <row r="1385" spans="1:8" ht="15.75" thickBot="1" x14ac:dyDescent="0.3">
      <c r="A1385">
        <f t="shared" si="22"/>
        <v>42</v>
      </c>
      <c r="B1385" s="10">
        <v>2016</v>
      </c>
      <c r="C1385" s="3" t="s">
        <v>857</v>
      </c>
      <c r="D1385" s="3" t="s">
        <v>9</v>
      </c>
      <c r="E1385" s="4" t="s">
        <v>7</v>
      </c>
      <c r="F1385" s="11" t="s">
        <v>19</v>
      </c>
      <c r="H1385" t="str">
        <f>TRIM(SUBSTITUTE(PROPER(C1385)&amp;" "&amp;IF(OR(D1385="County",D1385="Township",D1385="Village",D1385="Charter Township"),D1385,"")&amp;IF(D1385="Township"," "&amp;"("&amp;VLOOKUP(A1385,counties,3,0)&amp;")",""),"  "," "))</f>
        <v>Houghton Township (Keweenaw County)</v>
      </c>
    </row>
    <row r="1386" spans="1:8" ht="15.75" thickBot="1" x14ac:dyDescent="0.3">
      <c r="A1386">
        <f t="shared" si="22"/>
        <v>42</v>
      </c>
      <c r="B1386" s="8">
        <v>2016</v>
      </c>
      <c r="C1386" s="1" t="s">
        <v>1243</v>
      </c>
      <c r="D1386" s="1" t="s">
        <v>6</v>
      </c>
      <c r="E1386" s="2" t="s">
        <v>7</v>
      </c>
      <c r="F1386" s="9" t="s">
        <v>8</v>
      </c>
      <c r="H1386" t="str">
        <f>TRIM(SUBSTITUTE(PROPER(C1386)&amp;" "&amp;IF(OR(D1386="County",D1386="Township",D1386="Village",D1386="Charter Township"),D1386,"")&amp;IF(D1386="Township"," "&amp;"("&amp;VLOOKUP(A1386,counties,3,0)&amp;")",""),"  "," "))</f>
        <v>Keweenaw County</v>
      </c>
    </row>
    <row r="1387" spans="1:8" ht="15.75" thickBot="1" x14ac:dyDescent="0.3">
      <c r="A1387">
        <f t="shared" si="22"/>
        <v>42</v>
      </c>
      <c r="B1387" s="12">
        <v>2016</v>
      </c>
      <c r="C1387" s="13" t="s">
        <v>1244</v>
      </c>
      <c r="D1387" s="13" t="s">
        <v>11</v>
      </c>
      <c r="E1387" s="14" t="s">
        <v>7</v>
      </c>
      <c r="F1387" s="15" t="s">
        <v>8</v>
      </c>
      <c r="H1387" t="str">
        <f>TRIM(SUBSTITUTE(PROPER(C1387)&amp;" "&amp;IF(OR(D1387="County",D1387="Township",D1387="Village",D1387="Charter Township"),D1387,"")&amp;IF(D1387="Township"," "&amp;"("&amp;VLOOKUP(A1387,counties,3,0)&amp;")",""),"  "," "))</f>
        <v>Keweenaw Co Road Commission</v>
      </c>
    </row>
    <row r="1388" spans="1:8" ht="16.5" thickTop="1" thickBot="1" x14ac:dyDescent="0.3">
      <c r="A1388">
        <f t="shared" si="22"/>
        <v>43</v>
      </c>
      <c r="B1388" s="5" t="s">
        <v>0</v>
      </c>
      <c r="C1388" s="6" t="s">
        <v>1</v>
      </c>
      <c r="D1388" s="6" t="s">
        <v>2</v>
      </c>
      <c r="E1388" s="6" t="s">
        <v>3</v>
      </c>
      <c r="F1388" s="7" t="s">
        <v>4</v>
      </c>
      <c r="H1388" t="str">
        <f>TRIM(SUBSTITUTE(PROPER(C1388)&amp;" "&amp;IF(OR(D1388="County",D1388="Township",D1388="Village",D1388="Charter Township"),D1388,"")&amp;IF(D1388="Township"," "&amp;"("&amp;VLOOKUP(A1388,counties,3,0)&amp;")",""),"  "," "))</f>
        <v>Municipality</v>
      </c>
    </row>
    <row r="1389" spans="1:8" ht="15.75" thickBot="1" x14ac:dyDescent="0.3">
      <c r="A1389">
        <f t="shared" si="22"/>
        <v>43</v>
      </c>
      <c r="B1389" s="8">
        <v>2016</v>
      </c>
      <c r="C1389" s="1" t="s">
        <v>550</v>
      </c>
      <c r="D1389" s="1" t="s">
        <v>21</v>
      </c>
      <c r="E1389" s="2" t="s">
        <v>7</v>
      </c>
      <c r="F1389" s="9" t="s">
        <v>19</v>
      </c>
      <c r="H1389" t="str">
        <f>TRIM(SUBSTITUTE(PROPER(C1389)&amp;" "&amp;IF(OR(D1389="County",D1389="Township",D1389="Village",D1389="Charter Township"),D1389,"")&amp;IF(D1389="Township"," "&amp;"("&amp;VLOOKUP(A1389,counties,3,0)&amp;")",""),"  "," "))</f>
        <v>Baldwin Village</v>
      </c>
    </row>
    <row r="1390" spans="1:8" ht="15.75" thickBot="1" x14ac:dyDescent="0.3">
      <c r="A1390">
        <f t="shared" si="22"/>
        <v>43</v>
      </c>
      <c r="B1390" s="10">
        <v>2016</v>
      </c>
      <c r="C1390" s="3" t="s">
        <v>1245</v>
      </c>
      <c r="D1390" s="3" t="s">
        <v>17</v>
      </c>
      <c r="E1390" s="4" t="s">
        <v>7</v>
      </c>
      <c r="F1390" s="11" t="s">
        <v>8</v>
      </c>
      <c r="H1390" t="str">
        <f>TRIM(SUBSTITUTE(PROPER(C1390)&amp;" "&amp;IF(OR(D1390="County",D1390="Township",D1390="Village",D1390="Charter Township"),D1390,"")&amp;IF(D1390="Township"," "&amp;"("&amp;VLOOKUP(A1390,counties,3,0)&amp;")",""),"  "," "))</f>
        <v>Baldwin Housing Commission</v>
      </c>
    </row>
    <row r="1391" spans="1:8" ht="15.75" thickBot="1" x14ac:dyDescent="0.3">
      <c r="A1391">
        <f t="shared" si="22"/>
        <v>43</v>
      </c>
      <c r="B1391" s="8">
        <v>2016</v>
      </c>
      <c r="C1391" s="1" t="s">
        <v>1246</v>
      </c>
      <c r="D1391" s="1" t="s">
        <v>17</v>
      </c>
      <c r="E1391" s="2" t="s">
        <v>7</v>
      </c>
      <c r="F1391" s="9" t="s">
        <v>8</v>
      </c>
      <c r="H1391" t="str">
        <f>TRIM(SUBSTITUTE(PROPER(C1391)&amp;" "&amp;IF(OR(D1391="County",D1391="Township",D1391="Village",D1391="Charter Township"),D1391,"")&amp;IF(D1391="Township"," "&amp;"("&amp;VLOOKUP(A1391,counties,3,0)&amp;")",""),"  "," "))</f>
        <v>Baldwin Promise Authority</v>
      </c>
    </row>
    <row r="1392" spans="1:8" ht="15.75" thickBot="1" x14ac:dyDescent="0.3">
      <c r="A1392">
        <f t="shared" si="22"/>
        <v>43</v>
      </c>
      <c r="B1392" s="10">
        <v>2016</v>
      </c>
      <c r="C1392" s="3" t="s">
        <v>1247</v>
      </c>
      <c r="D1392" s="3" t="s">
        <v>9</v>
      </c>
      <c r="E1392" s="4" t="s">
        <v>7</v>
      </c>
      <c r="F1392" s="11" t="s">
        <v>8</v>
      </c>
      <c r="H1392" t="str">
        <f>TRIM(SUBSTITUTE(PROPER(C1392)&amp;" "&amp;IF(OR(D1392="County",D1392="Township",D1392="Village",D1392="Charter Township"),D1392,"")&amp;IF(D1392="Township"," "&amp;"("&amp;VLOOKUP(A1392,counties,3,0)&amp;")",""),"  "," "))</f>
        <v>Chase Township (Lake County)</v>
      </c>
    </row>
    <row r="1393" spans="1:8" ht="15.75" thickBot="1" x14ac:dyDescent="0.3">
      <c r="A1393">
        <f t="shared" si="22"/>
        <v>43</v>
      </c>
      <c r="B1393" s="8">
        <v>2016</v>
      </c>
      <c r="C1393" s="1" t="s">
        <v>1248</v>
      </c>
      <c r="D1393" s="1" t="s">
        <v>9</v>
      </c>
      <c r="E1393" s="2" t="s">
        <v>7</v>
      </c>
      <c r="F1393" s="9" t="s">
        <v>19</v>
      </c>
      <c r="H1393" t="str">
        <f>TRIM(SUBSTITUTE(PROPER(C1393)&amp;" "&amp;IF(OR(D1393="County",D1393="Township",D1393="Village",D1393="Charter Township"),D1393,"")&amp;IF(D1393="Township"," "&amp;"("&amp;VLOOKUP(A1393,counties,3,0)&amp;")",""),"  "," "))</f>
        <v>Dover Township (Lake County)</v>
      </c>
    </row>
    <row r="1394" spans="1:8" ht="15.75" thickBot="1" x14ac:dyDescent="0.3">
      <c r="A1394">
        <f t="shared" si="22"/>
        <v>43</v>
      </c>
      <c r="B1394" s="10">
        <v>2016</v>
      </c>
      <c r="C1394" s="3" t="s">
        <v>1249</v>
      </c>
      <c r="D1394" s="3" t="s">
        <v>9</v>
      </c>
      <c r="E1394" s="4" t="s">
        <v>7</v>
      </c>
      <c r="F1394" s="11" t="s">
        <v>19</v>
      </c>
      <c r="H1394" t="str">
        <f>TRIM(SUBSTITUTE(PROPER(C1394)&amp;" "&amp;IF(OR(D1394="County",D1394="Township",D1394="Village",D1394="Charter Township"),D1394,"")&amp;IF(D1394="Township"," "&amp;"("&amp;VLOOKUP(A1394,counties,3,0)&amp;")",""),"  "," "))</f>
        <v>Eden Township (Lake County)</v>
      </c>
    </row>
    <row r="1395" spans="1:8" ht="15.75" thickBot="1" x14ac:dyDescent="0.3">
      <c r="A1395">
        <f t="shared" si="22"/>
        <v>43</v>
      </c>
      <c r="B1395" s="8">
        <v>2016</v>
      </c>
      <c r="C1395" s="1" t="s">
        <v>1250</v>
      </c>
      <c r="D1395" s="1" t="s">
        <v>9</v>
      </c>
      <c r="E1395" s="2" t="s">
        <v>7</v>
      </c>
      <c r="F1395" s="9" t="s">
        <v>19</v>
      </c>
      <c r="H1395" t="str">
        <f>TRIM(SUBSTITUTE(PROPER(C1395)&amp;" "&amp;IF(OR(D1395="County",D1395="Township",D1395="Village",D1395="Charter Township"),D1395,"")&amp;IF(D1395="Township"," "&amp;"("&amp;VLOOKUP(A1395,counties,3,0)&amp;")",""),"  "," "))</f>
        <v>Elk Township (Lake County)</v>
      </c>
    </row>
    <row r="1396" spans="1:8" ht="15.75" thickBot="1" x14ac:dyDescent="0.3">
      <c r="A1396">
        <f t="shared" si="22"/>
        <v>43</v>
      </c>
      <c r="B1396" s="10">
        <v>2016</v>
      </c>
      <c r="C1396" s="3" t="s">
        <v>110</v>
      </c>
      <c r="D1396" s="3" t="s">
        <v>9</v>
      </c>
      <c r="E1396" s="4" t="s">
        <v>7</v>
      </c>
      <c r="F1396" s="11" t="s">
        <v>19</v>
      </c>
      <c r="H1396" t="str">
        <f>TRIM(SUBSTITUTE(PROPER(C1396)&amp;" "&amp;IF(OR(D1396="County",D1396="Township",D1396="Village",D1396="Charter Township"),D1396,"")&amp;IF(D1396="Township"," "&amp;"("&amp;VLOOKUP(A1396,counties,3,0)&amp;")",""),"  "," "))</f>
        <v>Ellsworth Township (Lake County)</v>
      </c>
    </row>
    <row r="1397" spans="1:8" ht="15.75" thickBot="1" x14ac:dyDescent="0.3">
      <c r="A1397">
        <f t="shared" si="22"/>
        <v>43</v>
      </c>
      <c r="B1397" s="8">
        <v>2016</v>
      </c>
      <c r="C1397" s="1" t="s">
        <v>240</v>
      </c>
      <c r="D1397" s="1" t="s">
        <v>6</v>
      </c>
      <c r="E1397" s="2" t="s">
        <v>7</v>
      </c>
      <c r="F1397" s="9" t="s">
        <v>8</v>
      </c>
      <c r="H1397" t="str">
        <f>TRIM(SUBSTITUTE(PROPER(C1397)&amp;" "&amp;IF(OR(D1397="County",D1397="Township",D1397="Village",D1397="Charter Township"),D1397,"")&amp;IF(D1397="Township"," "&amp;"("&amp;VLOOKUP(A1397,counties,3,0)&amp;")",""),"  "," "))</f>
        <v>Lake County</v>
      </c>
    </row>
    <row r="1398" spans="1:8" ht="15.75" thickBot="1" x14ac:dyDescent="0.3">
      <c r="A1398">
        <f t="shared" si="22"/>
        <v>43</v>
      </c>
      <c r="B1398" s="10">
        <v>2016</v>
      </c>
      <c r="C1398" s="3" t="s">
        <v>240</v>
      </c>
      <c r="D1398" s="3" t="s">
        <v>9</v>
      </c>
      <c r="E1398" s="4" t="s">
        <v>7</v>
      </c>
      <c r="F1398" s="11" t="s">
        <v>8</v>
      </c>
      <c r="H1398" t="str">
        <f>TRIM(SUBSTITUTE(PROPER(C1398)&amp;" "&amp;IF(OR(D1398="County",D1398="Township",D1398="Village",D1398="Charter Township"),D1398,"")&amp;IF(D1398="Township"," "&amp;"("&amp;VLOOKUP(A1398,counties,3,0)&amp;")",""),"  "," "))</f>
        <v>Lake Township (Lake County)</v>
      </c>
    </row>
    <row r="1399" spans="1:8" ht="15.75" thickBot="1" x14ac:dyDescent="0.3">
      <c r="A1399">
        <f t="shared" si="22"/>
        <v>43</v>
      </c>
      <c r="B1399" s="8">
        <v>2016</v>
      </c>
      <c r="C1399" s="1" t="s">
        <v>1251</v>
      </c>
      <c r="D1399" s="1" t="s">
        <v>11</v>
      </c>
      <c r="E1399" s="2" t="s">
        <v>7</v>
      </c>
      <c r="F1399" s="9" t="s">
        <v>8</v>
      </c>
      <c r="H1399" t="str">
        <f>TRIM(SUBSTITUTE(PROPER(C1399)&amp;" "&amp;IF(OR(D1399="County",D1399="Township",D1399="Village",D1399="Charter Township"),D1399,"")&amp;IF(D1399="Township"," "&amp;"("&amp;VLOOKUP(A1399,counties,3,0)&amp;")",""),"  "," "))</f>
        <v>Lake Co Road Commission</v>
      </c>
    </row>
    <row r="1400" spans="1:8" ht="15.75" thickBot="1" x14ac:dyDescent="0.3">
      <c r="A1400">
        <f t="shared" si="22"/>
        <v>43</v>
      </c>
      <c r="B1400" s="10">
        <v>2016</v>
      </c>
      <c r="C1400" s="3" t="s">
        <v>1252</v>
      </c>
      <c r="D1400" s="3" t="s">
        <v>42</v>
      </c>
      <c r="E1400" s="4" t="s">
        <v>7</v>
      </c>
      <c r="F1400" s="11" t="s">
        <v>8</v>
      </c>
      <c r="H1400" t="str">
        <f>TRIM(SUBSTITUTE(PROPER(C1400)&amp;" "&amp;IF(OR(D1400="County",D1400="Township",D1400="Village",D1400="Charter Township"),D1400,"")&amp;IF(D1400="Township"," "&amp;"("&amp;VLOOKUP(A1400,counties,3,0)&amp;")",""),"  "," "))</f>
        <v>Luther Area Public Library</v>
      </c>
    </row>
    <row r="1401" spans="1:8" ht="15.75" thickBot="1" x14ac:dyDescent="0.3">
      <c r="A1401">
        <f t="shared" si="22"/>
        <v>43</v>
      </c>
      <c r="B1401" s="8">
        <v>2016</v>
      </c>
      <c r="C1401" s="1" t="s">
        <v>1253</v>
      </c>
      <c r="D1401" s="1" t="s">
        <v>9</v>
      </c>
      <c r="E1401" s="2" t="s">
        <v>7</v>
      </c>
      <c r="F1401" s="9" t="s">
        <v>8</v>
      </c>
      <c r="H1401" t="str">
        <f>TRIM(SUBSTITUTE(PROPER(C1401)&amp;" "&amp;IF(OR(D1401="County",D1401="Township",D1401="Village",D1401="Charter Township"),D1401,"")&amp;IF(D1401="Township"," "&amp;"("&amp;VLOOKUP(A1401,counties,3,0)&amp;")",""),"  "," "))</f>
        <v>Peacock Township (Lake County)</v>
      </c>
    </row>
    <row r="1402" spans="1:8" ht="15.75" thickBot="1" x14ac:dyDescent="0.3">
      <c r="A1402">
        <f t="shared" si="22"/>
        <v>43</v>
      </c>
      <c r="B1402" s="10">
        <v>2016</v>
      </c>
      <c r="C1402" s="3" t="s">
        <v>1254</v>
      </c>
      <c r="D1402" s="3" t="s">
        <v>9</v>
      </c>
      <c r="E1402" s="4" t="s">
        <v>7</v>
      </c>
      <c r="F1402" s="11" t="s">
        <v>8</v>
      </c>
      <c r="H1402" t="str">
        <f>TRIM(SUBSTITUTE(PROPER(C1402)&amp;" "&amp;IF(OR(D1402="County",D1402="Township",D1402="Village",D1402="Charter Township"),D1402,"")&amp;IF(D1402="Township"," "&amp;"("&amp;VLOOKUP(A1402,counties,3,0)&amp;")",""),"  "," "))</f>
        <v>Pinora Township (Lake County)</v>
      </c>
    </row>
    <row r="1403" spans="1:8" ht="15.75" thickBot="1" x14ac:dyDescent="0.3">
      <c r="A1403">
        <f t="shared" si="22"/>
        <v>43</v>
      </c>
      <c r="B1403" s="8">
        <v>2016</v>
      </c>
      <c r="C1403" s="1" t="s">
        <v>1255</v>
      </c>
      <c r="D1403" s="1" t="s">
        <v>9</v>
      </c>
      <c r="E1403" s="2" t="s">
        <v>7</v>
      </c>
      <c r="F1403" s="9" t="s">
        <v>8</v>
      </c>
      <c r="H1403" t="str">
        <f>TRIM(SUBSTITUTE(PROPER(C1403)&amp;" "&amp;IF(OR(D1403="County",D1403="Township",D1403="Village",D1403="Charter Township"),D1403,"")&amp;IF(D1403="Township"," "&amp;"("&amp;VLOOKUP(A1403,counties,3,0)&amp;")",""),"  "," "))</f>
        <v>Pleasant Plains Township (Lake County)</v>
      </c>
    </row>
    <row r="1404" spans="1:8" ht="15.75" thickBot="1" x14ac:dyDescent="0.3">
      <c r="A1404">
        <f t="shared" si="22"/>
        <v>43</v>
      </c>
      <c r="B1404" s="10">
        <v>2016</v>
      </c>
      <c r="C1404" s="3" t="s">
        <v>1256</v>
      </c>
      <c r="D1404" s="3" t="s">
        <v>9</v>
      </c>
      <c r="E1404" s="4" t="s">
        <v>7</v>
      </c>
      <c r="F1404" s="11" t="s">
        <v>19</v>
      </c>
      <c r="H1404" t="str">
        <f>TRIM(SUBSTITUTE(PROPER(C1404)&amp;" "&amp;IF(OR(D1404="County",D1404="Township",D1404="Village",D1404="Charter Township"),D1404,"")&amp;IF(D1404="Township"," "&amp;"("&amp;VLOOKUP(A1404,counties,3,0)&amp;")",""),"  "," "))</f>
        <v>Sweetwater Township (Lake County)</v>
      </c>
    </row>
    <row r="1405" spans="1:8" ht="15.75" thickBot="1" x14ac:dyDescent="0.3">
      <c r="A1405">
        <f t="shared" si="22"/>
        <v>43</v>
      </c>
      <c r="B1405" s="8">
        <v>2016</v>
      </c>
      <c r="C1405" s="1" t="s">
        <v>1257</v>
      </c>
      <c r="D1405" s="1" t="s">
        <v>9</v>
      </c>
      <c r="E1405" s="2" t="s">
        <v>7</v>
      </c>
      <c r="F1405" s="9" t="s">
        <v>8</v>
      </c>
      <c r="H1405" t="str">
        <f>TRIM(SUBSTITUTE(PROPER(C1405)&amp;" "&amp;IF(OR(D1405="County",D1405="Township",D1405="Village",D1405="Charter Township"),D1405,"")&amp;IF(D1405="Township"," "&amp;"("&amp;VLOOKUP(A1405,counties,3,0)&amp;")",""),"  "," "))</f>
        <v>Webber Township (Lake County)</v>
      </c>
    </row>
    <row r="1406" spans="1:8" ht="15.75" thickBot="1" x14ac:dyDescent="0.3">
      <c r="A1406">
        <f t="shared" si="22"/>
        <v>43</v>
      </c>
      <c r="B1406" s="10">
        <v>2016</v>
      </c>
      <c r="C1406" s="3" t="s">
        <v>1258</v>
      </c>
      <c r="D1406" s="3" t="s">
        <v>9</v>
      </c>
      <c r="E1406" s="4" t="s">
        <v>7</v>
      </c>
      <c r="F1406" s="11" t="s">
        <v>19</v>
      </c>
      <c r="H1406" t="str">
        <f>TRIM(SUBSTITUTE(PROPER(C1406)&amp;" "&amp;IF(OR(D1406="County",D1406="Township",D1406="Village",D1406="Charter Township"),D1406,"")&amp;IF(D1406="Township"," "&amp;"("&amp;VLOOKUP(A1406,counties,3,0)&amp;")",""),"  "," "))</f>
        <v>Yates Township (Lake County)</v>
      </c>
    </row>
    <row r="1407" spans="1:8" ht="15.75" thickBot="1" x14ac:dyDescent="0.3">
      <c r="A1407">
        <f t="shared" si="22"/>
        <v>43</v>
      </c>
      <c r="B1407" s="16">
        <v>2016</v>
      </c>
      <c r="C1407" s="17" t="s">
        <v>1259</v>
      </c>
      <c r="D1407" s="17" t="s">
        <v>17</v>
      </c>
      <c r="E1407" s="18" t="s">
        <v>7</v>
      </c>
      <c r="F1407" s="19" t="s">
        <v>8</v>
      </c>
      <c r="H1407" t="str">
        <f>TRIM(SUBSTITUTE(PROPER(C1407)&amp;" "&amp;IF(OR(D1407="County",D1407="Township",D1407="Village",D1407="Charter Township"),D1407,"")&amp;IF(D1407="Township"," "&amp;"("&amp;VLOOKUP(A1407,counties,3,0)&amp;")",""),"  "," "))</f>
        <v>Yates Township Dial-A-Ride</v>
      </c>
    </row>
    <row r="1408" spans="1:8" ht="16.5" thickTop="1" thickBot="1" x14ac:dyDescent="0.3">
      <c r="A1408">
        <f t="shared" si="22"/>
        <v>44</v>
      </c>
      <c r="B1408" s="5" t="s">
        <v>0</v>
      </c>
      <c r="C1408" s="6" t="s">
        <v>1</v>
      </c>
      <c r="D1408" s="6" t="s">
        <v>2</v>
      </c>
      <c r="E1408" s="6" t="s">
        <v>3</v>
      </c>
      <c r="F1408" s="7" t="s">
        <v>4</v>
      </c>
      <c r="H1408" t="str">
        <f>TRIM(SUBSTITUTE(PROPER(C1408)&amp;" "&amp;IF(OR(D1408="County",D1408="Township",D1408="Village",D1408="Charter Township"),D1408,"")&amp;IF(D1408="Township"," "&amp;"("&amp;VLOOKUP(A1408,counties,3,0)&amp;")",""),"  "," "))</f>
        <v>Municipality</v>
      </c>
    </row>
    <row r="1409" spans="1:8" ht="15.75" thickBot="1" x14ac:dyDescent="0.3">
      <c r="A1409">
        <f t="shared" si="22"/>
        <v>44</v>
      </c>
      <c r="B1409" s="8">
        <v>2016</v>
      </c>
      <c r="C1409" s="1" t="s">
        <v>1260</v>
      </c>
      <c r="D1409" s="1" t="s">
        <v>9</v>
      </c>
      <c r="E1409" s="2" t="s">
        <v>7</v>
      </c>
      <c r="F1409" s="9" t="s">
        <v>8</v>
      </c>
      <c r="H1409" t="str">
        <f>TRIM(SUBSTITUTE(PROPER(C1409)&amp;" "&amp;IF(OR(D1409="County",D1409="Township",D1409="Village",D1409="Charter Township"),D1409,"")&amp;IF(D1409="Township"," "&amp;"("&amp;VLOOKUP(A1409,counties,3,0)&amp;")",""),"  "," "))</f>
        <v>Almont Township (Lapeer County)</v>
      </c>
    </row>
    <row r="1410" spans="1:8" ht="15.75" thickBot="1" x14ac:dyDescent="0.3">
      <c r="A1410">
        <f t="shared" si="22"/>
        <v>44</v>
      </c>
      <c r="B1410" s="10">
        <v>2016</v>
      </c>
      <c r="C1410" s="3" t="s">
        <v>1260</v>
      </c>
      <c r="D1410" s="3" t="s">
        <v>21</v>
      </c>
      <c r="E1410" s="4" t="s">
        <v>7</v>
      </c>
      <c r="F1410" s="11" t="s">
        <v>8</v>
      </c>
      <c r="H1410" t="str">
        <f>TRIM(SUBSTITUTE(PROPER(C1410)&amp;" "&amp;IF(OR(D1410="County",D1410="Township",D1410="Village",D1410="Charter Township"),D1410,"")&amp;IF(D1410="Township"," "&amp;"("&amp;VLOOKUP(A1410,counties,3,0)&amp;")",""),"  "," "))</f>
        <v>Almont Village</v>
      </c>
    </row>
    <row r="1411" spans="1:8" ht="15.75" thickBot="1" x14ac:dyDescent="0.3">
      <c r="A1411">
        <f t="shared" ref="A1411:A1474" si="23">IF(B1411="Year",A1410+1,A1410)</f>
        <v>44</v>
      </c>
      <c r="B1411" s="8">
        <v>2016</v>
      </c>
      <c r="C1411" s="1" t="s">
        <v>1261</v>
      </c>
      <c r="D1411" s="1" t="s">
        <v>42</v>
      </c>
      <c r="E1411" s="2" t="s">
        <v>7</v>
      </c>
      <c r="F1411" s="9" t="s">
        <v>8</v>
      </c>
      <c r="H1411" t="str">
        <f>TRIM(SUBSTITUTE(PROPER(C1411)&amp;" "&amp;IF(OR(D1411="County",D1411="Township",D1411="Village",D1411="Charter Township"),D1411,"")&amp;IF(D1411="Township"," "&amp;"("&amp;VLOOKUP(A1411,counties,3,0)&amp;")",""),"  "," "))</f>
        <v>Almont District Library</v>
      </c>
    </row>
    <row r="1412" spans="1:8" ht="15.75" thickBot="1" x14ac:dyDescent="0.3">
      <c r="A1412">
        <f t="shared" si="23"/>
        <v>44</v>
      </c>
      <c r="B1412" s="10">
        <v>2016</v>
      </c>
      <c r="C1412" s="3" t="s">
        <v>1262</v>
      </c>
      <c r="D1412" s="3" t="s">
        <v>9</v>
      </c>
      <c r="E1412" s="4" t="s">
        <v>7</v>
      </c>
      <c r="F1412" s="11" t="s">
        <v>8</v>
      </c>
      <c r="H1412" t="str">
        <f>TRIM(SUBSTITUTE(PROPER(C1412)&amp;" "&amp;IF(OR(D1412="County",D1412="Township",D1412="Village",D1412="Charter Township"),D1412,"")&amp;IF(D1412="Township"," "&amp;"("&amp;VLOOKUP(A1412,counties,3,0)&amp;")",""),"  "," "))</f>
        <v>Arcadia Township (Lapeer County)</v>
      </c>
    </row>
    <row r="1413" spans="1:8" ht="15.75" thickBot="1" x14ac:dyDescent="0.3">
      <c r="A1413">
        <f t="shared" si="23"/>
        <v>44</v>
      </c>
      <c r="B1413" s="8">
        <v>2016</v>
      </c>
      <c r="C1413" s="1" t="s">
        <v>1263</v>
      </c>
      <c r="D1413" s="1" t="s">
        <v>9</v>
      </c>
      <c r="E1413" s="2" t="s">
        <v>7</v>
      </c>
      <c r="F1413" s="9" t="s">
        <v>8</v>
      </c>
      <c r="H1413" t="str">
        <f>TRIM(SUBSTITUTE(PROPER(C1413)&amp;" "&amp;IF(OR(D1413="County",D1413="Township",D1413="Village",D1413="Charter Township"),D1413,"")&amp;IF(D1413="Township"," "&amp;"("&amp;VLOOKUP(A1413,counties,3,0)&amp;")",""),"  "," "))</f>
        <v>Attica Township (Lapeer County)</v>
      </c>
    </row>
    <row r="1414" spans="1:8" ht="15.75" thickBot="1" x14ac:dyDescent="0.3">
      <c r="A1414">
        <f t="shared" si="23"/>
        <v>44</v>
      </c>
      <c r="B1414" s="10">
        <v>2016</v>
      </c>
      <c r="C1414" s="3" t="s">
        <v>1264</v>
      </c>
      <c r="D1414" s="3" t="s">
        <v>21</v>
      </c>
      <c r="E1414" s="4" t="s">
        <v>7</v>
      </c>
      <c r="F1414" s="11" t="s">
        <v>8</v>
      </c>
      <c r="H1414" t="str">
        <f>TRIM(SUBSTITUTE(PROPER(C1414)&amp;" "&amp;IF(OR(D1414="County",D1414="Township",D1414="Village",D1414="Charter Township"),D1414,"")&amp;IF(D1414="Township"," "&amp;"("&amp;VLOOKUP(A1414,counties,3,0)&amp;")",""),"  "," "))</f>
        <v>Columbiaville Village</v>
      </c>
    </row>
    <row r="1415" spans="1:8" ht="15.75" thickBot="1" x14ac:dyDescent="0.3">
      <c r="A1415">
        <f t="shared" si="23"/>
        <v>44</v>
      </c>
      <c r="B1415" s="8">
        <v>2016</v>
      </c>
      <c r="C1415" s="1" t="s">
        <v>1265</v>
      </c>
      <c r="D1415" s="1" t="s">
        <v>17</v>
      </c>
      <c r="E1415" s="2" t="s">
        <v>7</v>
      </c>
      <c r="F1415" s="9" t="s">
        <v>8</v>
      </c>
      <c r="H1415" t="str">
        <f>TRIM(SUBSTITUTE(PROPER(C1415)&amp;" "&amp;IF(OR(D1415="County",D1415="Township",D1415="Village",D1415="Charter Township"),D1415,"")&amp;IF(D1415="Township"," "&amp;"("&amp;VLOOKUP(A1415,counties,3,0)&amp;")",""),"  "," "))</f>
        <v>Construction Code Authority</v>
      </c>
    </row>
    <row r="1416" spans="1:8" ht="15.75" thickBot="1" x14ac:dyDescent="0.3">
      <c r="A1416">
        <f t="shared" si="23"/>
        <v>44</v>
      </c>
      <c r="B1416" s="10">
        <v>2016</v>
      </c>
      <c r="C1416" s="3" t="s">
        <v>1054</v>
      </c>
      <c r="D1416" s="3" t="s">
        <v>9</v>
      </c>
      <c r="E1416" s="4" t="s">
        <v>7</v>
      </c>
      <c r="F1416" s="11" t="s">
        <v>8</v>
      </c>
      <c r="H1416" t="str">
        <f>TRIM(SUBSTITUTE(PROPER(C1416)&amp;" "&amp;IF(OR(D1416="County",D1416="Township",D1416="Village",D1416="Charter Township"),D1416,"")&amp;IF(D1416="Township"," "&amp;"("&amp;VLOOKUP(A1416,counties,3,0)&amp;")",""),"  "," "))</f>
        <v>Deerfield Township (Lapeer County)</v>
      </c>
    </row>
    <row r="1417" spans="1:8" ht="15.75" thickBot="1" x14ac:dyDescent="0.3">
      <c r="A1417">
        <f t="shared" si="23"/>
        <v>44</v>
      </c>
      <c r="B1417" s="8">
        <v>2016</v>
      </c>
      <c r="C1417" s="1" t="s">
        <v>1266</v>
      </c>
      <c r="D1417" s="1" t="s">
        <v>9</v>
      </c>
      <c r="E1417" s="2" t="s">
        <v>7</v>
      </c>
      <c r="F1417" s="9" t="s">
        <v>8</v>
      </c>
      <c r="H1417" t="str">
        <f>TRIM(SUBSTITUTE(PROPER(C1417)&amp;" "&amp;IF(OR(D1417="County",D1417="Township",D1417="Village",D1417="Charter Township"),D1417,"")&amp;IF(D1417="Township"," "&amp;"("&amp;VLOOKUP(A1417,counties,3,0)&amp;")",""),"  "," "))</f>
        <v>Dryden Township (Lapeer County)</v>
      </c>
    </row>
    <row r="1418" spans="1:8" ht="15.75" thickBot="1" x14ac:dyDescent="0.3">
      <c r="A1418">
        <f t="shared" si="23"/>
        <v>44</v>
      </c>
      <c r="B1418" s="10">
        <v>2016</v>
      </c>
      <c r="C1418" s="3" t="s">
        <v>1267</v>
      </c>
      <c r="D1418" s="3" t="s">
        <v>9</v>
      </c>
      <c r="E1418" s="4" t="s">
        <v>7</v>
      </c>
      <c r="F1418" s="11" t="s">
        <v>8</v>
      </c>
      <c r="H1418" t="str">
        <f>TRIM(SUBSTITUTE(PROPER(C1418)&amp;" "&amp;IF(OR(D1418="County",D1418="Township",D1418="Village",D1418="Charter Township"),D1418,"")&amp;IF(D1418="Township"," "&amp;"("&amp;VLOOKUP(A1418,counties,3,0)&amp;")",""),"  "," "))</f>
        <v>Elba Township (Lapeer County)</v>
      </c>
    </row>
    <row r="1419" spans="1:8" ht="15.75" thickBot="1" x14ac:dyDescent="0.3">
      <c r="A1419">
        <f t="shared" si="23"/>
        <v>44</v>
      </c>
      <c r="B1419" s="8">
        <v>2016</v>
      </c>
      <c r="C1419" s="1" t="s">
        <v>1268</v>
      </c>
      <c r="D1419" s="1" t="s">
        <v>9</v>
      </c>
      <c r="E1419" s="2" t="s">
        <v>7</v>
      </c>
      <c r="F1419" s="9" t="s">
        <v>8</v>
      </c>
      <c r="H1419" t="str">
        <f>TRIM(SUBSTITUTE(PROPER(C1419)&amp;" "&amp;IF(OR(D1419="County",D1419="Township",D1419="Village",D1419="Charter Township"),D1419,"")&amp;IF(D1419="Township"," "&amp;"("&amp;VLOOKUP(A1419,counties,3,0)&amp;")",""),"  "," "))</f>
        <v>Goodland Township (Lapeer County)</v>
      </c>
    </row>
    <row r="1420" spans="1:8" ht="15.75" thickBot="1" x14ac:dyDescent="0.3">
      <c r="A1420">
        <f t="shared" si="23"/>
        <v>44</v>
      </c>
      <c r="B1420" s="10">
        <v>2016</v>
      </c>
      <c r="C1420" s="3" t="s">
        <v>1269</v>
      </c>
      <c r="D1420" s="3" t="s">
        <v>17</v>
      </c>
      <c r="E1420" s="4" t="s">
        <v>7</v>
      </c>
      <c r="F1420" s="11" t="s">
        <v>8</v>
      </c>
      <c r="H1420" t="str">
        <f>TRIM(SUBSTITUTE(PROPER(C1420)&amp;" "&amp;IF(OR(D1420="County",D1420="Township",D1420="Village",D1420="Charter Township"),D1420,"")&amp;IF(D1420="Township"," "&amp;"("&amp;VLOOKUP(A1420,counties,3,0)&amp;")",""),"  "," "))</f>
        <v>Goodland Township Building Authority</v>
      </c>
    </row>
    <row r="1421" spans="1:8" ht="15.75" thickBot="1" x14ac:dyDescent="0.3">
      <c r="A1421">
        <f t="shared" si="23"/>
        <v>44</v>
      </c>
      <c r="B1421" s="8">
        <v>2016</v>
      </c>
      <c r="C1421" s="1" t="s">
        <v>1270</v>
      </c>
      <c r="D1421" s="1" t="s">
        <v>17</v>
      </c>
      <c r="E1421" s="2" t="s">
        <v>7</v>
      </c>
      <c r="F1421" s="9" t="s">
        <v>8</v>
      </c>
      <c r="H1421" t="str">
        <f>TRIM(SUBSTITUTE(PROPER(C1421)&amp;" "&amp;IF(OR(D1421="County",D1421="Township",D1421="Village",D1421="Charter Township"),D1421,"")&amp;IF(D1421="Township"," "&amp;"("&amp;VLOOKUP(A1421,counties,3,0)&amp;")",""),"  "," "))</f>
        <v>Greater Lapeer Co Utilities Authority</v>
      </c>
    </row>
    <row r="1422" spans="1:8" ht="15.75" thickBot="1" x14ac:dyDescent="0.3">
      <c r="A1422">
        <f t="shared" si="23"/>
        <v>44</v>
      </c>
      <c r="B1422" s="10">
        <v>2016</v>
      </c>
      <c r="C1422" s="3" t="s">
        <v>1271</v>
      </c>
      <c r="D1422" s="3" t="s">
        <v>17</v>
      </c>
      <c r="E1422" s="4" t="s">
        <v>7</v>
      </c>
      <c r="F1422" s="11" t="s">
        <v>8</v>
      </c>
      <c r="H1422" t="str">
        <f>TRIM(SUBSTITUTE(PROPER(C1422)&amp;" "&amp;IF(OR(D1422="County",D1422="Township",D1422="Village",D1422="Charter Township"),D1422,"")&amp;IF(D1422="Township"," "&amp;"("&amp;VLOOKUP(A1422,counties,3,0)&amp;")",""),"  "," "))</f>
        <v>Greater Lapeer Transportation Authority</v>
      </c>
    </row>
    <row r="1423" spans="1:8" ht="15.75" thickBot="1" x14ac:dyDescent="0.3">
      <c r="A1423">
        <f t="shared" si="23"/>
        <v>44</v>
      </c>
      <c r="B1423" s="8">
        <v>2016</v>
      </c>
      <c r="C1423" s="1" t="s">
        <v>1272</v>
      </c>
      <c r="D1423" s="1" t="s">
        <v>9</v>
      </c>
      <c r="E1423" s="2" t="s">
        <v>7</v>
      </c>
      <c r="F1423" s="9" t="s">
        <v>8</v>
      </c>
      <c r="H1423" t="str">
        <f>TRIM(SUBSTITUTE(PROPER(C1423)&amp;" "&amp;IF(OR(D1423="County",D1423="Township",D1423="Village",D1423="Charter Township"),D1423,"")&amp;IF(D1423="Township"," "&amp;"("&amp;VLOOKUP(A1423,counties,3,0)&amp;")",""),"  "," "))</f>
        <v>Hadley Township (Lapeer County)</v>
      </c>
    </row>
    <row r="1424" spans="1:8" ht="15.75" thickBot="1" x14ac:dyDescent="0.3">
      <c r="A1424">
        <f t="shared" si="23"/>
        <v>44</v>
      </c>
      <c r="B1424" s="10">
        <v>2016</v>
      </c>
      <c r="C1424" s="3" t="s">
        <v>1273</v>
      </c>
      <c r="D1424" s="3" t="s">
        <v>9</v>
      </c>
      <c r="E1424" s="4" t="s">
        <v>7</v>
      </c>
      <c r="F1424" s="11" t="s">
        <v>19</v>
      </c>
      <c r="H1424" t="str">
        <f>TRIM(SUBSTITUTE(PROPER(C1424)&amp;" "&amp;IF(OR(D1424="County",D1424="Township",D1424="Village",D1424="Charter Township"),D1424,"")&amp;IF(D1424="Township"," "&amp;"("&amp;VLOOKUP(A1424,counties,3,0)&amp;")",""),"  "," "))</f>
        <v>Imlay Township (Lapeer County)</v>
      </c>
    </row>
    <row r="1425" spans="1:8" ht="15.75" thickBot="1" x14ac:dyDescent="0.3">
      <c r="A1425">
        <f t="shared" si="23"/>
        <v>44</v>
      </c>
      <c r="B1425" s="8">
        <v>2016</v>
      </c>
      <c r="C1425" s="1" t="s">
        <v>1274</v>
      </c>
      <c r="D1425" s="1" t="s">
        <v>15</v>
      </c>
      <c r="E1425" s="2" t="s">
        <v>7</v>
      </c>
      <c r="F1425" s="9" t="s">
        <v>8</v>
      </c>
      <c r="H1425" t="str">
        <f>TRIM(SUBSTITUTE(PROPER(C1425)&amp;" "&amp;IF(OR(D1425="County",D1425="Township",D1425="Village",D1425="Charter Township"),D1425,"")&amp;IF(D1425="Township"," "&amp;"("&amp;VLOOKUP(A1425,counties,3,0)&amp;")",""),"  "," "))</f>
        <v>Imlay City</v>
      </c>
    </row>
    <row r="1426" spans="1:8" ht="15.75" thickBot="1" x14ac:dyDescent="0.3">
      <c r="A1426">
        <f t="shared" si="23"/>
        <v>44</v>
      </c>
      <c r="B1426" s="10">
        <v>2016</v>
      </c>
      <c r="C1426" s="3" t="s">
        <v>1275</v>
      </c>
      <c r="D1426" s="3" t="s">
        <v>15</v>
      </c>
      <c r="E1426" s="4" t="s">
        <v>7</v>
      </c>
      <c r="F1426" s="11" t="s">
        <v>8</v>
      </c>
      <c r="H1426" t="str">
        <f>TRIM(SUBSTITUTE(PROPER(C1426)&amp;" "&amp;IF(OR(D1426="County",D1426="Township",D1426="Village",D1426="Charter Township"),D1426,"")&amp;IF(D1426="Township"," "&amp;"("&amp;VLOOKUP(A1426,counties,3,0)&amp;")",""),"  "," "))</f>
        <v>Lapeer</v>
      </c>
    </row>
    <row r="1427" spans="1:8" ht="15.75" thickBot="1" x14ac:dyDescent="0.3">
      <c r="A1427">
        <f t="shared" si="23"/>
        <v>44</v>
      </c>
      <c r="B1427" s="8">
        <v>2016</v>
      </c>
      <c r="C1427" s="1" t="s">
        <v>1275</v>
      </c>
      <c r="D1427" s="1" t="s">
        <v>6</v>
      </c>
      <c r="E1427" s="2" t="s">
        <v>7</v>
      </c>
      <c r="F1427" s="9" t="s">
        <v>8</v>
      </c>
      <c r="H1427" t="str">
        <f>TRIM(SUBSTITUTE(PROPER(C1427)&amp;" "&amp;IF(OR(D1427="County",D1427="Township",D1427="Village",D1427="Charter Township"),D1427,"")&amp;IF(D1427="Township"," "&amp;"("&amp;VLOOKUP(A1427,counties,3,0)&amp;")",""),"  "," "))</f>
        <v>Lapeer County</v>
      </c>
    </row>
    <row r="1428" spans="1:8" ht="15.75" thickBot="1" x14ac:dyDescent="0.3">
      <c r="A1428">
        <f t="shared" si="23"/>
        <v>44</v>
      </c>
      <c r="B1428" s="10">
        <v>2016</v>
      </c>
      <c r="C1428" s="3" t="s">
        <v>1275</v>
      </c>
      <c r="D1428" s="3" t="s">
        <v>9</v>
      </c>
      <c r="E1428" s="4" t="s">
        <v>7</v>
      </c>
      <c r="F1428" s="11" t="s">
        <v>8</v>
      </c>
      <c r="H1428" t="str">
        <f>TRIM(SUBSTITUTE(PROPER(C1428)&amp;" "&amp;IF(OR(D1428="County",D1428="Township",D1428="Village",D1428="Charter Township"),D1428,"")&amp;IF(D1428="Township"," "&amp;"("&amp;VLOOKUP(A1428,counties,3,0)&amp;")",""),"  "," "))</f>
        <v>Lapeer Township (Lapeer County)</v>
      </c>
    </row>
    <row r="1429" spans="1:8" ht="15.75" thickBot="1" x14ac:dyDescent="0.3">
      <c r="A1429">
        <f t="shared" si="23"/>
        <v>44</v>
      </c>
      <c r="B1429" s="8">
        <v>2016</v>
      </c>
      <c r="C1429" s="1" t="s">
        <v>1276</v>
      </c>
      <c r="D1429" s="1" t="s">
        <v>17</v>
      </c>
      <c r="E1429" s="2" t="s">
        <v>7</v>
      </c>
      <c r="F1429" s="9" t="s">
        <v>8</v>
      </c>
      <c r="H1429" t="str">
        <f>TRIM(SUBSTITUTE(PROPER(C1429)&amp;" "&amp;IF(OR(D1429="County",D1429="Township",D1429="Village",D1429="Charter Township"),D1429,"")&amp;IF(D1429="Township"," "&amp;"("&amp;VLOOKUP(A1429,counties,3,0)&amp;")",""),"  "," "))</f>
        <v>Lapeer City Brownfield Redevelopment Authority</v>
      </c>
    </row>
    <row r="1430" spans="1:8" ht="15.75" thickBot="1" x14ac:dyDescent="0.3">
      <c r="A1430">
        <f t="shared" si="23"/>
        <v>44</v>
      </c>
      <c r="B1430" s="10">
        <v>2016</v>
      </c>
      <c r="C1430" s="3" t="s">
        <v>1277</v>
      </c>
      <c r="D1430" s="3" t="s">
        <v>17</v>
      </c>
      <c r="E1430" s="4" t="s">
        <v>7</v>
      </c>
      <c r="F1430" s="11" t="s">
        <v>8</v>
      </c>
      <c r="H1430" t="str">
        <f>TRIM(SUBSTITUTE(PROPER(C1430)&amp;" "&amp;IF(OR(D1430="County",D1430="Township",D1430="Village",D1430="Charter Township"),D1430,"")&amp;IF(D1430="Township"," "&amp;"("&amp;VLOOKUP(A1430,counties,3,0)&amp;")",""),"  "," "))</f>
        <v>Lapeer City Downtown Development Authority</v>
      </c>
    </row>
    <row r="1431" spans="1:8" ht="15.75" thickBot="1" x14ac:dyDescent="0.3">
      <c r="A1431">
        <f t="shared" si="23"/>
        <v>44</v>
      </c>
      <c r="B1431" s="8">
        <v>2016</v>
      </c>
      <c r="C1431" s="1" t="s">
        <v>1278</v>
      </c>
      <c r="D1431" s="1" t="s">
        <v>17</v>
      </c>
      <c r="E1431" s="2" t="s">
        <v>7</v>
      </c>
      <c r="F1431" s="9" t="s">
        <v>8</v>
      </c>
      <c r="H1431" t="str">
        <f>TRIM(SUBSTITUTE(PROPER(C1431)&amp;" "&amp;IF(OR(D1431="County",D1431="Township",D1431="Village",D1431="Charter Township"),D1431,"")&amp;IF(D1431="Township"," "&amp;"("&amp;VLOOKUP(A1431,counties,3,0)&amp;")",""),"  "," "))</f>
        <v>Lapeer City Edc</v>
      </c>
    </row>
    <row r="1432" spans="1:8" ht="15.75" thickBot="1" x14ac:dyDescent="0.3">
      <c r="A1432">
        <f t="shared" si="23"/>
        <v>44</v>
      </c>
      <c r="B1432" s="10">
        <v>2016</v>
      </c>
      <c r="C1432" s="3" t="s">
        <v>1279</v>
      </c>
      <c r="D1432" s="3" t="s">
        <v>17</v>
      </c>
      <c r="E1432" s="4" t="s">
        <v>7</v>
      </c>
      <c r="F1432" s="11" t="s">
        <v>8</v>
      </c>
      <c r="H1432" t="str">
        <f>TRIM(SUBSTITUTE(PROPER(C1432)&amp;" "&amp;IF(OR(D1432="County",D1432="Township",D1432="Village",D1432="Charter Township"),D1432,"")&amp;IF(D1432="Township"," "&amp;"("&amp;VLOOKUP(A1432,counties,3,0)&amp;")",""),"  "," "))</f>
        <v>Lapeer City Housing Commission</v>
      </c>
    </row>
    <row r="1433" spans="1:8" ht="15.75" thickBot="1" x14ac:dyDescent="0.3">
      <c r="A1433">
        <f t="shared" si="23"/>
        <v>44</v>
      </c>
      <c r="B1433" s="8">
        <v>2016</v>
      </c>
      <c r="C1433" s="1" t="s">
        <v>1280</v>
      </c>
      <c r="D1433" s="1" t="s">
        <v>17</v>
      </c>
      <c r="E1433" s="2" t="s">
        <v>7</v>
      </c>
      <c r="F1433" s="9" t="s">
        <v>8</v>
      </c>
      <c r="H1433" t="str">
        <f>TRIM(SUBSTITUTE(PROPER(C1433)&amp;" "&amp;IF(OR(D1433="County",D1433="Township",D1433="Village",D1433="Charter Township"),D1433,"")&amp;IF(D1433="Township"," "&amp;"("&amp;VLOOKUP(A1433,counties,3,0)&amp;")",""),"  "," "))</f>
        <v>Lapeer City Local Development Finance Authority</v>
      </c>
    </row>
    <row r="1434" spans="1:8" ht="15.75" thickBot="1" x14ac:dyDescent="0.3">
      <c r="A1434">
        <f t="shared" si="23"/>
        <v>44</v>
      </c>
      <c r="B1434" s="10">
        <v>2016</v>
      </c>
      <c r="C1434" s="3" t="s">
        <v>1281</v>
      </c>
      <c r="D1434" s="3" t="s">
        <v>11</v>
      </c>
      <c r="E1434" s="4" t="s">
        <v>7</v>
      </c>
      <c r="F1434" s="11" t="s">
        <v>8</v>
      </c>
      <c r="H1434" t="str">
        <f>TRIM(SUBSTITUTE(PROPER(C1434)&amp;" "&amp;IF(OR(D1434="County",D1434="Township",D1434="Village",D1434="Charter Township"),D1434,"")&amp;IF(D1434="Township"," "&amp;"("&amp;VLOOKUP(A1434,counties,3,0)&amp;")",""),"  "," "))</f>
        <v>Lapeer Co Road Commission</v>
      </c>
    </row>
    <row r="1435" spans="1:8" ht="15.75" thickBot="1" x14ac:dyDescent="0.3">
      <c r="A1435">
        <f t="shared" si="23"/>
        <v>44</v>
      </c>
      <c r="B1435" s="8">
        <v>2016</v>
      </c>
      <c r="C1435" s="1" t="s">
        <v>1282</v>
      </c>
      <c r="D1435" s="1" t="s">
        <v>17</v>
      </c>
      <c r="E1435" s="2" t="s">
        <v>7</v>
      </c>
      <c r="F1435" s="9" t="s">
        <v>8</v>
      </c>
      <c r="H1435" t="str">
        <f>TRIM(SUBSTITUTE(PROPER(C1435)&amp;" "&amp;IF(OR(D1435="County",D1435="Township",D1435="Village",D1435="Charter Township"),D1435,"")&amp;IF(D1435="Township"," "&amp;"("&amp;VLOOKUP(A1435,counties,3,0)&amp;")",""),"  "," "))</f>
        <v>Lapeer County Community Mental Health</v>
      </c>
    </row>
    <row r="1436" spans="1:8" ht="21.75" thickBot="1" x14ac:dyDescent="0.3">
      <c r="A1436">
        <f t="shared" si="23"/>
        <v>44</v>
      </c>
      <c r="B1436" s="10">
        <v>2016</v>
      </c>
      <c r="C1436" s="3" t="s">
        <v>1283</v>
      </c>
      <c r="D1436" s="3" t="s">
        <v>17</v>
      </c>
      <c r="E1436" s="4" t="s">
        <v>7</v>
      </c>
      <c r="F1436" s="11" t="s">
        <v>8</v>
      </c>
      <c r="H1436" t="str">
        <f>TRIM(SUBSTITUTE(PROPER(C1436)&amp;" "&amp;IF(OR(D1436="County",D1436="Township",D1436="Village",D1436="Charter Township"),D1436,"")&amp;IF(D1436="Township"," "&amp;"("&amp;VLOOKUP(A1436,counties,3,0)&amp;")",""),"  "," "))</f>
        <v>Lapeer County Emergency Medical Service Authority</v>
      </c>
    </row>
    <row r="1437" spans="1:8" ht="15.75" thickBot="1" x14ac:dyDescent="0.3">
      <c r="A1437">
        <f t="shared" si="23"/>
        <v>44</v>
      </c>
      <c r="B1437" s="8">
        <v>2016</v>
      </c>
      <c r="C1437" s="1" t="s">
        <v>1284</v>
      </c>
      <c r="D1437" s="1" t="s">
        <v>72</v>
      </c>
      <c r="E1437" s="2" t="s">
        <v>7</v>
      </c>
      <c r="F1437" s="9" t="s">
        <v>8</v>
      </c>
      <c r="H1437" t="str">
        <f>TRIM(SUBSTITUTE(PROPER(C1437)&amp;" "&amp;IF(OR(D1437="County",D1437="Township",D1437="Village",D1437="Charter Township"),D1437,"")&amp;IF(D1437="Township"," "&amp;"("&amp;VLOOKUP(A1437,counties,3,0)&amp;")",""),"  "," "))</f>
        <v>Lapeer County Landbank Authority</v>
      </c>
    </row>
    <row r="1438" spans="1:8" ht="15.75" thickBot="1" x14ac:dyDescent="0.3">
      <c r="A1438">
        <f t="shared" si="23"/>
        <v>44</v>
      </c>
      <c r="B1438" s="10">
        <v>2016</v>
      </c>
      <c r="C1438" s="3" t="s">
        <v>1285</v>
      </c>
      <c r="D1438" s="3" t="s">
        <v>42</v>
      </c>
      <c r="E1438" s="4" t="s">
        <v>7</v>
      </c>
      <c r="F1438" s="11" t="s">
        <v>8</v>
      </c>
      <c r="H1438" t="str">
        <f>TRIM(SUBSTITUTE(PROPER(C1438)&amp;" "&amp;IF(OR(D1438="County",D1438="Township",D1438="Village",D1438="Charter Township"),D1438,"")&amp;IF(D1438="Township"," "&amp;"("&amp;VLOOKUP(A1438,counties,3,0)&amp;")",""),"  "," "))</f>
        <v>Lapeer District Library</v>
      </c>
    </row>
    <row r="1439" spans="1:8" ht="15.75" thickBot="1" x14ac:dyDescent="0.3">
      <c r="A1439">
        <f t="shared" si="23"/>
        <v>44</v>
      </c>
      <c r="B1439" s="8">
        <v>2016</v>
      </c>
      <c r="C1439" s="1" t="s">
        <v>1286</v>
      </c>
      <c r="D1439" s="1" t="s">
        <v>9</v>
      </c>
      <c r="E1439" s="2" t="s">
        <v>7</v>
      </c>
      <c r="F1439" s="9" t="s">
        <v>8</v>
      </c>
      <c r="H1439" t="str">
        <f>TRIM(SUBSTITUTE(PROPER(C1439)&amp;" "&amp;IF(OR(D1439="County",D1439="Township",D1439="Village",D1439="Charter Township"),D1439,"")&amp;IF(D1439="Township"," "&amp;"("&amp;VLOOKUP(A1439,counties,3,0)&amp;")",""),"  "," "))</f>
        <v>Marathon Township (Lapeer County)</v>
      </c>
    </row>
    <row r="1440" spans="1:8" ht="15.75" thickBot="1" x14ac:dyDescent="0.3">
      <c r="A1440">
        <f t="shared" si="23"/>
        <v>44</v>
      </c>
      <c r="B1440" s="10">
        <v>2016</v>
      </c>
      <c r="C1440" s="3" t="s">
        <v>1287</v>
      </c>
      <c r="D1440" s="3" t="s">
        <v>17</v>
      </c>
      <c r="E1440" s="4" t="s">
        <v>7</v>
      </c>
      <c r="F1440" s="11" t="s">
        <v>8</v>
      </c>
      <c r="H1440" t="str">
        <f>TRIM(SUBSTITUTE(PROPER(C1440)&amp;" "&amp;IF(OR(D1440="County",D1440="Township",D1440="Village",D1440="Charter Township"),D1440,"")&amp;IF(D1440="Township"," "&amp;"("&amp;VLOOKUP(A1440,counties,3,0)&amp;")",""),"  "," "))</f>
        <v>Marathon Area Fire Authority</v>
      </c>
    </row>
    <row r="1441" spans="1:8" ht="15.75" thickBot="1" x14ac:dyDescent="0.3">
      <c r="A1441">
        <f t="shared" si="23"/>
        <v>44</v>
      </c>
      <c r="B1441" s="8">
        <v>2016</v>
      </c>
      <c r="C1441" s="1" t="s">
        <v>778</v>
      </c>
      <c r="D1441" s="1" t="s">
        <v>9</v>
      </c>
      <c r="E1441" s="2" t="s">
        <v>7</v>
      </c>
      <c r="F1441" s="9" t="s">
        <v>8</v>
      </c>
      <c r="H1441" t="str">
        <f>TRIM(SUBSTITUTE(PROPER(C1441)&amp;" "&amp;IF(OR(D1441="County",D1441="Township",D1441="Village",D1441="Charter Township"),D1441,"")&amp;IF(D1441="Township"," "&amp;"("&amp;VLOOKUP(A1441,counties,3,0)&amp;")",""),"  "," "))</f>
        <v>Mayfield Township (Lapeer County)</v>
      </c>
    </row>
    <row r="1442" spans="1:8" ht="15.75" thickBot="1" x14ac:dyDescent="0.3">
      <c r="A1442">
        <f t="shared" si="23"/>
        <v>44</v>
      </c>
      <c r="B1442" s="10">
        <v>2016</v>
      </c>
      <c r="C1442" s="3" t="s">
        <v>1288</v>
      </c>
      <c r="D1442" s="3" t="s">
        <v>9</v>
      </c>
      <c r="E1442" s="4" t="s">
        <v>7</v>
      </c>
      <c r="F1442" s="11" t="s">
        <v>8</v>
      </c>
      <c r="H1442" t="str">
        <f>TRIM(SUBSTITUTE(PROPER(C1442)&amp;" "&amp;IF(OR(D1442="County",D1442="Township",D1442="Village",D1442="Charter Township"),D1442,"")&amp;IF(D1442="Township"," "&amp;"("&amp;VLOOKUP(A1442,counties,3,0)&amp;")",""),"  "," "))</f>
        <v>Metamora Township (Lapeer County)</v>
      </c>
    </row>
    <row r="1443" spans="1:8" ht="15.75" thickBot="1" x14ac:dyDescent="0.3">
      <c r="A1443">
        <f t="shared" si="23"/>
        <v>44</v>
      </c>
      <c r="B1443" s="8">
        <v>2016</v>
      </c>
      <c r="C1443" s="1" t="s">
        <v>1288</v>
      </c>
      <c r="D1443" s="1" t="s">
        <v>21</v>
      </c>
      <c r="E1443" s="2" t="s">
        <v>7</v>
      </c>
      <c r="F1443" s="9" t="s">
        <v>8</v>
      </c>
      <c r="H1443" t="str">
        <f>TRIM(SUBSTITUTE(PROPER(C1443)&amp;" "&amp;IF(OR(D1443="County",D1443="Township",D1443="Village",D1443="Charter Township"),D1443,"")&amp;IF(D1443="Township"," "&amp;"("&amp;VLOOKUP(A1443,counties,3,0)&amp;")",""),"  "," "))</f>
        <v>Metamora Village</v>
      </c>
    </row>
    <row r="1444" spans="1:8" ht="15.75" thickBot="1" x14ac:dyDescent="0.3">
      <c r="A1444">
        <f t="shared" si="23"/>
        <v>44</v>
      </c>
      <c r="B1444" s="10">
        <v>2016</v>
      </c>
      <c r="C1444" s="3" t="s">
        <v>1289</v>
      </c>
      <c r="D1444" s="3" t="s">
        <v>9</v>
      </c>
      <c r="E1444" s="4" t="s">
        <v>7</v>
      </c>
      <c r="F1444" s="11" t="s">
        <v>8</v>
      </c>
      <c r="H1444" t="str">
        <f>TRIM(SUBSTITUTE(PROPER(C1444)&amp;" "&amp;IF(OR(D1444="County",D1444="Township",D1444="Village",D1444="Charter Township"),D1444,"")&amp;IF(D1444="Township"," "&amp;"("&amp;VLOOKUP(A1444,counties,3,0)&amp;")",""),"  "," "))</f>
        <v>North Branch Township (Lapeer County)</v>
      </c>
    </row>
    <row r="1445" spans="1:8" ht="15.75" thickBot="1" x14ac:dyDescent="0.3">
      <c r="A1445">
        <f t="shared" si="23"/>
        <v>44</v>
      </c>
      <c r="B1445" s="8">
        <v>2016</v>
      </c>
      <c r="C1445" s="1" t="s">
        <v>1289</v>
      </c>
      <c r="D1445" s="1" t="s">
        <v>21</v>
      </c>
      <c r="E1445" s="2" t="s">
        <v>7</v>
      </c>
      <c r="F1445" s="9" t="s">
        <v>19</v>
      </c>
      <c r="H1445" t="str">
        <f>TRIM(SUBSTITUTE(PROPER(C1445)&amp;" "&amp;IF(OR(D1445="County",D1445="Township",D1445="Village",D1445="Charter Township"),D1445,"")&amp;IF(D1445="Township"," "&amp;"("&amp;VLOOKUP(A1445,counties,3,0)&amp;")",""),"  "," "))</f>
        <v>North Branch Village</v>
      </c>
    </row>
    <row r="1446" spans="1:8" ht="15.75" thickBot="1" x14ac:dyDescent="0.3">
      <c r="A1446">
        <f t="shared" si="23"/>
        <v>44</v>
      </c>
      <c r="B1446" s="10">
        <v>2016</v>
      </c>
      <c r="C1446" s="3" t="s">
        <v>1290</v>
      </c>
      <c r="D1446" s="3" t="s">
        <v>9</v>
      </c>
      <c r="E1446" s="4" t="s">
        <v>7</v>
      </c>
      <c r="F1446" s="11" t="s">
        <v>8</v>
      </c>
      <c r="H1446" t="str">
        <f>TRIM(SUBSTITUTE(PROPER(C1446)&amp;" "&amp;IF(OR(D1446="County",D1446="Township",D1446="Village",D1446="Charter Township"),D1446,"")&amp;IF(D1446="Township"," "&amp;"("&amp;VLOOKUP(A1446,counties,3,0)&amp;")",""),"  "," "))</f>
        <v>Oregon Township (Lapeer County)</v>
      </c>
    </row>
    <row r="1447" spans="1:8" ht="15.75" thickBot="1" x14ac:dyDescent="0.3">
      <c r="A1447">
        <f t="shared" si="23"/>
        <v>44</v>
      </c>
      <c r="B1447" s="8">
        <v>2016</v>
      </c>
      <c r="C1447" s="1" t="s">
        <v>1291</v>
      </c>
      <c r="D1447" s="1" t="s">
        <v>9</v>
      </c>
      <c r="E1447" s="2" t="s">
        <v>7</v>
      </c>
      <c r="F1447" s="9" t="s">
        <v>8</v>
      </c>
      <c r="H1447" t="str">
        <f>TRIM(SUBSTITUTE(PROPER(C1447)&amp;" "&amp;IF(OR(D1447="County",D1447="Township",D1447="Village",D1447="Charter Township"),D1447,"")&amp;IF(D1447="Township"," "&amp;"("&amp;VLOOKUP(A1447,counties,3,0)&amp;")",""),"  "," "))</f>
        <v>Rich Township (Lapeer County)</v>
      </c>
    </row>
    <row r="1448" spans="1:8" ht="15.75" thickBot="1" x14ac:dyDescent="0.3">
      <c r="A1448">
        <f t="shared" si="23"/>
        <v>44</v>
      </c>
      <c r="B1448" s="10">
        <v>2016</v>
      </c>
      <c r="C1448" s="3" t="s">
        <v>1292</v>
      </c>
      <c r="D1448" s="3" t="s">
        <v>42</v>
      </c>
      <c r="E1448" s="4" t="s">
        <v>7</v>
      </c>
      <c r="F1448" s="11" t="s">
        <v>8</v>
      </c>
      <c r="H1448" t="str">
        <f>TRIM(SUBSTITUTE(PROPER(C1448)&amp;" "&amp;IF(OR(D1448="County",D1448="Township",D1448="Village",D1448="Charter Township"),D1448,"")&amp;IF(D1448="Township"," "&amp;"("&amp;VLOOKUP(A1448,counties,3,0)&amp;")",""),"  "," "))</f>
        <v>Ruth Hughes Memorial District Library</v>
      </c>
    </row>
    <row r="1449" spans="1:8" ht="21.75" thickBot="1" x14ac:dyDescent="0.3">
      <c r="A1449">
        <f t="shared" si="23"/>
        <v>44</v>
      </c>
      <c r="B1449" s="16">
        <v>2016</v>
      </c>
      <c r="C1449" s="17" t="s">
        <v>1293</v>
      </c>
      <c r="D1449" s="17" t="s">
        <v>17</v>
      </c>
      <c r="E1449" s="18" t="s">
        <v>7</v>
      </c>
      <c r="F1449" s="19" t="s">
        <v>8</v>
      </c>
      <c r="H1449" t="str">
        <f>TRIM(SUBSTITUTE(PROPER(C1449)&amp;" "&amp;IF(OR(D1449="County",D1449="Township",D1449="Village",D1449="Charter Township"),D1449,"")&amp;IF(D1449="Township"," "&amp;"("&amp;VLOOKUP(A1449,counties,3,0)&amp;")",""),"  "," "))</f>
        <v>Tax Increment Finance Authorities #1, #2, #3, Trust &amp; Revolving Loan Fund Of The City Of Lapeer</v>
      </c>
    </row>
    <row r="1450" spans="1:8" ht="16.5" thickTop="1" thickBot="1" x14ac:dyDescent="0.3">
      <c r="A1450">
        <f t="shared" si="23"/>
        <v>45</v>
      </c>
      <c r="B1450" s="5" t="s">
        <v>0</v>
      </c>
      <c r="C1450" s="6" t="s">
        <v>1</v>
      </c>
      <c r="D1450" s="6" t="s">
        <v>2</v>
      </c>
      <c r="E1450" s="6" t="s">
        <v>3</v>
      </c>
      <c r="F1450" s="7" t="s">
        <v>4</v>
      </c>
      <c r="H1450" t="str">
        <f>TRIM(SUBSTITUTE(PROPER(C1450)&amp;" "&amp;IF(OR(D1450="County",D1450="Township",D1450="Village",D1450="Charter Township"),D1450,"")&amp;IF(D1450="Township"," "&amp;"("&amp;VLOOKUP(A1450,counties,3,0)&amp;")",""),"  "," "))</f>
        <v>Municipality</v>
      </c>
    </row>
    <row r="1451" spans="1:8" ht="15.75" thickBot="1" x14ac:dyDescent="0.3">
      <c r="A1451">
        <f t="shared" si="23"/>
        <v>45</v>
      </c>
      <c r="B1451" s="8">
        <v>2016</v>
      </c>
      <c r="C1451" s="1" t="s">
        <v>507</v>
      </c>
      <c r="D1451" s="1" t="s">
        <v>9</v>
      </c>
      <c r="E1451" s="2" t="s">
        <v>7</v>
      </c>
      <c r="F1451" s="9" t="s">
        <v>8</v>
      </c>
      <c r="H1451" t="str">
        <f>TRIM(SUBSTITUTE(PROPER(C1451)&amp;" "&amp;IF(OR(D1451="County",D1451="Township",D1451="Village",D1451="Charter Township"),D1451,"")&amp;IF(D1451="Township"," "&amp;"("&amp;VLOOKUP(A1451,counties,3,0)&amp;")",""),"  "," "))</f>
        <v>Bingham Township (Leelanau County)</v>
      </c>
    </row>
    <row r="1452" spans="1:8" ht="15.75" thickBot="1" x14ac:dyDescent="0.3">
      <c r="A1452">
        <f t="shared" si="23"/>
        <v>45</v>
      </c>
      <c r="B1452" s="10">
        <v>2016</v>
      </c>
      <c r="C1452" s="3" t="s">
        <v>1294</v>
      </c>
      <c r="D1452" s="3" t="s">
        <v>72</v>
      </c>
      <c r="E1452" s="4" t="s">
        <v>7</v>
      </c>
      <c r="F1452" s="11" t="s">
        <v>8</v>
      </c>
      <c r="H1452" t="str">
        <f>TRIM(SUBSTITUTE(PROPER(C1452)&amp;" "&amp;IF(OR(D1452="County",D1452="Township",D1452="Village",D1452="Charter Township"),D1452,"")&amp;IF(D1452="Township"," "&amp;"("&amp;VLOOKUP(A1452,counties,3,0)&amp;")",""),"  "," "))</f>
        <v>Binghams-Suttons Bay Joint Building Authority</v>
      </c>
    </row>
    <row r="1453" spans="1:8" ht="15.75" thickBot="1" x14ac:dyDescent="0.3">
      <c r="A1453">
        <f t="shared" si="23"/>
        <v>45</v>
      </c>
      <c r="B1453" s="8">
        <v>2016</v>
      </c>
      <c r="C1453" s="1" t="s">
        <v>1295</v>
      </c>
      <c r="D1453" s="1" t="s">
        <v>9</v>
      </c>
      <c r="E1453" s="2" t="s">
        <v>7</v>
      </c>
      <c r="F1453" s="9" t="s">
        <v>8</v>
      </c>
      <c r="H1453" t="str">
        <f>TRIM(SUBSTITUTE(PROPER(C1453)&amp;" "&amp;IF(OR(D1453="County",D1453="Township",D1453="Village",D1453="Charter Township"),D1453,"")&amp;IF(D1453="Township"," "&amp;"("&amp;VLOOKUP(A1453,counties,3,0)&amp;")",""),"  "," "))</f>
        <v>Centerville Township (Leelanau County)</v>
      </c>
    </row>
    <row r="1454" spans="1:8" ht="15.75" thickBot="1" x14ac:dyDescent="0.3">
      <c r="A1454">
        <f t="shared" si="23"/>
        <v>45</v>
      </c>
      <c r="B1454" s="10">
        <v>2016</v>
      </c>
      <c r="C1454" s="3" t="s">
        <v>1296</v>
      </c>
      <c r="D1454" s="3" t="s">
        <v>9</v>
      </c>
      <c r="E1454" s="4" t="s">
        <v>7</v>
      </c>
      <c r="F1454" s="11" t="s">
        <v>8</v>
      </c>
      <c r="H1454" t="str">
        <f>TRIM(SUBSTITUTE(PROPER(C1454)&amp;" "&amp;IF(OR(D1454="County",D1454="Township",D1454="Village",D1454="Charter Township"),D1454,"")&amp;IF(D1454="Township"," "&amp;"("&amp;VLOOKUP(A1454,counties,3,0)&amp;")",""),"  "," "))</f>
        <v>Cleveland Township (Leelanau County)</v>
      </c>
    </row>
    <row r="1455" spans="1:8" ht="15.75" thickBot="1" x14ac:dyDescent="0.3">
      <c r="A1455">
        <f t="shared" si="23"/>
        <v>45</v>
      </c>
      <c r="B1455" s="8">
        <v>2016</v>
      </c>
      <c r="C1455" s="1" t="s">
        <v>1297</v>
      </c>
      <c r="D1455" s="1" t="s">
        <v>9</v>
      </c>
      <c r="E1455" s="2" t="s">
        <v>7</v>
      </c>
      <c r="F1455" s="9" t="s">
        <v>8</v>
      </c>
      <c r="H1455" t="str">
        <f>TRIM(SUBSTITUTE(PROPER(C1455)&amp;" "&amp;IF(OR(D1455="County",D1455="Township",D1455="Village",D1455="Charter Township"),D1455,"")&amp;IF(D1455="Township"," "&amp;"("&amp;VLOOKUP(A1455,counties,3,0)&amp;")",""),"  "," "))</f>
        <v>Elmwood Charter Township (Leelanau County)</v>
      </c>
    </row>
    <row r="1456" spans="1:8" ht="15.75" thickBot="1" x14ac:dyDescent="0.3">
      <c r="A1456">
        <f t="shared" si="23"/>
        <v>45</v>
      </c>
      <c r="B1456" s="10">
        <v>2016</v>
      </c>
      <c r="C1456" s="3" t="s">
        <v>1298</v>
      </c>
      <c r="D1456" s="3" t="s">
        <v>21</v>
      </c>
      <c r="E1456" s="4" t="s">
        <v>7</v>
      </c>
      <c r="F1456" s="11" t="s">
        <v>8</v>
      </c>
      <c r="H1456" t="str">
        <f>TRIM(SUBSTITUTE(PROPER(C1456)&amp;" "&amp;IF(OR(D1456="County",D1456="Township",D1456="Village",D1456="Charter Township"),D1456,"")&amp;IF(D1456="Township"," "&amp;"("&amp;VLOOKUP(A1456,counties,3,0)&amp;")",""),"  "," "))</f>
        <v>Empire Village</v>
      </c>
    </row>
    <row r="1457" spans="1:8" ht="15.75" thickBot="1" x14ac:dyDescent="0.3">
      <c r="A1457">
        <f t="shared" si="23"/>
        <v>45</v>
      </c>
      <c r="B1457" s="8">
        <v>2016</v>
      </c>
      <c r="C1457" s="1" t="s">
        <v>1299</v>
      </c>
      <c r="D1457" s="1" t="s">
        <v>9</v>
      </c>
      <c r="E1457" s="2" t="s">
        <v>7</v>
      </c>
      <c r="F1457" s="9" t="s">
        <v>8</v>
      </c>
      <c r="H1457" t="str">
        <f>TRIM(SUBSTITUTE(PROPER(C1457)&amp;" "&amp;IF(OR(D1457="County",D1457="Township",D1457="Village",D1457="Charter Township"),D1457,"")&amp;IF(D1457="Township"," "&amp;"("&amp;VLOOKUP(A1457,counties,3,0)&amp;")",""),"  "," "))</f>
        <v>Glen Arbor Township (Leelanau County)</v>
      </c>
    </row>
    <row r="1458" spans="1:8" ht="15.75" thickBot="1" x14ac:dyDescent="0.3">
      <c r="A1458">
        <f t="shared" si="23"/>
        <v>45</v>
      </c>
      <c r="B1458" s="10">
        <v>2016</v>
      </c>
      <c r="C1458" s="3" t="s">
        <v>1300</v>
      </c>
      <c r="D1458" s="3" t="s">
        <v>42</v>
      </c>
      <c r="E1458" s="4" t="s">
        <v>7</v>
      </c>
      <c r="F1458" s="11" t="s">
        <v>8</v>
      </c>
      <c r="H1458" t="str">
        <f>TRIM(SUBSTITUTE(PROPER(C1458)&amp;" "&amp;IF(OR(D1458="County",D1458="Township",D1458="Village",D1458="Charter Township"),D1458,"")&amp;IF(D1458="Township"," "&amp;"("&amp;VLOOKUP(A1458,counties,3,0)&amp;")",""),"  "," "))</f>
        <v>Glen Lake Community Lib</v>
      </c>
    </row>
    <row r="1459" spans="1:8" ht="15.75" thickBot="1" x14ac:dyDescent="0.3">
      <c r="A1459">
        <f t="shared" si="23"/>
        <v>45</v>
      </c>
      <c r="B1459" s="8">
        <v>2016</v>
      </c>
      <c r="C1459" s="1" t="s">
        <v>1301</v>
      </c>
      <c r="D1459" s="1" t="s">
        <v>9</v>
      </c>
      <c r="E1459" s="2" t="s">
        <v>7</v>
      </c>
      <c r="F1459" s="9" t="s">
        <v>8</v>
      </c>
      <c r="H1459" t="str">
        <f>TRIM(SUBSTITUTE(PROPER(C1459)&amp;" "&amp;IF(OR(D1459="County",D1459="Township",D1459="Village",D1459="Charter Township"),D1459,"")&amp;IF(D1459="Township"," "&amp;"("&amp;VLOOKUP(A1459,counties,3,0)&amp;")",""),"  "," "))</f>
        <v>Kasson Township (Leelanau County)</v>
      </c>
    </row>
    <row r="1460" spans="1:8" ht="15.75" thickBot="1" x14ac:dyDescent="0.3">
      <c r="A1460">
        <f t="shared" si="23"/>
        <v>45</v>
      </c>
      <c r="B1460" s="10">
        <v>2016</v>
      </c>
      <c r="C1460" s="3" t="s">
        <v>1302</v>
      </c>
      <c r="D1460" s="3" t="s">
        <v>6</v>
      </c>
      <c r="E1460" s="4" t="s">
        <v>7</v>
      </c>
      <c r="F1460" s="11" t="s">
        <v>8</v>
      </c>
      <c r="H1460" t="str">
        <f>TRIM(SUBSTITUTE(PROPER(C1460)&amp;" "&amp;IF(OR(D1460="County",D1460="Township",D1460="Village",D1460="Charter Township"),D1460,"")&amp;IF(D1460="Township"," "&amp;"("&amp;VLOOKUP(A1460,counties,3,0)&amp;")",""),"  "," "))</f>
        <v>Leelanau County</v>
      </c>
    </row>
    <row r="1461" spans="1:8" ht="15.75" thickBot="1" x14ac:dyDescent="0.3">
      <c r="A1461">
        <f t="shared" si="23"/>
        <v>45</v>
      </c>
      <c r="B1461" s="8">
        <v>2016</v>
      </c>
      <c r="C1461" s="1" t="s">
        <v>1302</v>
      </c>
      <c r="D1461" s="1" t="s">
        <v>9</v>
      </c>
      <c r="E1461" s="2" t="s">
        <v>7</v>
      </c>
      <c r="F1461" s="9" t="s">
        <v>8</v>
      </c>
      <c r="H1461" t="str">
        <f>TRIM(SUBSTITUTE(PROPER(C1461)&amp;" "&amp;IF(OR(D1461="County",D1461="Township",D1461="Village",D1461="Charter Township"),D1461,"")&amp;IF(D1461="Township"," "&amp;"("&amp;VLOOKUP(A1461,counties,3,0)&amp;")",""),"  "," "))</f>
        <v>Leelanau Township (Leelanau County)</v>
      </c>
    </row>
    <row r="1462" spans="1:8" ht="15.75" thickBot="1" x14ac:dyDescent="0.3">
      <c r="A1462">
        <f t="shared" si="23"/>
        <v>45</v>
      </c>
      <c r="B1462" s="10">
        <v>2016</v>
      </c>
      <c r="C1462" s="3" t="s">
        <v>1303</v>
      </c>
      <c r="D1462" s="3" t="s">
        <v>11</v>
      </c>
      <c r="E1462" s="4" t="s">
        <v>7</v>
      </c>
      <c r="F1462" s="11" t="s">
        <v>8</v>
      </c>
      <c r="H1462" t="str">
        <f>TRIM(SUBSTITUTE(PROPER(C1462)&amp;" "&amp;IF(OR(D1462="County",D1462="Township",D1462="Village",D1462="Charter Township"),D1462,"")&amp;IF(D1462="Township"," "&amp;"("&amp;VLOOKUP(A1462,counties,3,0)&amp;")",""),"  "," "))</f>
        <v>Leelanau Co Road Commission</v>
      </c>
    </row>
    <row r="1463" spans="1:8" ht="15.75" thickBot="1" x14ac:dyDescent="0.3">
      <c r="A1463">
        <f t="shared" si="23"/>
        <v>45</v>
      </c>
      <c r="B1463" s="8">
        <v>2016</v>
      </c>
      <c r="C1463" s="1" t="s">
        <v>1304</v>
      </c>
      <c r="D1463" s="1" t="s">
        <v>9</v>
      </c>
      <c r="E1463" s="2" t="s">
        <v>7</v>
      </c>
      <c r="F1463" s="9" t="s">
        <v>8</v>
      </c>
      <c r="H1463" t="str">
        <f>TRIM(SUBSTITUTE(PROPER(C1463)&amp;" "&amp;IF(OR(D1463="County",D1463="Township",D1463="Village",D1463="Charter Township"),D1463,"")&amp;IF(D1463="Township"," "&amp;"("&amp;VLOOKUP(A1463,counties,3,0)&amp;")",""),"  "," "))</f>
        <v>Leland Township (Leelanau County)</v>
      </c>
    </row>
    <row r="1464" spans="1:8" ht="15.75" thickBot="1" x14ac:dyDescent="0.3">
      <c r="A1464">
        <f t="shared" si="23"/>
        <v>45</v>
      </c>
      <c r="B1464" s="10">
        <v>2016</v>
      </c>
      <c r="C1464" s="3" t="s">
        <v>1305</v>
      </c>
      <c r="D1464" s="3" t="s">
        <v>21</v>
      </c>
      <c r="E1464" s="4" t="s">
        <v>7</v>
      </c>
      <c r="F1464" s="11" t="s">
        <v>8</v>
      </c>
      <c r="H1464" t="str">
        <f>TRIM(SUBSTITUTE(PROPER(C1464)&amp;" "&amp;IF(OR(D1464="County",D1464="Township",D1464="Village",D1464="Charter Township"),D1464,"")&amp;IF(D1464="Township"," "&amp;"("&amp;VLOOKUP(A1464,counties,3,0)&amp;")",""),"  "," "))</f>
        <v>Northport Village</v>
      </c>
    </row>
    <row r="1465" spans="1:8" ht="15.75" thickBot="1" x14ac:dyDescent="0.3">
      <c r="A1465">
        <f t="shared" si="23"/>
        <v>45</v>
      </c>
      <c r="B1465" s="8">
        <v>2016</v>
      </c>
      <c r="C1465" s="1" t="s">
        <v>1233</v>
      </c>
      <c r="D1465" s="1" t="s">
        <v>9</v>
      </c>
      <c r="E1465" s="2" t="s">
        <v>7</v>
      </c>
      <c r="F1465" s="9" t="s">
        <v>8</v>
      </c>
      <c r="H1465" t="str">
        <f>TRIM(SUBSTITUTE(PROPER(C1465)&amp;" "&amp;IF(OR(D1465="County",D1465="Township",D1465="Village",D1465="Charter Township"),D1465,"")&amp;IF(D1465="Township"," "&amp;"("&amp;VLOOKUP(A1465,counties,3,0)&amp;")",""),"  "," "))</f>
        <v>Solon Township (Leelanau County)</v>
      </c>
    </row>
    <row r="1466" spans="1:8" ht="15.75" thickBot="1" x14ac:dyDescent="0.3">
      <c r="A1466">
        <f t="shared" si="23"/>
        <v>45</v>
      </c>
      <c r="B1466" s="10">
        <v>2016</v>
      </c>
      <c r="C1466" s="3" t="s">
        <v>1306</v>
      </c>
      <c r="D1466" s="3" t="s">
        <v>72</v>
      </c>
      <c r="E1466" s="4" t="s">
        <v>7</v>
      </c>
      <c r="F1466" s="11" t="s">
        <v>8</v>
      </c>
      <c r="H1466" t="str">
        <f>TRIM(SUBSTITUTE(PROPER(C1466)&amp;" "&amp;IF(OR(D1466="County",D1466="Township",D1466="Village",D1466="Charter Township"),D1466,"")&amp;IF(D1466="Township"," "&amp;"("&amp;VLOOKUP(A1466,counties,3,0)&amp;")",""),"  "," "))</f>
        <v>Solon-Centerville Fire Department</v>
      </c>
    </row>
    <row r="1467" spans="1:8" ht="15.75" thickBot="1" x14ac:dyDescent="0.3">
      <c r="A1467">
        <f t="shared" si="23"/>
        <v>45</v>
      </c>
      <c r="B1467" s="8">
        <v>2016</v>
      </c>
      <c r="C1467" s="1" t="s">
        <v>1307</v>
      </c>
      <c r="D1467" s="1" t="s">
        <v>21</v>
      </c>
      <c r="E1467" s="2" t="s">
        <v>7</v>
      </c>
      <c r="F1467" s="9" t="s">
        <v>8</v>
      </c>
      <c r="H1467" t="str">
        <f>TRIM(SUBSTITUTE(PROPER(C1467)&amp;" "&amp;IF(OR(D1467="County",D1467="Township",D1467="Village",D1467="Charter Township"),D1467,"")&amp;IF(D1467="Township"," "&amp;"("&amp;VLOOKUP(A1467,counties,3,0)&amp;")",""),"  "," "))</f>
        <v>Suttons Bay Village</v>
      </c>
    </row>
    <row r="1468" spans="1:8" ht="15.75" thickBot="1" x14ac:dyDescent="0.3">
      <c r="A1468">
        <f t="shared" si="23"/>
        <v>45</v>
      </c>
      <c r="B1468" s="10">
        <v>2016</v>
      </c>
      <c r="C1468" s="3" t="s">
        <v>1308</v>
      </c>
      <c r="D1468" s="3" t="s">
        <v>42</v>
      </c>
      <c r="E1468" s="4" t="s">
        <v>7</v>
      </c>
      <c r="F1468" s="11" t="s">
        <v>8</v>
      </c>
      <c r="H1468" t="str">
        <f>TRIM(SUBSTITUTE(PROPER(C1468)&amp;" "&amp;IF(OR(D1468="County",D1468="Township",D1468="Village",D1468="Charter Township"),D1468,"")&amp;IF(D1468="Township"," "&amp;"("&amp;VLOOKUP(A1468,counties,3,0)&amp;")",""),"  "," "))</f>
        <v>Suttons Bay-Bingham District Library</v>
      </c>
    </row>
    <row r="1469" spans="1:8" ht="15.75" thickBot="1" x14ac:dyDescent="0.3">
      <c r="A1469">
        <f t="shared" si="23"/>
        <v>45</v>
      </c>
      <c r="B1469" s="16">
        <v>2016</v>
      </c>
      <c r="C1469" s="17" t="s">
        <v>1309</v>
      </c>
      <c r="D1469" s="17" t="s">
        <v>72</v>
      </c>
      <c r="E1469" s="18" t="s">
        <v>7</v>
      </c>
      <c r="F1469" s="19" t="s">
        <v>8</v>
      </c>
      <c r="H1469" t="str">
        <f>TRIM(SUBSTITUTE(PROPER(C1469)&amp;" "&amp;IF(OR(D1469="County",D1469="Township",D1469="Village",D1469="Charter Township"),D1469,"")&amp;IF(D1469="Township"," "&amp;"("&amp;VLOOKUP(A1469,counties,3,0)&amp;")",""),"  "," "))</f>
        <v>Suttons Bay-Bingham Fire &amp; Rescue Authority</v>
      </c>
    </row>
    <row r="1470" spans="1:8" ht="16.5" thickTop="1" thickBot="1" x14ac:dyDescent="0.3">
      <c r="A1470">
        <f t="shared" si="23"/>
        <v>46</v>
      </c>
      <c r="B1470" s="5" t="s">
        <v>0</v>
      </c>
      <c r="C1470" s="6" t="s">
        <v>1</v>
      </c>
      <c r="D1470" s="6" t="s">
        <v>2</v>
      </c>
      <c r="E1470" s="6" t="s">
        <v>3</v>
      </c>
      <c r="F1470" s="7" t="s">
        <v>4</v>
      </c>
      <c r="H1470" t="str">
        <f>TRIM(SUBSTITUTE(PROPER(C1470)&amp;" "&amp;IF(OR(D1470="County",D1470="Township",D1470="Village",D1470="Charter Township"),D1470,"")&amp;IF(D1470="Township"," "&amp;"("&amp;VLOOKUP(A1470,counties,3,0)&amp;")",""),"  "," "))</f>
        <v>Municipality</v>
      </c>
    </row>
    <row r="1471" spans="1:8" ht="15.75" thickBot="1" x14ac:dyDescent="0.3">
      <c r="A1471">
        <f t="shared" si="23"/>
        <v>46</v>
      </c>
      <c r="B1471" s="8">
        <v>2016</v>
      </c>
      <c r="C1471" s="1" t="s">
        <v>1310</v>
      </c>
      <c r="D1471" s="1" t="s">
        <v>17</v>
      </c>
      <c r="E1471" s="2" t="s">
        <v>7</v>
      </c>
      <c r="F1471" s="9" t="s">
        <v>8</v>
      </c>
      <c r="H1471" t="str">
        <f>TRIM(SUBSTITUTE(PROPER(C1471)&amp;" "&amp;IF(OR(D1471="County",D1471="Township",D1471="Village",D1471="Charter Township"),D1471,"")&amp;IF(D1471="Township"," "&amp;"("&amp;VLOOKUP(A1471,counties,3,0)&amp;")",""),"  "," "))</f>
        <v>Addison Fire Dept And Emergency Medical Service</v>
      </c>
    </row>
    <row r="1472" spans="1:8" ht="15.75" thickBot="1" x14ac:dyDescent="0.3">
      <c r="A1472">
        <f t="shared" si="23"/>
        <v>46</v>
      </c>
      <c r="B1472" s="10">
        <v>2016</v>
      </c>
      <c r="C1472" s="3" t="s">
        <v>1311</v>
      </c>
      <c r="D1472" s="3" t="s">
        <v>15</v>
      </c>
      <c r="E1472" s="4" t="s">
        <v>7</v>
      </c>
      <c r="F1472" s="11" t="s">
        <v>8</v>
      </c>
      <c r="H1472" t="str">
        <f>TRIM(SUBSTITUTE(PROPER(C1472)&amp;" "&amp;IF(OR(D1472="County",D1472="Township",D1472="Village",D1472="Charter Township"),D1472,"")&amp;IF(D1472="Township"," "&amp;"("&amp;VLOOKUP(A1472,counties,3,0)&amp;")",""),"  "," "))</f>
        <v>Adrian</v>
      </c>
    </row>
    <row r="1473" spans="1:8" ht="15.75" thickBot="1" x14ac:dyDescent="0.3">
      <c r="A1473">
        <f t="shared" si="23"/>
        <v>46</v>
      </c>
      <c r="B1473" s="8">
        <v>2016</v>
      </c>
      <c r="C1473" s="1" t="s">
        <v>1312</v>
      </c>
      <c r="D1473" s="1" t="s">
        <v>9</v>
      </c>
      <c r="E1473" s="2" t="s">
        <v>7</v>
      </c>
      <c r="F1473" s="9" t="s">
        <v>8</v>
      </c>
      <c r="H1473" t="str">
        <f>TRIM(SUBSTITUTE(PROPER(C1473)&amp;" "&amp;IF(OR(D1473="County",D1473="Township",D1473="Village",D1473="Charter Township"),D1473,"")&amp;IF(D1473="Township"," "&amp;"("&amp;VLOOKUP(A1473,counties,3,0)&amp;")",""),"  "," "))</f>
        <v>Adrian Charter Township (Lenawee County)</v>
      </c>
    </row>
    <row r="1474" spans="1:8" ht="15.75" thickBot="1" x14ac:dyDescent="0.3">
      <c r="A1474">
        <f t="shared" si="23"/>
        <v>46</v>
      </c>
      <c r="B1474" s="10">
        <v>2016</v>
      </c>
      <c r="C1474" s="3" t="s">
        <v>1313</v>
      </c>
      <c r="D1474" s="3" t="s">
        <v>17</v>
      </c>
      <c r="E1474" s="4" t="s">
        <v>7</v>
      </c>
      <c r="F1474" s="11" t="s">
        <v>8</v>
      </c>
      <c r="H1474" t="str">
        <f>TRIM(SUBSTITUTE(PROPER(C1474)&amp;" "&amp;IF(OR(D1474="County",D1474="Township",D1474="Village",D1474="Charter Township"),D1474,"")&amp;IF(D1474="Township"," "&amp;"("&amp;VLOOKUP(A1474,counties,3,0)&amp;")",""),"  "," "))</f>
        <v>Adrian City Dial-A-Ride</v>
      </c>
    </row>
    <row r="1475" spans="1:8" ht="15.75" thickBot="1" x14ac:dyDescent="0.3">
      <c r="A1475">
        <f t="shared" ref="A1475:A1538" si="24">IF(B1475="Year",A1474+1,A1474)</f>
        <v>46</v>
      </c>
      <c r="B1475" s="8">
        <v>2016</v>
      </c>
      <c r="C1475" s="1" t="s">
        <v>1314</v>
      </c>
      <c r="D1475" s="1" t="s">
        <v>9</v>
      </c>
      <c r="E1475" s="2" t="s">
        <v>7</v>
      </c>
      <c r="F1475" s="9" t="s">
        <v>8</v>
      </c>
      <c r="H1475" t="str">
        <f>TRIM(SUBSTITUTE(PROPER(C1475)&amp;" "&amp;IF(OR(D1475="County",D1475="Township",D1475="Village",D1475="Charter Township"),D1475,"")&amp;IF(D1475="Township"," "&amp;"("&amp;VLOOKUP(A1475,counties,3,0)&amp;")",""),"  "," "))</f>
        <v>Blissfield Township (Lenawee County)</v>
      </c>
    </row>
    <row r="1476" spans="1:8" ht="15.75" thickBot="1" x14ac:dyDescent="0.3">
      <c r="A1476">
        <f t="shared" si="24"/>
        <v>46</v>
      </c>
      <c r="B1476" s="10">
        <v>2016</v>
      </c>
      <c r="C1476" s="3" t="s">
        <v>1314</v>
      </c>
      <c r="D1476" s="3" t="s">
        <v>21</v>
      </c>
      <c r="E1476" s="4" t="s">
        <v>7</v>
      </c>
      <c r="F1476" s="11" t="s">
        <v>8</v>
      </c>
      <c r="H1476" t="str">
        <f>TRIM(SUBSTITUTE(PROPER(C1476)&amp;" "&amp;IF(OR(D1476="County",D1476="Township",D1476="Village",D1476="Charter Township"),D1476,"")&amp;IF(D1476="Township"," "&amp;"("&amp;VLOOKUP(A1476,counties,3,0)&amp;")",""),"  "," "))</f>
        <v>Blissfield Village</v>
      </c>
    </row>
    <row r="1477" spans="1:8" ht="15.75" thickBot="1" x14ac:dyDescent="0.3">
      <c r="A1477">
        <f t="shared" si="24"/>
        <v>46</v>
      </c>
      <c r="B1477" s="8">
        <v>2016</v>
      </c>
      <c r="C1477" s="1" t="s">
        <v>1315</v>
      </c>
      <c r="D1477" s="1" t="s">
        <v>21</v>
      </c>
      <c r="E1477" s="2" t="s">
        <v>7</v>
      </c>
      <c r="F1477" s="9" t="s">
        <v>8</v>
      </c>
      <c r="H1477" t="str">
        <f>TRIM(SUBSTITUTE(PROPER(C1477)&amp;" "&amp;IF(OR(D1477="County",D1477="Township",D1477="Village",D1477="Charter Township"),D1477,"")&amp;IF(D1477="Township"," "&amp;"("&amp;VLOOKUP(A1477,counties,3,0)&amp;")",""),"  "," "))</f>
        <v>Britton Village</v>
      </c>
    </row>
    <row r="1478" spans="1:8" ht="15.75" thickBot="1" x14ac:dyDescent="0.3">
      <c r="A1478">
        <f t="shared" si="24"/>
        <v>46</v>
      </c>
      <c r="B1478" s="10">
        <v>2016</v>
      </c>
      <c r="C1478" s="3" t="s">
        <v>1316</v>
      </c>
      <c r="D1478" s="3" t="s">
        <v>9</v>
      </c>
      <c r="E1478" s="4" t="s">
        <v>7</v>
      </c>
      <c r="F1478" s="11" t="s">
        <v>8</v>
      </c>
      <c r="H1478" t="str">
        <f>TRIM(SUBSTITUTE(PROPER(C1478)&amp;" "&amp;IF(OR(D1478="County",D1478="Township",D1478="Village",D1478="Charter Township"),D1478,"")&amp;IF(D1478="Township"," "&amp;"("&amp;VLOOKUP(A1478,counties,3,0)&amp;")",""),"  "," "))</f>
        <v>Cambridge Township (Lenawee County)</v>
      </c>
    </row>
    <row r="1479" spans="1:8" ht="15.75" thickBot="1" x14ac:dyDescent="0.3">
      <c r="A1479">
        <f t="shared" si="24"/>
        <v>46</v>
      </c>
      <c r="B1479" s="8">
        <v>2016</v>
      </c>
      <c r="C1479" s="1" t="s">
        <v>1317</v>
      </c>
      <c r="D1479" s="1" t="s">
        <v>21</v>
      </c>
      <c r="E1479" s="2" t="s">
        <v>7</v>
      </c>
      <c r="F1479" s="9" t="s">
        <v>8</v>
      </c>
      <c r="H1479" t="str">
        <f>TRIM(SUBSTITUTE(PROPER(C1479)&amp;" "&amp;IF(OR(D1479="County",D1479="Township",D1479="Village",D1479="Charter Township"),D1479,"")&amp;IF(D1479="Township"," "&amp;"("&amp;VLOOKUP(A1479,counties,3,0)&amp;")",""),"  "," "))</f>
        <v>Cement City Village</v>
      </c>
    </row>
    <row r="1480" spans="1:8" ht="15.75" thickBot="1" x14ac:dyDescent="0.3">
      <c r="A1480">
        <f t="shared" si="24"/>
        <v>46</v>
      </c>
      <c r="B1480" s="10">
        <v>2016</v>
      </c>
      <c r="C1480" s="3" t="s">
        <v>509</v>
      </c>
      <c r="D1480" s="3" t="s">
        <v>9</v>
      </c>
      <c r="E1480" s="4" t="s">
        <v>7</v>
      </c>
      <c r="F1480" s="11" t="s">
        <v>8</v>
      </c>
      <c r="H1480" t="str">
        <f>TRIM(SUBSTITUTE(PROPER(C1480)&amp;" "&amp;IF(OR(D1480="County",D1480="Township",D1480="Village",D1480="Charter Township"),D1480,"")&amp;IF(D1480="Township"," "&amp;"("&amp;VLOOKUP(A1480,counties,3,0)&amp;")",""),"  "," "))</f>
        <v>Clinton Township (Lenawee County)</v>
      </c>
    </row>
    <row r="1481" spans="1:8" ht="15.75" thickBot="1" x14ac:dyDescent="0.3">
      <c r="A1481">
        <f t="shared" si="24"/>
        <v>46</v>
      </c>
      <c r="B1481" s="8">
        <v>2016</v>
      </c>
      <c r="C1481" s="1" t="s">
        <v>509</v>
      </c>
      <c r="D1481" s="1" t="s">
        <v>21</v>
      </c>
      <c r="E1481" s="2" t="s">
        <v>7</v>
      </c>
      <c r="F1481" s="9" t="s">
        <v>8</v>
      </c>
      <c r="H1481" t="str">
        <f>TRIM(SUBSTITUTE(PROPER(C1481)&amp;" "&amp;IF(OR(D1481="County",D1481="Township",D1481="Village",D1481="Charter Township"),D1481,"")&amp;IF(D1481="Township"," "&amp;"("&amp;VLOOKUP(A1481,counties,3,0)&amp;")",""),"  "," "))</f>
        <v>Clinton Village</v>
      </c>
    </row>
    <row r="1482" spans="1:8" ht="15.75" thickBot="1" x14ac:dyDescent="0.3">
      <c r="A1482">
        <f t="shared" si="24"/>
        <v>46</v>
      </c>
      <c r="B1482" s="10">
        <v>2016</v>
      </c>
      <c r="C1482" s="3" t="s">
        <v>1054</v>
      </c>
      <c r="D1482" s="3" t="s">
        <v>21</v>
      </c>
      <c r="E1482" s="4" t="s">
        <v>7</v>
      </c>
      <c r="F1482" s="11" t="s">
        <v>8</v>
      </c>
      <c r="H1482" t="str">
        <f>TRIM(SUBSTITUTE(PROPER(C1482)&amp;" "&amp;IF(OR(D1482="County",D1482="Township",D1482="Village",D1482="Charter Township"),D1482,"")&amp;IF(D1482="Township"," "&amp;"("&amp;VLOOKUP(A1482,counties,3,0)&amp;")",""),"  "," "))</f>
        <v>Deerfield Village</v>
      </c>
    </row>
    <row r="1483" spans="1:8" ht="15.75" thickBot="1" x14ac:dyDescent="0.3">
      <c r="A1483">
        <f t="shared" si="24"/>
        <v>46</v>
      </c>
      <c r="B1483" s="8">
        <v>2016</v>
      </c>
      <c r="C1483" s="1" t="s">
        <v>1318</v>
      </c>
      <c r="D1483" s="1" t="s">
        <v>9</v>
      </c>
      <c r="E1483" s="2" t="s">
        <v>7</v>
      </c>
      <c r="F1483" s="9" t="s">
        <v>8</v>
      </c>
      <c r="H1483" t="str">
        <f>TRIM(SUBSTITUTE(PROPER(C1483)&amp;" "&amp;IF(OR(D1483="County",D1483="Township",D1483="Village",D1483="Charter Township"),D1483,"")&amp;IF(D1483="Township"," "&amp;"("&amp;VLOOKUP(A1483,counties,3,0)&amp;")",""),"  "," "))</f>
        <v>Fairfield Township (Lenawee County)</v>
      </c>
    </row>
    <row r="1484" spans="1:8" ht="15.75" thickBot="1" x14ac:dyDescent="0.3">
      <c r="A1484">
        <f t="shared" si="24"/>
        <v>46</v>
      </c>
      <c r="B1484" s="10">
        <v>2016</v>
      </c>
      <c r="C1484" s="3" t="s">
        <v>489</v>
      </c>
      <c r="D1484" s="3" t="s">
        <v>9</v>
      </c>
      <c r="E1484" s="4" t="s">
        <v>7</v>
      </c>
      <c r="F1484" s="11" t="s">
        <v>19</v>
      </c>
      <c r="H1484" t="str">
        <f>TRIM(SUBSTITUTE(PROPER(C1484)&amp;" "&amp;IF(OR(D1484="County",D1484="Township",D1484="Village",D1484="Charter Township"),D1484,"")&amp;IF(D1484="Township"," "&amp;"("&amp;VLOOKUP(A1484,counties,3,0)&amp;")",""),"  "," "))</f>
        <v>Franklin Township (Lenawee County)</v>
      </c>
    </row>
    <row r="1485" spans="1:8" ht="15.75" thickBot="1" x14ac:dyDescent="0.3">
      <c r="A1485">
        <f t="shared" si="24"/>
        <v>46</v>
      </c>
      <c r="B1485" s="8">
        <v>2016</v>
      </c>
      <c r="C1485" s="1" t="s">
        <v>432</v>
      </c>
      <c r="D1485" s="1" t="s">
        <v>15</v>
      </c>
      <c r="E1485" s="2" t="s">
        <v>7</v>
      </c>
      <c r="F1485" s="9" t="s">
        <v>8</v>
      </c>
      <c r="H1485" t="str">
        <f>TRIM(SUBSTITUTE(PROPER(C1485)&amp;" "&amp;IF(OR(D1485="County",D1485="Township",D1485="Village",D1485="Charter Township"),D1485,"")&amp;IF(D1485="Township"," "&amp;"("&amp;VLOOKUP(A1485,counties,3,0)&amp;")",""),"  "," "))</f>
        <v>Hudson</v>
      </c>
    </row>
    <row r="1486" spans="1:8" ht="15.75" thickBot="1" x14ac:dyDescent="0.3">
      <c r="A1486">
        <f t="shared" si="24"/>
        <v>46</v>
      </c>
      <c r="B1486" s="10">
        <v>2016</v>
      </c>
      <c r="C1486" s="3" t="s">
        <v>1319</v>
      </c>
      <c r="D1486" s="3" t="s">
        <v>42</v>
      </c>
      <c r="E1486" s="4" t="s">
        <v>7</v>
      </c>
      <c r="F1486" s="11" t="s">
        <v>8</v>
      </c>
      <c r="H1486" t="str">
        <f>TRIM(SUBSTITUTE(PROPER(C1486)&amp;" "&amp;IF(OR(D1486="County",D1486="Township",D1486="Village",D1486="Charter Township"),D1486,"")&amp;IF(D1486="Township"," "&amp;"("&amp;VLOOKUP(A1486,counties,3,0)&amp;")",""),"  "," "))</f>
        <v>Hudson Public Library</v>
      </c>
    </row>
    <row r="1487" spans="1:8" ht="15.75" thickBot="1" x14ac:dyDescent="0.3">
      <c r="A1487">
        <f t="shared" si="24"/>
        <v>46</v>
      </c>
      <c r="B1487" s="8">
        <v>2016</v>
      </c>
      <c r="C1487" s="1" t="s">
        <v>1320</v>
      </c>
      <c r="D1487" s="1" t="s">
        <v>6</v>
      </c>
      <c r="E1487" s="2" t="s">
        <v>7</v>
      </c>
      <c r="F1487" s="9" t="s">
        <v>8</v>
      </c>
      <c r="H1487" t="str">
        <f>TRIM(SUBSTITUTE(PROPER(C1487)&amp;" "&amp;IF(OR(D1487="County",D1487="Township",D1487="Village",D1487="Charter Township"),D1487,"")&amp;IF(D1487="Township"," "&amp;"("&amp;VLOOKUP(A1487,counties,3,0)&amp;")",""),"  "," "))</f>
        <v>Lenawee County</v>
      </c>
    </row>
    <row r="1488" spans="1:8" ht="15.75" thickBot="1" x14ac:dyDescent="0.3">
      <c r="A1488">
        <f t="shared" si="24"/>
        <v>46</v>
      </c>
      <c r="B1488" s="10">
        <v>2016</v>
      </c>
      <c r="C1488" s="3" t="s">
        <v>1321</v>
      </c>
      <c r="D1488" s="3" t="s">
        <v>17</v>
      </c>
      <c r="E1488" s="4" t="s">
        <v>7</v>
      </c>
      <c r="F1488" s="11" t="s">
        <v>8</v>
      </c>
      <c r="H1488" t="str">
        <f>TRIM(SUBSTITUTE(PROPER(C1488)&amp;" "&amp;IF(OR(D1488="County",D1488="Township",D1488="Village",D1488="Charter Township"),D1488,"")&amp;IF(D1488="Township"," "&amp;"("&amp;VLOOKUP(A1488,counties,3,0)&amp;")",""),"  "," "))</f>
        <v>Lenawee Co Medical Care Facility</v>
      </c>
    </row>
    <row r="1489" spans="1:8" ht="15.75" thickBot="1" x14ac:dyDescent="0.3">
      <c r="A1489">
        <f t="shared" si="24"/>
        <v>46</v>
      </c>
      <c r="B1489" s="8">
        <v>2016</v>
      </c>
      <c r="C1489" s="1" t="s">
        <v>1322</v>
      </c>
      <c r="D1489" s="1" t="s">
        <v>17</v>
      </c>
      <c r="E1489" s="2" t="s">
        <v>7</v>
      </c>
      <c r="F1489" s="9" t="s">
        <v>8</v>
      </c>
      <c r="H1489" t="str">
        <f>TRIM(SUBSTITUTE(PROPER(C1489)&amp;" "&amp;IF(OR(D1489="County",D1489="Township",D1489="Village",D1489="Charter Township"),D1489,"")&amp;IF(D1489="Township"," "&amp;"("&amp;VLOOKUP(A1489,counties,3,0)&amp;")",""),"  "," "))</f>
        <v>Lenawee Community Mental Health Authority</v>
      </c>
    </row>
    <row r="1490" spans="1:8" ht="15.75" thickBot="1" x14ac:dyDescent="0.3">
      <c r="A1490">
        <f t="shared" si="24"/>
        <v>46</v>
      </c>
      <c r="B1490" s="10">
        <v>2016</v>
      </c>
      <c r="C1490" s="3" t="s">
        <v>1323</v>
      </c>
      <c r="D1490" s="3" t="s">
        <v>17</v>
      </c>
      <c r="E1490" s="4" t="s">
        <v>7</v>
      </c>
      <c r="F1490" s="11" t="s">
        <v>8</v>
      </c>
      <c r="H1490" t="str">
        <f>TRIM(SUBSTITUTE(PROPER(C1490)&amp;" "&amp;IF(OR(D1490="County",D1490="Township",D1490="Village",D1490="Charter Township"),D1490,"")&amp;IF(D1490="Township"," "&amp;"("&amp;VLOOKUP(A1490,counties,3,0)&amp;")",""),"  "," "))</f>
        <v>Lenawee County Building Authority</v>
      </c>
    </row>
    <row r="1491" spans="1:8" ht="15.75" thickBot="1" x14ac:dyDescent="0.3">
      <c r="A1491">
        <f t="shared" si="24"/>
        <v>46</v>
      </c>
      <c r="B1491" s="8">
        <v>2016</v>
      </c>
      <c r="C1491" s="1" t="s">
        <v>1324</v>
      </c>
      <c r="D1491" s="1" t="s">
        <v>72</v>
      </c>
      <c r="E1491" s="2" t="s">
        <v>7</v>
      </c>
      <c r="F1491" s="9" t="s">
        <v>8</v>
      </c>
      <c r="H1491" t="str">
        <f>TRIM(SUBSTITUTE(PROPER(C1491)&amp;" "&amp;IF(OR(D1491="County",D1491="Township",D1491="Village",D1491="Charter Township"),D1491,"")&amp;IF(D1491="Township"," "&amp;"("&amp;VLOOKUP(A1491,counties,3,0)&amp;")",""),"  "," "))</f>
        <v>Lenawee County Drain Commission</v>
      </c>
    </row>
    <row r="1492" spans="1:8" ht="15.75" thickBot="1" x14ac:dyDescent="0.3">
      <c r="A1492">
        <f t="shared" si="24"/>
        <v>46</v>
      </c>
      <c r="B1492" s="10">
        <v>2016</v>
      </c>
      <c r="C1492" s="3" t="s">
        <v>1325</v>
      </c>
      <c r="D1492" s="3" t="s">
        <v>42</v>
      </c>
      <c r="E1492" s="4" t="s">
        <v>7</v>
      </c>
      <c r="F1492" s="11" t="s">
        <v>8</v>
      </c>
      <c r="H1492" t="str">
        <f>TRIM(SUBSTITUTE(PROPER(C1492)&amp;" "&amp;IF(OR(D1492="County",D1492="Township",D1492="Village",D1492="Charter Township"),D1492,"")&amp;IF(D1492="Township"," "&amp;"("&amp;VLOOKUP(A1492,counties,3,0)&amp;")",""),"  "," "))</f>
        <v>Lenawee County Library</v>
      </c>
    </row>
    <row r="1493" spans="1:8" ht="15.75" thickBot="1" x14ac:dyDescent="0.3">
      <c r="A1493">
        <f t="shared" si="24"/>
        <v>46</v>
      </c>
      <c r="B1493" s="8">
        <v>2016</v>
      </c>
      <c r="C1493" s="1" t="s">
        <v>1326</v>
      </c>
      <c r="D1493" s="1" t="s">
        <v>17</v>
      </c>
      <c r="E1493" s="2" t="s">
        <v>7</v>
      </c>
      <c r="F1493" s="9" t="s">
        <v>8</v>
      </c>
      <c r="H1493" t="str">
        <f>TRIM(SUBSTITUTE(PROPER(C1493)&amp;" "&amp;IF(OR(D1493="County",D1493="Township",D1493="Village",D1493="Charter Township"),D1493,"")&amp;IF(D1493="Township"," "&amp;"("&amp;VLOOKUP(A1493,counties,3,0)&amp;")",""),"  "," "))</f>
        <v>Lenawee Transportation Corporation</v>
      </c>
    </row>
    <row r="1494" spans="1:8" ht="15.75" thickBot="1" x14ac:dyDescent="0.3">
      <c r="A1494">
        <f t="shared" si="24"/>
        <v>46</v>
      </c>
      <c r="B1494" s="10">
        <v>2016</v>
      </c>
      <c r="C1494" s="3" t="s">
        <v>1327</v>
      </c>
      <c r="D1494" s="3" t="s">
        <v>9</v>
      </c>
      <c r="E1494" s="4" t="s">
        <v>7</v>
      </c>
      <c r="F1494" s="11" t="s">
        <v>8</v>
      </c>
      <c r="H1494" t="str">
        <f>TRIM(SUBSTITUTE(PROPER(C1494)&amp;" "&amp;IF(OR(D1494="County",D1494="Township",D1494="Village",D1494="Charter Township"),D1494,"")&amp;IF(D1494="Township"," "&amp;"("&amp;VLOOKUP(A1494,counties,3,0)&amp;")",""),"  "," "))</f>
        <v>Macon Township (Lenawee County)</v>
      </c>
    </row>
    <row r="1495" spans="1:8" ht="15.75" thickBot="1" x14ac:dyDescent="0.3">
      <c r="A1495">
        <f t="shared" si="24"/>
        <v>46</v>
      </c>
      <c r="B1495" s="8">
        <v>2016</v>
      </c>
      <c r="C1495" s="1" t="s">
        <v>1328</v>
      </c>
      <c r="D1495" s="1" t="s">
        <v>9</v>
      </c>
      <c r="E1495" s="2" t="s">
        <v>7</v>
      </c>
      <c r="F1495" s="9" t="s">
        <v>8</v>
      </c>
      <c r="H1495" t="str">
        <f>TRIM(SUBSTITUTE(PROPER(C1495)&amp;" "&amp;IF(OR(D1495="County",D1495="Township",D1495="Village",D1495="Charter Township"),D1495,"")&amp;IF(D1495="Township"," "&amp;"("&amp;VLOOKUP(A1495,counties,3,0)&amp;")",""),"  "," "))</f>
        <v>Madison Charter Township (Lenawee County)</v>
      </c>
    </row>
    <row r="1496" spans="1:8" ht="15.75" thickBot="1" x14ac:dyDescent="0.3">
      <c r="A1496">
        <f t="shared" si="24"/>
        <v>46</v>
      </c>
      <c r="B1496" s="10">
        <v>2016</v>
      </c>
      <c r="C1496" s="3" t="s">
        <v>1329</v>
      </c>
      <c r="D1496" s="3" t="s">
        <v>9</v>
      </c>
      <c r="E1496" s="4" t="s">
        <v>7</v>
      </c>
      <c r="F1496" s="11" t="s">
        <v>8</v>
      </c>
      <c r="H1496" t="str">
        <f>TRIM(SUBSTITUTE(PROPER(C1496)&amp;" "&amp;IF(OR(D1496="County",D1496="Township",D1496="Village",D1496="Charter Township"),D1496,"")&amp;IF(D1496="Township"," "&amp;"("&amp;VLOOKUP(A1496,counties,3,0)&amp;")",""),"  "," "))</f>
        <v>Medina Township (Lenawee County)</v>
      </c>
    </row>
    <row r="1497" spans="1:8" ht="15.75" thickBot="1" x14ac:dyDescent="0.3">
      <c r="A1497">
        <f t="shared" si="24"/>
        <v>46</v>
      </c>
      <c r="B1497" s="8">
        <v>2016</v>
      </c>
      <c r="C1497" s="1" t="s">
        <v>1330</v>
      </c>
      <c r="D1497" s="1" t="s">
        <v>15</v>
      </c>
      <c r="E1497" s="2" t="s">
        <v>7</v>
      </c>
      <c r="F1497" s="9" t="s">
        <v>8</v>
      </c>
      <c r="H1497" t="str">
        <f>TRIM(SUBSTITUTE(PROPER(C1497)&amp;" "&amp;IF(OR(D1497="County",D1497="Township",D1497="Village",D1497="Charter Township"),D1497,"")&amp;IF(D1497="Township"," "&amp;"("&amp;VLOOKUP(A1497,counties,3,0)&amp;")",""),"  "," "))</f>
        <v>Morenci</v>
      </c>
    </row>
    <row r="1498" spans="1:8" ht="15.75" thickBot="1" x14ac:dyDescent="0.3">
      <c r="A1498">
        <f t="shared" si="24"/>
        <v>46</v>
      </c>
      <c r="B1498" s="10">
        <v>2016</v>
      </c>
      <c r="C1498" s="3" t="s">
        <v>1331</v>
      </c>
      <c r="D1498" s="3" t="s">
        <v>9</v>
      </c>
      <c r="E1498" s="4" t="s">
        <v>7</v>
      </c>
      <c r="F1498" s="11" t="s">
        <v>8</v>
      </c>
      <c r="H1498" t="str">
        <f>TRIM(SUBSTITUTE(PROPER(C1498)&amp;" "&amp;IF(OR(D1498="County",D1498="Township",D1498="Village",D1498="Charter Township"),D1498,"")&amp;IF(D1498="Township"," "&amp;"("&amp;VLOOKUP(A1498,counties,3,0)&amp;")",""),"  "," "))</f>
        <v>Ogden Township (Lenawee County)</v>
      </c>
    </row>
    <row r="1499" spans="1:8" ht="15.75" thickBot="1" x14ac:dyDescent="0.3">
      <c r="A1499">
        <f t="shared" si="24"/>
        <v>46</v>
      </c>
      <c r="B1499" s="8">
        <v>2016</v>
      </c>
      <c r="C1499" s="1" t="s">
        <v>1332</v>
      </c>
      <c r="D1499" s="1" t="s">
        <v>21</v>
      </c>
      <c r="E1499" s="2" t="s">
        <v>7</v>
      </c>
      <c r="F1499" s="9" t="s">
        <v>8</v>
      </c>
      <c r="H1499" t="str">
        <f>TRIM(SUBSTITUTE(PROPER(C1499)&amp;" "&amp;IF(OR(D1499="County",D1499="Township",D1499="Village",D1499="Charter Township"),D1499,"")&amp;IF(D1499="Township"," "&amp;"("&amp;VLOOKUP(A1499,counties,3,0)&amp;")",""),"  "," "))</f>
        <v>Onsted Village</v>
      </c>
    </row>
    <row r="1500" spans="1:8" ht="15.75" thickBot="1" x14ac:dyDescent="0.3">
      <c r="A1500">
        <f t="shared" si="24"/>
        <v>46</v>
      </c>
      <c r="B1500" s="10">
        <v>2016</v>
      </c>
      <c r="C1500" s="3" t="s">
        <v>1333</v>
      </c>
      <c r="D1500" s="3" t="s">
        <v>9</v>
      </c>
      <c r="E1500" s="4" t="s">
        <v>7</v>
      </c>
      <c r="F1500" s="11" t="s">
        <v>8</v>
      </c>
      <c r="H1500" t="str">
        <f>TRIM(SUBSTITUTE(PROPER(C1500)&amp;" "&amp;IF(OR(D1500="County",D1500="Township",D1500="Village",D1500="Charter Township"),D1500,"")&amp;IF(D1500="Township"," "&amp;"("&amp;VLOOKUP(A1500,counties,3,0)&amp;")",""),"  "," "))</f>
        <v>Palmyra Township (Lenawee County)</v>
      </c>
    </row>
    <row r="1501" spans="1:8" ht="15.75" thickBot="1" x14ac:dyDescent="0.3">
      <c r="A1501">
        <f t="shared" si="24"/>
        <v>46</v>
      </c>
      <c r="B1501" s="8">
        <v>2016</v>
      </c>
      <c r="C1501" s="1" t="s">
        <v>1334</v>
      </c>
      <c r="D1501" s="1" t="s">
        <v>9</v>
      </c>
      <c r="E1501" s="2" t="s">
        <v>7</v>
      </c>
      <c r="F1501" s="9" t="s">
        <v>8</v>
      </c>
      <c r="H1501" t="str">
        <f>TRIM(SUBSTITUTE(PROPER(C1501)&amp;" "&amp;IF(OR(D1501="County",D1501="Township",D1501="Village",D1501="Charter Township"),D1501,"")&amp;IF(D1501="Township"," "&amp;"("&amp;VLOOKUP(A1501,counties,3,0)&amp;")",""),"  "," "))</f>
        <v>Raisin Charter Township (Lenawee County)</v>
      </c>
    </row>
    <row r="1502" spans="1:8" ht="15.75" thickBot="1" x14ac:dyDescent="0.3">
      <c r="A1502">
        <f t="shared" si="24"/>
        <v>46</v>
      </c>
      <c r="B1502" s="10">
        <v>2016</v>
      </c>
      <c r="C1502" s="3" t="s">
        <v>1335</v>
      </c>
      <c r="D1502" s="3" t="s">
        <v>9</v>
      </c>
      <c r="E1502" s="4" t="s">
        <v>7</v>
      </c>
      <c r="F1502" s="11" t="s">
        <v>8</v>
      </c>
      <c r="H1502" t="str">
        <f>TRIM(SUBSTITUTE(PROPER(C1502)&amp;" "&amp;IF(OR(D1502="County",D1502="Township",D1502="Village",D1502="Charter Township"),D1502,"")&amp;IF(D1502="Township"," "&amp;"("&amp;VLOOKUP(A1502,counties,3,0)&amp;")",""),"  "," "))</f>
        <v>Riga Township (Lenawee County)</v>
      </c>
    </row>
    <row r="1503" spans="1:8" ht="15.75" thickBot="1" x14ac:dyDescent="0.3">
      <c r="A1503">
        <f t="shared" si="24"/>
        <v>46</v>
      </c>
      <c r="B1503" s="8">
        <v>2016</v>
      </c>
      <c r="C1503" s="1" t="s">
        <v>1336</v>
      </c>
      <c r="D1503" s="1" t="s">
        <v>9</v>
      </c>
      <c r="E1503" s="2" t="s">
        <v>7</v>
      </c>
      <c r="F1503" s="9" t="s">
        <v>8</v>
      </c>
      <c r="H1503" t="str">
        <f>TRIM(SUBSTITUTE(PROPER(C1503)&amp;" "&amp;IF(OR(D1503="County",D1503="Township",D1503="Village",D1503="Charter Township"),D1503,"")&amp;IF(D1503="Township"," "&amp;"("&amp;VLOOKUP(A1503,counties,3,0)&amp;")",""),"  "," "))</f>
        <v>Rollin Township (Lenawee County)</v>
      </c>
    </row>
    <row r="1504" spans="1:8" ht="15.75" thickBot="1" x14ac:dyDescent="0.3">
      <c r="A1504">
        <f t="shared" si="24"/>
        <v>46</v>
      </c>
      <c r="B1504" s="10">
        <v>2016</v>
      </c>
      <c r="C1504" s="3" t="s">
        <v>1337</v>
      </c>
      <c r="D1504" s="3" t="s">
        <v>9</v>
      </c>
      <c r="E1504" s="4" t="s">
        <v>7</v>
      </c>
      <c r="F1504" s="11" t="s">
        <v>8</v>
      </c>
      <c r="H1504" t="str">
        <f>TRIM(SUBSTITUTE(PROPER(C1504)&amp;" "&amp;IF(OR(D1504="County",D1504="Township",D1504="Village",D1504="Charter Township"),D1504,"")&amp;IF(D1504="Township"," "&amp;"("&amp;VLOOKUP(A1504,counties,3,0)&amp;")",""),"  "," "))</f>
        <v>Rome Township (Lenawee County)</v>
      </c>
    </row>
    <row r="1505" spans="1:8" ht="15.75" thickBot="1" x14ac:dyDescent="0.3">
      <c r="A1505">
        <f t="shared" si="24"/>
        <v>46</v>
      </c>
      <c r="B1505" s="8">
        <v>2016</v>
      </c>
      <c r="C1505" s="1" t="s">
        <v>1338</v>
      </c>
      <c r="D1505" s="1" t="s">
        <v>9</v>
      </c>
      <c r="E1505" s="2" t="s">
        <v>7</v>
      </c>
      <c r="F1505" s="9" t="s">
        <v>8</v>
      </c>
      <c r="H1505" t="str">
        <f>TRIM(SUBSTITUTE(PROPER(C1505)&amp;" "&amp;IF(OR(D1505="County",D1505="Township",D1505="Village",D1505="Charter Township"),D1505,"")&amp;IF(D1505="Township"," "&amp;"("&amp;VLOOKUP(A1505,counties,3,0)&amp;")",""),"  "," "))</f>
        <v>Seneca Township (Lenawee County)</v>
      </c>
    </row>
    <row r="1506" spans="1:8" ht="15.75" thickBot="1" x14ac:dyDescent="0.3">
      <c r="A1506">
        <f t="shared" si="24"/>
        <v>46</v>
      </c>
      <c r="B1506" s="10">
        <v>2016</v>
      </c>
      <c r="C1506" s="3" t="s">
        <v>1339</v>
      </c>
      <c r="D1506" s="3" t="s">
        <v>42</v>
      </c>
      <c r="E1506" s="4" t="s">
        <v>7</v>
      </c>
      <c r="F1506" s="11" t="s">
        <v>8</v>
      </c>
      <c r="H1506" t="str">
        <f>TRIM(SUBSTITUTE(PROPER(C1506)&amp;" "&amp;IF(OR(D1506="County",D1506="Township",D1506="Village",D1506="Charter Township"),D1506,"")&amp;IF(D1506="Township"," "&amp;"("&amp;VLOOKUP(A1506,counties,3,0)&amp;")",""),"  "," "))</f>
        <v>Stair District Library</v>
      </c>
    </row>
    <row r="1507" spans="1:8" ht="15.75" thickBot="1" x14ac:dyDescent="0.3">
      <c r="A1507">
        <f t="shared" si="24"/>
        <v>46</v>
      </c>
      <c r="B1507" s="8">
        <v>2016</v>
      </c>
      <c r="C1507" s="1" t="s">
        <v>1340</v>
      </c>
      <c r="D1507" s="1" t="s">
        <v>15</v>
      </c>
      <c r="E1507" s="2" t="s">
        <v>7</v>
      </c>
      <c r="F1507" s="9" t="s">
        <v>8</v>
      </c>
      <c r="H1507" t="str">
        <f>TRIM(SUBSTITUTE(PROPER(C1507)&amp;" "&amp;IF(OR(D1507="County",D1507="Township",D1507="Village",D1507="Charter Township"),D1507,"")&amp;IF(D1507="Township"," "&amp;"("&amp;VLOOKUP(A1507,counties,3,0)&amp;")",""),"  "," "))</f>
        <v>Tecumseh</v>
      </c>
    </row>
    <row r="1508" spans="1:8" ht="15.75" thickBot="1" x14ac:dyDescent="0.3">
      <c r="A1508">
        <f t="shared" si="24"/>
        <v>46</v>
      </c>
      <c r="B1508" s="10">
        <v>2016</v>
      </c>
      <c r="C1508" s="3" t="s">
        <v>1340</v>
      </c>
      <c r="D1508" s="3" t="s">
        <v>9</v>
      </c>
      <c r="E1508" s="4" t="s">
        <v>7</v>
      </c>
      <c r="F1508" s="11" t="s">
        <v>8</v>
      </c>
      <c r="H1508" t="str">
        <f>TRIM(SUBSTITUTE(PROPER(C1508)&amp;" "&amp;IF(OR(D1508="County",D1508="Township",D1508="Village",D1508="Charter Township"),D1508,"")&amp;IF(D1508="Township"," "&amp;"("&amp;VLOOKUP(A1508,counties,3,0)&amp;")",""),"  "," "))</f>
        <v>Tecumseh Township (Lenawee County)</v>
      </c>
    </row>
    <row r="1509" spans="1:8" ht="15.75" thickBot="1" x14ac:dyDescent="0.3">
      <c r="A1509">
        <f t="shared" si="24"/>
        <v>46</v>
      </c>
      <c r="B1509" s="8">
        <v>2016</v>
      </c>
      <c r="C1509" s="1" t="s">
        <v>1341</v>
      </c>
      <c r="D1509" s="1" t="s">
        <v>42</v>
      </c>
      <c r="E1509" s="2" t="s">
        <v>7</v>
      </c>
      <c r="F1509" s="9" t="s">
        <v>8</v>
      </c>
      <c r="H1509" t="str">
        <f>TRIM(SUBSTITUTE(PROPER(C1509)&amp;" "&amp;IF(OR(D1509="County",D1509="Township",D1509="Village",D1509="Charter Township"),D1509,"")&amp;IF(D1509="Township"," "&amp;"("&amp;VLOOKUP(A1509,counties,3,0)&amp;")",""),"  "," "))</f>
        <v>Tecumseh District Library</v>
      </c>
    </row>
    <row r="1510" spans="1:8" ht="15.75" thickBot="1" x14ac:dyDescent="0.3">
      <c r="A1510">
        <f t="shared" si="24"/>
        <v>46</v>
      </c>
      <c r="B1510" s="12">
        <v>2016</v>
      </c>
      <c r="C1510" s="13" t="s">
        <v>1342</v>
      </c>
      <c r="D1510" s="13" t="s">
        <v>9</v>
      </c>
      <c r="E1510" s="14" t="s">
        <v>7</v>
      </c>
      <c r="F1510" s="15" t="s">
        <v>8</v>
      </c>
      <c r="H1510" t="str">
        <f>TRIM(SUBSTITUTE(PROPER(C1510)&amp;" "&amp;IF(OR(D1510="County",D1510="Township",D1510="Village",D1510="Charter Township"),D1510,"")&amp;IF(D1510="Township"," "&amp;"("&amp;VLOOKUP(A1510,counties,3,0)&amp;")",""),"  "," "))</f>
        <v>Woodstock Township (Lenawee County)</v>
      </c>
    </row>
    <row r="1511" spans="1:8" ht="16.5" thickTop="1" thickBot="1" x14ac:dyDescent="0.3">
      <c r="A1511">
        <f t="shared" si="24"/>
        <v>47</v>
      </c>
      <c r="B1511" s="5" t="s">
        <v>0</v>
      </c>
      <c r="C1511" s="6" t="s">
        <v>1</v>
      </c>
      <c r="D1511" s="6" t="s">
        <v>2</v>
      </c>
      <c r="E1511" s="6" t="s">
        <v>3</v>
      </c>
      <c r="F1511" s="7" t="s">
        <v>4</v>
      </c>
      <c r="H1511" t="str">
        <f>TRIM(SUBSTITUTE(PROPER(C1511)&amp;" "&amp;IF(OR(D1511="County",D1511="Township",D1511="Village",D1511="Charter Township"),D1511,"")&amp;IF(D1511="Township"," "&amp;"("&amp;VLOOKUP(A1511,counties,3,0)&amp;")",""),"  "," "))</f>
        <v>Municipality</v>
      </c>
    </row>
    <row r="1512" spans="1:8" ht="15.75" thickBot="1" x14ac:dyDescent="0.3">
      <c r="A1512">
        <f t="shared" si="24"/>
        <v>47</v>
      </c>
      <c r="B1512" s="8">
        <v>2016</v>
      </c>
      <c r="C1512" s="1" t="s">
        <v>1343</v>
      </c>
      <c r="D1512" s="1" t="s">
        <v>15</v>
      </c>
      <c r="E1512" s="2" t="s">
        <v>7</v>
      </c>
      <c r="F1512" s="9" t="s">
        <v>8</v>
      </c>
      <c r="H1512" t="str">
        <f>TRIM(SUBSTITUTE(PROPER(C1512)&amp;" "&amp;IF(OR(D1512="County",D1512="Township",D1512="Village",D1512="Charter Township"),D1512,"")&amp;IF(D1512="Township"," "&amp;"("&amp;VLOOKUP(A1512,counties,3,0)&amp;")",""),"  "," "))</f>
        <v>Brighton</v>
      </c>
    </row>
    <row r="1513" spans="1:8" ht="15.75" thickBot="1" x14ac:dyDescent="0.3">
      <c r="A1513">
        <f t="shared" si="24"/>
        <v>47</v>
      </c>
      <c r="B1513" s="10">
        <v>2016</v>
      </c>
      <c r="C1513" s="3" t="s">
        <v>1344</v>
      </c>
      <c r="D1513" s="3" t="s">
        <v>17</v>
      </c>
      <c r="E1513" s="4" t="s">
        <v>7</v>
      </c>
      <c r="F1513" s="11" t="s">
        <v>8</v>
      </c>
      <c r="H1513" t="str">
        <f>TRIM(SUBSTITUTE(PROPER(C1513)&amp;" "&amp;IF(OR(D1513="County",D1513="Township",D1513="Village",D1513="Charter Township"),D1513,"")&amp;IF(D1513="Township"," "&amp;"("&amp;VLOOKUP(A1513,counties,3,0)&amp;")",""),"  "," "))</f>
        <v>Brighton Area Fire Authority</v>
      </c>
    </row>
    <row r="1514" spans="1:8" ht="15.75" thickBot="1" x14ac:dyDescent="0.3">
      <c r="A1514">
        <f t="shared" si="24"/>
        <v>47</v>
      </c>
      <c r="B1514" s="8">
        <v>2016</v>
      </c>
      <c r="C1514" s="1" t="s">
        <v>1345</v>
      </c>
      <c r="D1514" s="1" t="s">
        <v>9</v>
      </c>
      <c r="E1514" s="2" t="s">
        <v>7</v>
      </c>
      <c r="F1514" s="9" t="s">
        <v>8</v>
      </c>
      <c r="H1514" t="str">
        <f>TRIM(SUBSTITUTE(PROPER(C1514)&amp;" "&amp;IF(OR(D1514="County",D1514="Township",D1514="Village",D1514="Charter Township"),D1514,"")&amp;IF(D1514="Township"," "&amp;"("&amp;VLOOKUP(A1514,counties,3,0)&amp;")",""),"  "," "))</f>
        <v>Brighton Charter Township (Livingston County)</v>
      </c>
    </row>
    <row r="1515" spans="1:8" ht="15.75" thickBot="1" x14ac:dyDescent="0.3">
      <c r="A1515">
        <f t="shared" si="24"/>
        <v>47</v>
      </c>
      <c r="B1515" s="10">
        <v>2016</v>
      </c>
      <c r="C1515" s="3" t="s">
        <v>1346</v>
      </c>
      <c r="D1515" s="3" t="s">
        <v>42</v>
      </c>
      <c r="E1515" s="4" t="s">
        <v>7</v>
      </c>
      <c r="F1515" s="11" t="s">
        <v>8</v>
      </c>
      <c r="H1515" t="str">
        <f>TRIM(SUBSTITUTE(PROPER(C1515)&amp;" "&amp;IF(OR(D1515="County",D1515="Township",D1515="Village",D1515="Charter Township"),D1515,"")&amp;IF(D1515="Township"," "&amp;"("&amp;VLOOKUP(A1515,counties,3,0)&amp;")",""),"  "," "))</f>
        <v>Brighton District Library</v>
      </c>
    </row>
    <row r="1516" spans="1:8" ht="15.75" thickBot="1" x14ac:dyDescent="0.3">
      <c r="A1516">
        <f t="shared" si="24"/>
        <v>47</v>
      </c>
      <c r="B1516" s="8">
        <v>2016</v>
      </c>
      <c r="C1516" s="1" t="s">
        <v>1347</v>
      </c>
      <c r="D1516" s="1" t="s">
        <v>9</v>
      </c>
      <c r="E1516" s="2" t="s">
        <v>7</v>
      </c>
      <c r="F1516" s="9" t="s">
        <v>8</v>
      </c>
      <c r="H1516" t="str">
        <f>TRIM(SUBSTITUTE(PROPER(C1516)&amp;" "&amp;IF(OR(D1516="County",D1516="Township",D1516="Village",D1516="Charter Township"),D1516,"")&amp;IF(D1516="Township"," "&amp;"("&amp;VLOOKUP(A1516,counties,3,0)&amp;")",""),"  "," "))</f>
        <v>Cohoctah Township (Livingston County)</v>
      </c>
    </row>
    <row r="1517" spans="1:8" ht="15.75" thickBot="1" x14ac:dyDescent="0.3">
      <c r="A1517">
        <f t="shared" si="24"/>
        <v>47</v>
      </c>
      <c r="B1517" s="10">
        <v>2016</v>
      </c>
      <c r="C1517" s="3" t="s">
        <v>1348</v>
      </c>
      <c r="D1517" s="3" t="s">
        <v>17</v>
      </c>
      <c r="E1517" s="4" t="s">
        <v>7</v>
      </c>
      <c r="F1517" s="11" t="s">
        <v>8</v>
      </c>
      <c r="H1517" t="str">
        <f>TRIM(SUBSTITUTE(PROPER(C1517)&amp;" "&amp;IF(OR(D1517="County",D1517="Township",D1517="Village",D1517="Charter Township"),D1517,"")&amp;IF(D1517="Township"," "&amp;"("&amp;VLOOKUP(A1517,counties,3,0)&amp;")",""),"  "," "))</f>
        <v>Community Mental Health Services Of Livingston County</v>
      </c>
    </row>
    <row r="1518" spans="1:8" ht="15.75" thickBot="1" x14ac:dyDescent="0.3">
      <c r="A1518">
        <f t="shared" si="24"/>
        <v>47</v>
      </c>
      <c r="B1518" s="8">
        <v>2016</v>
      </c>
      <c r="C1518" s="1" t="s">
        <v>1349</v>
      </c>
      <c r="D1518" s="1" t="s">
        <v>9</v>
      </c>
      <c r="E1518" s="2" t="s">
        <v>7</v>
      </c>
      <c r="F1518" s="9" t="s">
        <v>8</v>
      </c>
      <c r="H1518" t="str">
        <f>TRIM(SUBSTITUTE(PROPER(C1518)&amp;" "&amp;IF(OR(D1518="County",D1518="Township",D1518="Village",D1518="Charter Township"),D1518,"")&amp;IF(D1518="Township"," "&amp;"("&amp;VLOOKUP(A1518,counties,3,0)&amp;")",""),"  "," "))</f>
        <v>Conway Township (Livingston County)</v>
      </c>
    </row>
    <row r="1519" spans="1:8" ht="15.75" thickBot="1" x14ac:dyDescent="0.3">
      <c r="A1519">
        <f t="shared" si="24"/>
        <v>47</v>
      </c>
      <c r="B1519" s="10">
        <v>2016</v>
      </c>
      <c r="C1519" s="3" t="s">
        <v>1350</v>
      </c>
      <c r="D1519" s="3" t="s">
        <v>42</v>
      </c>
      <c r="E1519" s="4" t="s">
        <v>7</v>
      </c>
      <c r="F1519" s="11" t="s">
        <v>8</v>
      </c>
      <c r="H1519" t="str">
        <f>TRIM(SUBSTITUTE(PROPER(C1519)&amp;" "&amp;IF(OR(D1519="County",D1519="Township",D1519="Village",D1519="Charter Township"),D1519,"")&amp;IF(D1519="Township"," "&amp;"("&amp;VLOOKUP(A1519,counties,3,0)&amp;")",""),"  "," "))</f>
        <v>Cromaine District Library</v>
      </c>
    </row>
    <row r="1520" spans="1:8" ht="15.75" thickBot="1" x14ac:dyDescent="0.3">
      <c r="A1520">
        <f t="shared" si="24"/>
        <v>47</v>
      </c>
      <c r="B1520" s="8">
        <v>2016</v>
      </c>
      <c r="C1520" s="1" t="s">
        <v>1054</v>
      </c>
      <c r="D1520" s="1" t="s">
        <v>9</v>
      </c>
      <c r="E1520" s="2" t="s">
        <v>7</v>
      </c>
      <c r="F1520" s="9" t="s">
        <v>8</v>
      </c>
      <c r="H1520" t="str">
        <f>TRIM(SUBSTITUTE(PROPER(C1520)&amp;" "&amp;IF(OR(D1520="County",D1520="Township",D1520="Village",D1520="Charter Township"),D1520,"")&amp;IF(D1520="Township"," "&amp;"("&amp;VLOOKUP(A1520,counties,3,0)&amp;")",""),"  "," "))</f>
        <v>Deerfield Township (Livingston County)</v>
      </c>
    </row>
    <row r="1521" spans="1:8" ht="15.75" thickBot="1" x14ac:dyDescent="0.3">
      <c r="A1521">
        <f t="shared" si="24"/>
        <v>47</v>
      </c>
      <c r="B1521" s="10">
        <v>2016</v>
      </c>
      <c r="C1521" s="3" t="s">
        <v>1351</v>
      </c>
      <c r="D1521" s="3" t="s">
        <v>17</v>
      </c>
      <c r="E1521" s="4" t="s">
        <v>7</v>
      </c>
      <c r="F1521" s="11" t="s">
        <v>8</v>
      </c>
      <c r="H1521" t="str">
        <f>TRIM(SUBSTITUTE(PROPER(C1521)&amp;" "&amp;IF(OR(D1521="County",D1521="Township",D1521="Village",D1521="Charter Township"),D1521,"")&amp;IF(D1521="Township"," "&amp;"("&amp;VLOOKUP(A1521,counties,3,0)&amp;")",""),"  "," "))</f>
        <v>Fonda Island &amp; Briggs Lake Joint Water Authority</v>
      </c>
    </row>
    <row r="1522" spans="1:8" ht="15.75" thickBot="1" x14ac:dyDescent="0.3">
      <c r="A1522">
        <f t="shared" si="24"/>
        <v>47</v>
      </c>
      <c r="B1522" s="8">
        <v>2016</v>
      </c>
      <c r="C1522" s="1" t="s">
        <v>1352</v>
      </c>
      <c r="D1522" s="1" t="s">
        <v>21</v>
      </c>
      <c r="E1522" s="2" t="s">
        <v>7</v>
      </c>
      <c r="F1522" s="9" t="s">
        <v>8</v>
      </c>
      <c r="H1522" t="str">
        <f>TRIM(SUBSTITUTE(PROPER(C1522)&amp;" "&amp;IF(OR(D1522="County",D1522="Township",D1522="Village",D1522="Charter Township"),D1522,"")&amp;IF(D1522="Township"," "&amp;"("&amp;VLOOKUP(A1522,counties,3,0)&amp;")",""),"  "," "))</f>
        <v>Fowlerville Village</v>
      </c>
    </row>
    <row r="1523" spans="1:8" ht="15.75" thickBot="1" x14ac:dyDescent="0.3">
      <c r="A1523">
        <f t="shared" si="24"/>
        <v>47</v>
      </c>
      <c r="B1523" s="10">
        <v>2016</v>
      </c>
      <c r="C1523" s="3" t="s">
        <v>1353</v>
      </c>
      <c r="D1523" s="3" t="s">
        <v>17</v>
      </c>
      <c r="E1523" s="4" t="s">
        <v>7</v>
      </c>
      <c r="F1523" s="11" t="s">
        <v>8</v>
      </c>
      <c r="H1523" t="str">
        <f>TRIM(SUBSTITUTE(PROPER(C1523)&amp;" "&amp;IF(OR(D1523="County",D1523="Township",D1523="Village",D1523="Charter Township"),D1523,"")&amp;IF(D1523="Township"," "&amp;"("&amp;VLOOKUP(A1523,counties,3,0)&amp;")",""),"  "," "))</f>
        <v>Fowlerville Area Fire Authority</v>
      </c>
    </row>
    <row r="1524" spans="1:8" ht="15.75" thickBot="1" x14ac:dyDescent="0.3">
      <c r="A1524">
        <f t="shared" si="24"/>
        <v>47</v>
      </c>
      <c r="B1524" s="8">
        <v>2016</v>
      </c>
      <c r="C1524" s="1" t="s">
        <v>1354</v>
      </c>
      <c r="D1524" s="1" t="s">
        <v>42</v>
      </c>
      <c r="E1524" s="2" t="s">
        <v>7</v>
      </c>
      <c r="F1524" s="9" t="s">
        <v>8</v>
      </c>
      <c r="H1524" t="str">
        <f>TRIM(SUBSTITUTE(PROPER(C1524)&amp;" "&amp;IF(OR(D1524="County",D1524="Township",D1524="Village",D1524="Charter Township"),D1524,"")&amp;IF(D1524="Township"," "&amp;"("&amp;VLOOKUP(A1524,counties,3,0)&amp;")",""),"  "," "))</f>
        <v>Fowlerville District Library</v>
      </c>
    </row>
    <row r="1525" spans="1:8" ht="15.75" thickBot="1" x14ac:dyDescent="0.3">
      <c r="A1525">
        <f t="shared" si="24"/>
        <v>47</v>
      </c>
      <c r="B1525" s="10">
        <v>2016</v>
      </c>
      <c r="C1525" s="3" t="s">
        <v>1355</v>
      </c>
      <c r="D1525" s="3" t="s">
        <v>9</v>
      </c>
      <c r="E1525" s="4" t="s">
        <v>7</v>
      </c>
      <c r="F1525" s="11" t="s">
        <v>8</v>
      </c>
      <c r="H1525" t="str">
        <f>TRIM(SUBSTITUTE(PROPER(C1525)&amp;" "&amp;IF(OR(D1525="County",D1525="Township",D1525="Village",D1525="Charter Township"),D1525,"")&amp;IF(D1525="Township"," "&amp;"("&amp;VLOOKUP(A1525,counties,3,0)&amp;")",""),"  "," "))</f>
        <v>Genoa Charter Township (Livingston County)</v>
      </c>
    </row>
    <row r="1526" spans="1:8" ht="15.75" thickBot="1" x14ac:dyDescent="0.3">
      <c r="A1526">
        <f t="shared" si="24"/>
        <v>47</v>
      </c>
      <c r="B1526" s="8">
        <v>2016</v>
      </c>
      <c r="C1526" s="1" t="s">
        <v>1356</v>
      </c>
      <c r="D1526" s="1" t="s">
        <v>17</v>
      </c>
      <c r="E1526" s="2" t="s">
        <v>7</v>
      </c>
      <c r="F1526" s="9" t="s">
        <v>8</v>
      </c>
      <c r="H1526" t="str">
        <f>TRIM(SUBSTITUTE(PROPER(C1526)&amp;" "&amp;IF(OR(D1526="County",D1526="Township",D1526="Village",D1526="Charter Township"),D1526,"")&amp;IF(D1526="Township"," "&amp;"("&amp;VLOOKUP(A1526,counties,3,0)&amp;")",""),"  "," "))</f>
        <v>Genoa-Oceola Sewer &amp; Water Authority</v>
      </c>
    </row>
    <row r="1527" spans="1:8" ht="15.75" thickBot="1" x14ac:dyDescent="0.3">
      <c r="A1527">
        <f t="shared" si="24"/>
        <v>47</v>
      </c>
      <c r="B1527" s="10">
        <v>2016</v>
      </c>
      <c r="C1527" s="3" t="s">
        <v>1357</v>
      </c>
      <c r="D1527" s="3" t="s">
        <v>9</v>
      </c>
      <c r="E1527" s="4" t="s">
        <v>7</v>
      </c>
      <c r="F1527" s="11" t="s">
        <v>8</v>
      </c>
      <c r="H1527" t="str">
        <f>TRIM(SUBSTITUTE(PROPER(C1527)&amp;" "&amp;IF(OR(D1527="County",D1527="Township",D1527="Village",D1527="Charter Township"),D1527,"")&amp;IF(D1527="Township"," "&amp;"("&amp;VLOOKUP(A1527,counties,3,0)&amp;")",""),"  "," "))</f>
        <v>Green Oak Township (Livingston County)</v>
      </c>
    </row>
    <row r="1528" spans="1:8" ht="15.75" thickBot="1" x14ac:dyDescent="0.3">
      <c r="A1528">
        <f t="shared" si="24"/>
        <v>47</v>
      </c>
      <c r="B1528" s="8">
        <v>2016</v>
      </c>
      <c r="C1528" s="1" t="s">
        <v>1358</v>
      </c>
      <c r="D1528" s="1" t="s">
        <v>9</v>
      </c>
      <c r="E1528" s="2" t="s">
        <v>7</v>
      </c>
      <c r="F1528" s="9" t="s">
        <v>8</v>
      </c>
      <c r="H1528" t="str">
        <f>TRIM(SUBSTITUTE(PROPER(C1528)&amp;" "&amp;IF(OR(D1528="County",D1528="Township",D1528="Village",D1528="Charter Township"),D1528,"")&amp;IF(D1528="Township"," "&amp;"("&amp;VLOOKUP(A1528,counties,3,0)&amp;")",""),"  "," "))</f>
        <v>Hamburg Township (Livingston County)</v>
      </c>
    </row>
    <row r="1529" spans="1:8" ht="15.75" thickBot="1" x14ac:dyDescent="0.3">
      <c r="A1529">
        <f t="shared" si="24"/>
        <v>47</v>
      </c>
      <c r="B1529" s="10">
        <v>2016</v>
      </c>
      <c r="C1529" s="3" t="s">
        <v>1359</v>
      </c>
      <c r="D1529" s="3" t="s">
        <v>42</v>
      </c>
      <c r="E1529" s="4" t="s">
        <v>7</v>
      </c>
      <c r="F1529" s="11" t="s">
        <v>8</v>
      </c>
      <c r="H1529" t="str">
        <f>TRIM(SUBSTITUTE(PROPER(C1529)&amp;" "&amp;IF(OR(D1529="County",D1529="Township",D1529="Village",D1529="Charter Township"),D1529,"")&amp;IF(D1529="Township"," "&amp;"("&amp;VLOOKUP(A1529,counties,3,0)&amp;")",""),"  "," "))</f>
        <v>Hamburg Township Library</v>
      </c>
    </row>
    <row r="1530" spans="1:8" ht="15.75" thickBot="1" x14ac:dyDescent="0.3">
      <c r="A1530">
        <f t="shared" si="24"/>
        <v>47</v>
      </c>
      <c r="B1530" s="8">
        <v>2016</v>
      </c>
      <c r="C1530" s="1" t="s">
        <v>1360</v>
      </c>
      <c r="D1530" s="1" t="s">
        <v>9</v>
      </c>
      <c r="E1530" s="2" t="s">
        <v>7</v>
      </c>
      <c r="F1530" s="9" t="s">
        <v>8</v>
      </c>
      <c r="H1530" t="str">
        <f>TRIM(SUBSTITUTE(PROPER(C1530)&amp;" "&amp;IF(OR(D1530="County",D1530="Township",D1530="Village",D1530="Charter Township"),D1530,"")&amp;IF(D1530="Township"," "&amp;"("&amp;VLOOKUP(A1530,counties,3,0)&amp;")",""),"  "," "))</f>
        <v>Handy Township (Livingston County)</v>
      </c>
    </row>
    <row r="1531" spans="1:8" ht="15.75" thickBot="1" x14ac:dyDescent="0.3">
      <c r="A1531">
        <f t="shared" si="24"/>
        <v>47</v>
      </c>
      <c r="B1531" s="10">
        <v>2016</v>
      </c>
      <c r="C1531" s="3" t="s">
        <v>1361</v>
      </c>
      <c r="D1531" s="3" t="s">
        <v>9</v>
      </c>
      <c r="E1531" s="4" t="s">
        <v>7</v>
      </c>
      <c r="F1531" s="11" t="s">
        <v>8</v>
      </c>
      <c r="H1531" t="str">
        <f>TRIM(SUBSTITUTE(PROPER(C1531)&amp;" "&amp;IF(OR(D1531="County",D1531="Township",D1531="Village",D1531="Charter Township"),D1531,"")&amp;IF(D1531="Township"," "&amp;"("&amp;VLOOKUP(A1531,counties,3,0)&amp;")",""),"  "," "))</f>
        <v>Hartland Township (Livingston County)</v>
      </c>
    </row>
    <row r="1532" spans="1:8" ht="15.75" thickBot="1" x14ac:dyDescent="0.3">
      <c r="A1532">
        <f t="shared" si="24"/>
        <v>47</v>
      </c>
      <c r="B1532" s="8">
        <v>2016</v>
      </c>
      <c r="C1532" s="1" t="s">
        <v>1362</v>
      </c>
      <c r="D1532" s="1" t="s">
        <v>17</v>
      </c>
      <c r="E1532" s="2" t="s">
        <v>7</v>
      </c>
      <c r="F1532" s="9" t="s">
        <v>8</v>
      </c>
      <c r="H1532" t="str">
        <f>TRIM(SUBSTITUTE(PROPER(C1532)&amp;" "&amp;IF(OR(D1532="County",D1532="Township",D1532="Village",D1532="Charter Township"),D1532,"")&amp;IF(D1532="Township"," "&amp;"("&amp;VLOOKUP(A1532,counties,3,0)&amp;")",""),"  "," "))</f>
        <v>Hartland Deerfield Fire Authority</v>
      </c>
    </row>
    <row r="1533" spans="1:8" ht="15.75" thickBot="1" x14ac:dyDescent="0.3">
      <c r="A1533">
        <f t="shared" si="24"/>
        <v>47</v>
      </c>
      <c r="B1533" s="10">
        <v>2016</v>
      </c>
      <c r="C1533" s="3" t="s">
        <v>1363</v>
      </c>
      <c r="D1533" s="3" t="s">
        <v>15</v>
      </c>
      <c r="E1533" s="4" t="s">
        <v>7</v>
      </c>
      <c r="F1533" s="11" t="s">
        <v>8</v>
      </c>
      <c r="H1533" t="str">
        <f>TRIM(SUBSTITUTE(PROPER(C1533)&amp;" "&amp;IF(OR(D1533="County",D1533="Township",D1533="Village",D1533="Charter Township"),D1533,"")&amp;IF(D1533="Township"," "&amp;"("&amp;VLOOKUP(A1533,counties,3,0)&amp;")",""),"  "," "))</f>
        <v>Howell</v>
      </c>
    </row>
    <row r="1534" spans="1:8" ht="15.75" thickBot="1" x14ac:dyDescent="0.3">
      <c r="A1534">
        <f t="shared" si="24"/>
        <v>47</v>
      </c>
      <c r="B1534" s="8">
        <v>2016</v>
      </c>
      <c r="C1534" s="1" t="s">
        <v>1363</v>
      </c>
      <c r="D1534" s="1" t="s">
        <v>9</v>
      </c>
      <c r="E1534" s="2" t="s">
        <v>7</v>
      </c>
      <c r="F1534" s="9" t="s">
        <v>8</v>
      </c>
      <c r="H1534" t="str">
        <f>TRIM(SUBSTITUTE(PROPER(C1534)&amp;" "&amp;IF(OR(D1534="County",D1534="Township",D1534="Village",D1534="Charter Township"),D1534,"")&amp;IF(D1534="Township"," "&amp;"("&amp;VLOOKUP(A1534,counties,3,0)&amp;")",""),"  "," "))</f>
        <v>Howell Township (Livingston County)</v>
      </c>
    </row>
    <row r="1535" spans="1:8" ht="15.75" thickBot="1" x14ac:dyDescent="0.3">
      <c r="A1535">
        <f t="shared" si="24"/>
        <v>47</v>
      </c>
      <c r="B1535" s="10">
        <v>2016</v>
      </c>
      <c r="C1535" s="3" t="s">
        <v>1364</v>
      </c>
      <c r="D1535" s="3" t="s">
        <v>17</v>
      </c>
      <c r="E1535" s="4" t="s">
        <v>7</v>
      </c>
      <c r="F1535" s="11" t="s">
        <v>8</v>
      </c>
      <c r="H1535" t="str">
        <f>TRIM(SUBSTITUTE(PROPER(C1535)&amp;" "&amp;IF(OR(D1535="County",D1535="Township",D1535="Village",D1535="Charter Township"),D1535,"")&amp;IF(D1535="Township"," "&amp;"("&amp;VLOOKUP(A1535,counties,3,0)&amp;")",""),"  "," "))</f>
        <v>Howell Area Fire Authority</v>
      </c>
    </row>
    <row r="1536" spans="1:8" ht="15.75" thickBot="1" x14ac:dyDescent="0.3">
      <c r="A1536">
        <f t="shared" si="24"/>
        <v>47</v>
      </c>
      <c r="B1536" s="8">
        <v>2016</v>
      </c>
      <c r="C1536" s="1" t="s">
        <v>1365</v>
      </c>
      <c r="D1536" s="1" t="s">
        <v>17</v>
      </c>
      <c r="E1536" s="2" t="s">
        <v>7</v>
      </c>
      <c r="F1536" s="9" t="s">
        <v>8</v>
      </c>
      <c r="H1536" t="str">
        <f>TRIM(SUBSTITUTE(PROPER(C1536)&amp;" "&amp;IF(OR(D1536="County",D1536="Township",D1536="Village",D1536="Charter Township"),D1536,"")&amp;IF(D1536="Township"," "&amp;"("&amp;VLOOKUP(A1536,counties,3,0)&amp;")",""),"  "," "))</f>
        <v>Howell Area Parks And Recreation Authority</v>
      </c>
    </row>
    <row r="1537" spans="1:8" ht="15.75" thickBot="1" x14ac:dyDescent="0.3">
      <c r="A1537">
        <f t="shared" si="24"/>
        <v>47</v>
      </c>
      <c r="B1537" s="10">
        <v>2016</v>
      </c>
      <c r="C1537" s="3" t="s">
        <v>1366</v>
      </c>
      <c r="D1537" s="3" t="s">
        <v>42</v>
      </c>
      <c r="E1537" s="4" t="s">
        <v>7</v>
      </c>
      <c r="F1537" s="11" t="s">
        <v>8</v>
      </c>
      <c r="H1537" t="str">
        <f>TRIM(SUBSTITUTE(PROPER(C1537)&amp;" "&amp;IF(OR(D1537="County",D1537="Township",D1537="Village",D1537="Charter Township"),D1537,"")&amp;IF(D1537="Township"," "&amp;"("&amp;VLOOKUP(A1537,counties,3,0)&amp;")",""),"  "," "))</f>
        <v>Howell Carnegie District Library</v>
      </c>
    </row>
    <row r="1538" spans="1:8" ht="15.75" thickBot="1" x14ac:dyDescent="0.3">
      <c r="A1538">
        <f t="shared" si="24"/>
        <v>47</v>
      </c>
      <c r="B1538" s="8">
        <v>2016</v>
      </c>
      <c r="C1538" s="1" t="s">
        <v>1367</v>
      </c>
      <c r="D1538" s="1" t="s">
        <v>17</v>
      </c>
      <c r="E1538" s="2" t="s">
        <v>7</v>
      </c>
      <c r="F1538" s="9" t="s">
        <v>8</v>
      </c>
      <c r="H1538" t="str">
        <f>TRIM(SUBSTITUTE(PROPER(C1538)&amp;" "&amp;IF(OR(D1538="County",D1538="Township",D1538="Village",D1538="Charter Township"),D1538,"")&amp;IF(D1538="Township"," "&amp;"("&amp;VLOOKUP(A1538,counties,3,0)&amp;")",""),"  "," "))</f>
        <v>Huron-Clinton Metropolitan Authority</v>
      </c>
    </row>
    <row r="1539" spans="1:8" ht="15.75" thickBot="1" x14ac:dyDescent="0.3">
      <c r="A1539">
        <f t="shared" ref="A1539:A1602" si="25">IF(B1539="Year",A1538+1,A1538)</f>
        <v>47</v>
      </c>
      <c r="B1539" s="10">
        <v>2016</v>
      </c>
      <c r="C1539" s="3" t="s">
        <v>1368</v>
      </c>
      <c r="D1539" s="3" t="s">
        <v>6</v>
      </c>
      <c r="E1539" s="4" t="s">
        <v>7</v>
      </c>
      <c r="F1539" s="11" t="s">
        <v>8</v>
      </c>
      <c r="H1539" t="str">
        <f>TRIM(SUBSTITUTE(PROPER(C1539)&amp;" "&amp;IF(OR(D1539="County",D1539="Township",D1539="Village",D1539="Charter Township"),D1539,"")&amp;IF(D1539="Township"," "&amp;"("&amp;VLOOKUP(A1539,counties,3,0)&amp;")",""),"  "," "))</f>
        <v>Livingston County</v>
      </c>
    </row>
    <row r="1540" spans="1:8" ht="15.75" thickBot="1" x14ac:dyDescent="0.3">
      <c r="A1540">
        <f t="shared" si="25"/>
        <v>47</v>
      </c>
      <c r="B1540" s="8">
        <v>2016</v>
      </c>
      <c r="C1540" s="1" t="s">
        <v>1369</v>
      </c>
      <c r="D1540" s="1" t="s">
        <v>11</v>
      </c>
      <c r="E1540" s="2" t="s">
        <v>7</v>
      </c>
      <c r="F1540" s="9" t="s">
        <v>8</v>
      </c>
      <c r="H1540" t="str">
        <f>TRIM(SUBSTITUTE(PROPER(C1540)&amp;" "&amp;IF(OR(D1540="County",D1540="Township",D1540="Village",D1540="Charter Township"),D1540,"")&amp;IF(D1540="Township"," "&amp;"("&amp;VLOOKUP(A1540,counties,3,0)&amp;")",""),"  "," "))</f>
        <v>Livingston Co Road Commission</v>
      </c>
    </row>
    <row r="1541" spans="1:8" ht="15.75" thickBot="1" x14ac:dyDescent="0.3">
      <c r="A1541">
        <f t="shared" si="25"/>
        <v>47</v>
      </c>
      <c r="B1541" s="10">
        <v>2016</v>
      </c>
      <c r="C1541" s="3" t="s">
        <v>1370</v>
      </c>
      <c r="D1541" s="3" t="s">
        <v>17</v>
      </c>
      <c r="E1541" s="4" t="s">
        <v>7</v>
      </c>
      <c r="F1541" s="11" t="s">
        <v>8</v>
      </c>
      <c r="H1541" t="str">
        <f>TRIM(SUBSTITUTE(PROPER(C1541)&amp;" "&amp;IF(OR(D1541="County",D1541="Township",D1541="Village",D1541="Charter Township"),D1541,"")&amp;IF(D1541="Township"," "&amp;"("&amp;VLOOKUP(A1541,counties,3,0)&amp;")",""),"  "," "))</f>
        <v>Livingston Community Water Authority</v>
      </c>
    </row>
    <row r="1542" spans="1:8" ht="15.75" thickBot="1" x14ac:dyDescent="0.3">
      <c r="A1542">
        <f t="shared" si="25"/>
        <v>47</v>
      </c>
      <c r="B1542" s="8">
        <v>2016</v>
      </c>
      <c r="C1542" s="1" t="s">
        <v>1371</v>
      </c>
      <c r="D1542" s="1" t="s">
        <v>9</v>
      </c>
      <c r="E1542" s="2" t="s">
        <v>7</v>
      </c>
      <c r="F1542" s="9" t="s">
        <v>8</v>
      </c>
      <c r="H1542" t="str">
        <f>TRIM(SUBSTITUTE(PROPER(C1542)&amp;" "&amp;IF(OR(D1542="County",D1542="Township",D1542="Village",D1542="Charter Township"),D1542,"")&amp;IF(D1542="Township"," "&amp;"("&amp;VLOOKUP(A1542,counties,3,0)&amp;")",""),"  "," "))</f>
        <v>Marion Township (Livingston County)</v>
      </c>
    </row>
    <row r="1543" spans="1:8" ht="21.75" thickBot="1" x14ac:dyDescent="0.3">
      <c r="A1543">
        <f t="shared" si="25"/>
        <v>47</v>
      </c>
      <c r="B1543" s="10">
        <v>2016</v>
      </c>
      <c r="C1543" s="3" t="s">
        <v>1372</v>
      </c>
      <c r="D1543" s="3" t="s">
        <v>17</v>
      </c>
      <c r="E1543" s="4" t="s">
        <v>7</v>
      </c>
      <c r="F1543" s="11" t="s">
        <v>8</v>
      </c>
      <c r="H1543" t="str">
        <f>TRIM(SUBSTITUTE(PROPER(C1543)&amp;" "&amp;IF(OR(D1543="County",D1543="Township",D1543="Village",D1543="Charter Township"),D1543,"")&amp;IF(D1543="Township"," "&amp;"("&amp;VLOOKUP(A1543,counties,3,0)&amp;")",""),"  "," "))</f>
        <v>Marion-Howell-Oceola &amp; Genoa Sewer &amp; Water Auth</v>
      </c>
    </row>
    <row r="1544" spans="1:8" ht="15.75" thickBot="1" x14ac:dyDescent="0.3">
      <c r="A1544">
        <f t="shared" si="25"/>
        <v>47</v>
      </c>
      <c r="B1544" s="8">
        <v>2016</v>
      </c>
      <c r="C1544" s="1" t="s">
        <v>1373</v>
      </c>
      <c r="D1544" s="1" t="s">
        <v>9</v>
      </c>
      <c r="E1544" s="2" t="s">
        <v>7</v>
      </c>
      <c r="F1544" s="9" t="s">
        <v>8</v>
      </c>
      <c r="H1544" t="str">
        <f>TRIM(SUBSTITUTE(PROPER(C1544)&amp;" "&amp;IF(OR(D1544="County",D1544="Township",D1544="Village",D1544="Charter Township"),D1544,"")&amp;IF(D1544="Township"," "&amp;"("&amp;VLOOKUP(A1544,counties,3,0)&amp;")",""),"  "," "))</f>
        <v>Oceola Township (Livingston County)</v>
      </c>
    </row>
    <row r="1545" spans="1:8" ht="15.75" thickBot="1" x14ac:dyDescent="0.3">
      <c r="A1545">
        <f t="shared" si="25"/>
        <v>47</v>
      </c>
      <c r="B1545" s="10">
        <v>2016</v>
      </c>
      <c r="C1545" s="3" t="s">
        <v>1374</v>
      </c>
      <c r="D1545" s="3" t="s">
        <v>21</v>
      </c>
      <c r="E1545" s="4" t="s">
        <v>7</v>
      </c>
      <c r="F1545" s="11" t="s">
        <v>8</v>
      </c>
      <c r="H1545" t="str">
        <f>TRIM(SUBSTITUTE(PROPER(C1545)&amp;" "&amp;IF(OR(D1545="County",D1545="Township",D1545="Village",D1545="Charter Township"),D1545,"")&amp;IF(D1545="Township"," "&amp;"("&amp;VLOOKUP(A1545,counties,3,0)&amp;")",""),"  "," "))</f>
        <v>Pinckney Village</v>
      </c>
    </row>
    <row r="1546" spans="1:8" ht="15.75" thickBot="1" x14ac:dyDescent="0.3">
      <c r="A1546">
        <f t="shared" si="25"/>
        <v>47</v>
      </c>
      <c r="B1546" s="8">
        <v>2016</v>
      </c>
      <c r="C1546" s="1" t="s">
        <v>1375</v>
      </c>
      <c r="D1546" s="1" t="s">
        <v>42</v>
      </c>
      <c r="E1546" s="2" t="s">
        <v>7</v>
      </c>
      <c r="F1546" s="9" t="s">
        <v>8</v>
      </c>
      <c r="H1546" t="str">
        <f>TRIM(SUBSTITUTE(PROPER(C1546)&amp;" "&amp;IF(OR(D1546="County",D1546="Township",D1546="Village",D1546="Charter Township"),D1546,"")&amp;IF(D1546="Township"," "&amp;"("&amp;VLOOKUP(A1546,counties,3,0)&amp;")",""),"  "," "))</f>
        <v>Pinckney Community Public Library</v>
      </c>
    </row>
    <row r="1547" spans="1:8" ht="15.75" thickBot="1" x14ac:dyDescent="0.3">
      <c r="A1547">
        <f t="shared" si="25"/>
        <v>47</v>
      </c>
      <c r="B1547" s="10">
        <v>2016</v>
      </c>
      <c r="C1547" s="3" t="s">
        <v>1376</v>
      </c>
      <c r="D1547" s="3" t="s">
        <v>9</v>
      </c>
      <c r="E1547" s="4" t="s">
        <v>7</v>
      </c>
      <c r="F1547" s="11" t="s">
        <v>8</v>
      </c>
      <c r="H1547" t="str">
        <f>TRIM(SUBSTITUTE(PROPER(C1547)&amp;" "&amp;IF(OR(D1547="County",D1547="Township",D1547="Village",D1547="Charter Township"),D1547,"")&amp;IF(D1547="Township"," "&amp;"("&amp;VLOOKUP(A1547,counties,3,0)&amp;")",""),"  "," "))</f>
        <v>Putnam Township (Livingston County)</v>
      </c>
    </row>
    <row r="1548" spans="1:8" ht="15.75" thickBot="1" x14ac:dyDescent="0.3">
      <c r="A1548">
        <f t="shared" si="25"/>
        <v>47</v>
      </c>
      <c r="B1548" s="8">
        <v>2016</v>
      </c>
      <c r="C1548" s="1" t="s">
        <v>1377</v>
      </c>
      <c r="D1548" s="1" t="s">
        <v>17</v>
      </c>
      <c r="E1548" s="2" t="s">
        <v>7</v>
      </c>
      <c r="F1548" s="9" t="s">
        <v>8</v>
      </c>
      <c r="H1548" t="str">
        <f>TRIM(SUBSTITUTE(PROPER(C1548)&amp;" "&amp;IF(OR(D1548="County",D1548="Township",D1548="Village",D1548="Charter Township"),D1548,"")&amp;IF(D1548="Township"," "&amp;"("&amp;VLOOKUP(A1548,counties,3,0)&amp;")",""),"  "," "))</f>
        <v>Southeastern Livingston Co Recreation Authority</v>
      </c>
    </row>
    <row r="1549" spans="1:8" ht="15.75" thickBot="1" x14ac:dyDescent="0.3">
      <c r="A1549">
        <f t="shared" si="25"/>
        <v>47</v>
      </c>
      <c r="B1549" s="10">
        <v>2016</v>
      </c>
      <c r="C1549" s="3" t="s">
        <v>1237</v>
      </c>
      <c r="D1549" s="3" t="s">
        <v>9</v>
      </c>
      <c r="E1549" s="4" t="s">
        <v>7</v>
      </c>
      <c r="F1549" s="11" t="s">
        <v>8</v>
      </c>
      <c r="H1549" t="str">
        <f>TRIM(SUBSTITUTE(PROPER(C1549)&amp;" "&amp;IF(OR(D1549="County",D1549="Township",D1549="Village",D1549="Charter Township"),D1549,"")&amp;IF(D1549="Township"," "&amp;"("&amp;VLOOKUP(A1549,counties,3,0)&amp;")",""),"  "," "))</f>
        <v>Tyrone Township (Livingston County)</v>
      </c>
    </row>
    <row r="1550" spans="1:8" ht="15.75" thickBot="1" x14ac:dyDescent="0.3">
      <c r="A1550">
        <f t="shared" si="25"/>
        <v>47</v>
      </c>
      <c r="B1550" s="16">
        <v>2016</v>
      </c>
      <c r="C1550" s="17" t="s">
        <v>1378</v>
      </c>
      <c r="D1550" s="17" t="s">
        <v>9</v>
      </c>
      <c r="E1550" s="18" t="s">
        <v>7</v>
      </c>
      <c r="F1550" s="19" t="s">
        <v>8</v>
      </c>
      <c r="H1550" t="str">
        <f>TRIM(SUBSTITUTE(PROPER(C1550)&amp;" "&amp;IF(OR(D1550="County",D1550="Township",D1550="Village",D1550="Charter Township"),D1550,"")&amp;IF(D1550="Township"," "&amp;"("&amp;VLOOKUP(A1550,counties,3,0)&amp;")",""),"  "," "))</f>
        <v>Unadilla Township (Livingston County)</v>
      </c>
    </row>
    <row r="1551" spans="1:8" ht="16.5" thickTop="1" thickBot="1" x14ac:dyDescent="0.3">
      <c r="A1551">
        <f t="shared" si="25"/>
        <v>48</v>
      </c>
      <c r="B1551" s="5" t="s">
        <v>0</v>
      </c>
      <c r="C1551" s="6" t="s">
        <v>1</v>
      </c>
      <c r="D1551" s="6" t="s">
        <v>2</v>
      </c>
      <c r="E1551" s="6" t="s">
        <v>3</v>
      </c>
      <c r="F1551" s="7" t="s">
        <v>4</v>
      </c>
      <c r="H1551" t="str">
        <f>TRIM(SUBSTITUTE(PROPER(C1551)&amp;" "&amp;IF(OR(D1551="County",D1551="Township",D1551="Village",D1551="Charter Township"),D1551,"")&amp;IF(D1551="Township"," "&amp;"("&amp;VLOOKUP(A1551,counties,3,0)&amp;")",""),"  "," "))</f>
        <v>Municipality</v>
      </c>
    </row>
    <row r="1552" spans="1:8" ht="15.75" thickBot="1" x14ac:dyDescent="0.3">
      <c r="A1552">
        <f t="shared" si="25"/>
        <v>48</v>
      </c>
      <c r="B1552" s="8">
        <v>2016</v>
      </c>
      <c r="C1552" s="1" t="s">
        <v>1379</v>
      </c>
      <c r="D1552" s="1" t="s">
        <v>9</v>
      </c>
      <c r="E1552" s="2" t="s">
        <v>7</v>
      </c>
      <c r="F1552" s="9" t="s">
        <v>19</v>
      </c>
      <c r="H1552" t="str">
        <f>TRIM(SUBSTITUTE(PROPER(C1552)&amp;" "&amp;IF(OR(D1552="County",D1552="Township",D1552="Village",D1552="Charter Township"),D1552,"")&amp;IF(D1552="Township"," "&amp;"("&amp;VLOOKUP(A1552,counties,3,0)&amp;")",""),"  "," "))</f>
        <v>Columbus Township (Luce County)</v>
      </c>
    </row>
    <row r="1553" spans="1:8" ht="15.75" thickBot="1" x14ac:dyDescent="0.3">
      <c r="A1553">
        <f t="shared" si="25"/>
        <v>48</v>
      </c>
      <c r="B1553" s="10">
        <v>2016</v>
      </c>
      <c r="C1553" s="3" t="s">
        <v>1380</v>
      </c>
      <c r="D1553" s="3" t="s">
        <v>9</v>
      </c>
      <c r="E1553" s="4" t="s">
        <v>7</v>
      </c>
      <c r="F1553" s="11" t="s">
        <v>8</v>
      </c>
      <c r="H1553" t="str">
        <f>TRIM(SUBSTITUTE(PROPER(C1553)&amp;" "&amp;IF(OR(D1553="County",D1553="Township",D1553="Village",D1553="Charter Township"),D1553,"")&amp;IF(D1553="Township"," "&amp;"("&amp;VLOOKUP(A1553,counties,3,0)&amp;")",""),"  "," "))</f>
        <v>Lakefield Township (Luce County)</v>
      </c>
    </row>
    <row r="1554" spans="1:8" ht="15.75" thickBot="1" x14ac:dyDescent="0.3">
      <c r="A1554">
        <f t="shared" si="25"/>
        <v>48</v>
      </c>
      <c r="B1554" s="8">
        <v>2016</v>
      </c>
      <c r="C1554" s="1" t="s">
        <v>1381</v>
      </c>
      <c r="D1554" s="1" t="s">
        <v>6</v>
      </c>
      <c r="E1554" s="2" t="s">
        <v>7</v>
      </c>
      <c r="F1554" s="9" t="s">
        <v>8</v>
      </c>
      <c r="H1554" t="str">
        <f>TRIM(SUBSTITUTE(PROPER(C1554)&amp;" "&amp;IF(OR(D1554="County",D1554="Township",D1554="Village",D1554="Charter Township"),D1554,"")&amp;IF(D1554="Township"," "&amp;"("&amp;VLOOKUP(A1554,counties,3,0)&amp;")",""),"  "," "))</f>
        <v>Luce County</v>
      </c>
    </row>
    <row r="1555" spans="1:8" ht="15.75" thickBot="1" x14ac:dyDescent="0.3">
      <c r="A1555">
        <f t="shared" si="25"/>
        <v>48</v>
      </c>
      <c r="B1555" s="10">
        <v>2016</v>
      </c>
      <c r="C1555" s="3" t="s">
        <v>1382</v>
      </c>
      <c r="D1555" s="3" t="s">
        <v>17</v>
      </c>
      <c r="E1555" s="4" t="s">
        <v>7</v>
      </c>
      <c r="F1555" s="11" t="s">
        <v>8</v>
      </c>
      <c r="H1555" t="str">
        <f>TRIM(SUBSTITUTE(PROPER(C1555)&amp;" "&amp;IF(OR(D1555="County",D1555="Township",D1555="Village",D1555="Charter Township"),D1555,"")&amp;IF(D1555="Township"," "&amp;"("&amp;VLOOKUP(A1555,counties,3,0)&amp;")",""),"  "," "))</f>
        <v>Luce County Ambulance Service</v>
      </c>
    </row>
    <row r="1556" spans="1:8" ht="15.75" thickBot="1" x14ac:dyDescent="0.3">
      <c r="A1556">
        <f t="shared" si="25"/>
        <v>48</v>
      </c>
      <c r="B1556" s="8">
        <v>2016</v>
      </c>
      <c r="C1556" s="1" t="s">
        <v>1383</v>
      </c>
      <c r="D1556" s="1" t="s">
        <v>17</v>
      </c>
      <c r="E1556" s="2" t="s">
        <v>7</v>
      </c>
      <c r="F1556" s="9" t="s">
        <v>8</v>
      </c>
      <c r="H1556" t="str">
        <f>TRIM(SUBSTITUTE(PROPER(C1556)&amp;" "&amp;IF(OR(D1556="County",D1556="Township",D1556="Village",D1556="Charter Township"),D1556,"")&amp;IF(D1556="Township"," "&amp;"("&amp;VLOOKUP(A1556,counties,3,0)&amp;")",""),"  "," "))</f>
        <v>Luce County Housing Commission</v>
      </c>
    </row>
    <row r="1557" spans="1:8" ht="15.75" thickBot="1" x14ac:dyDescent="0.3">
      <c r="A1557">
        <f t="shared" si="25"/>
        <v>48</v>
      </c>
      <c r="B1557" s="10">
        <v>2016</v>
      </c>
      <c r="C1557" s="3" t="s">
        <v>1384</v>
      </c>
      <c r="D1557" s="3" t="s">
        <v>11</v>
      </c>
      <c r="E1557" s="4" t="s">
        <v>7</v>
      </c>
      <c r="F1557" s="11" t="s">
        <v>8</v>
      </c>
      <c r="H1557" t="str">
        <f>TRIM(SUBSTITUTE(PROPER(C1557)&amp;" "&amp;IF(OR(D1557="County",D1557="Township",D1557="Village",D1557="Charter Township"),D1557,"")&amp;IF(D1557="Township"," "&amp;"("&amp;VLOOKUP(A1557,counties,3,0)&amp;")",""),"  "," "))</f>
        <v>Luce County Road Commission</v>
      </c>
    </row>
    <row r="1558" spans="1:8" ht="21.75" thickBot="1" x14ac:dyDescent="0.3">
      <c r="A1558">
        <f t="shared" si="25"/>
        <v>48</v>
      </c>
      <c r="B1558" s="8">
        <v>2016</v>
      </c>
      <c r="C1558" s="1" t="s">
        <v>1385</v>
      </c>
      <c r="D1558" s="1" t="s">
        <v>17</v>
      </c>
      <c r="E1558" s="2" t="s">
        <v>7</v>
      </c>
      <c r="F1558" s="9" t="s">
        <v>8</v>
      </c>
      <c r="H1558" t="str">
        <f>TRIM(SUBSTITUTE(PROPER(C1558)&amp;" "&amp;IF(OR(D1558="County",D1558="Township",D1558="Village",D1558="Charter Township"),D1558,"")&amp;IF(D1558="Township"," "&amp;"("&amp;VLOOKUP(A1558,counties,3,0)&amp;")",""),"  "," "))</f>
        <v>Luce/Mackinac/Alger/Schoolcraft Dist Health Dept</v>
      </c>
    </row>
    <row r="1559" spans="1:8" ht="15.75" thickBot="1" x14ac:dyDescent="0.3">
      <c r="A1559">
        <f t="shared" si="25"/>
        <v>48</v>
      </c>
      <c r="B1559" s="10">
        <v>2016</v>
      </c>
      <c r="C1559" s="3" t="s">
        <v>1386</v>
      </c>
      <c r="D1559" s="3" t="s">
        <v>9</v>
      </c>
      <c r="E1559" s="4" t="s">
        <v>7</v>
      </c>
      <c r="F1559" s="11" t="s">
        <v>8</v>
      </c>
      <c r="H1559" t="str">
        <f>TRIM(SUBSTITUTE(PROPER(C1559)&amp;" "&amp;IF(OR(D1559="County",D1559="Township",D1559="Village",D1559="Charter Township"),D1559,"")&amp;IF(D1559="Township"," "&amp;"("&amp;VLOOKUP(A1559,counties,3,0)&amp;")",""),"  "," "))</f>
        <v>Mcmillan Township (Luce County)</v>
      </c>
    </row>
    <row r="1560" spans="1:8" ht="15.75" thickBot="1" x14ac:dyDescent="0.3">
      <c r="A1560">
        <f t="shared" si="25"/>
        <v>48</v>
      </c>
      <c r="B1560" s="8">
        <v>2016</v>
      </c>
      <c r="C1560" s="1" t="s">
        <v>1387</v>
      </c>
      <c r="D1560" s="1" t="s">
        <v>21</v>
      </c>
      <c r="E1560" s="2" t="s">
        <v>7</v>
      </c>
      <c r="F1560" s="9" t="s">
        <v>8</v>
      </c>
      <c r="H1560" t="str">
        <f>TRIM(SUBSTITUTE(PROPER(C1560)&amp;" "&amp;IF(OR(D1560="County",D1560="Township",D1560="Village",D1560="Charter Township"),D1560,"")&amp;IF(D1560="Township"," "&amp;"("&amp;VLOOKUP(A1560,counties,3,0)&amp;")",""),"  "," "))</f>
        <v>Newberry Village</v>
      </c>
    </row>
    <row r="1561" spans="1:8" ht="15.75" thickBot="1" x14ac:dyDescent="0.3">
      <c r="A1561">
        <f t="shared" si="25"/>
        <v>48</v>
      </c>
      <c r="B1561" s="10">
        <v>2016</v>
      </c>
      <c r="C1561" s="3" t="s">
        <v>1388</v>
      </c>
      <c r="D1561" s="3" t="s">
        <v>9</v>
      </c>
      <c r="E1561" s="4" t="s">
        <v>7</v>
      </c>
      <c r="F1561" s="11" t="s">
        <v>8</v>
      </c>
      <c r="H1561" t="str">
        <f>TRIM(SUBSTITUTE(PROPER(C1561)&amp;" "&amp;IF(OR(D1561="County",D1561="Township",D1561="Village",D1561="Charter Township"),D1561,"")&amp;IF(D1561="Township"," "&amp;"("&amp;VLOOKUP(A1561,counties,3,0)&amp;")",""),"  "," "))</f>
        <v>Pentland Township (Luce County)</v>
      </c>
    </row>
    <row r="1562" spans="1:8" ht="15.75" thickBot="1" x14ac:dyDescent="0.3">
      <c r="A1562">
        <f t="shared" si="25"/>
        <v>48</v>
      </c>
      <c r="B1562" s="8">
        <v>2016</v>
      </c>
      <c r="C1562" s="1" t="s">
        <v>1389</v>
      </c>
      <c r="D1562" s="1" t="s">
        <v>17</v>
      </c>
      <c r="E1562" s="2" t="s">
        <v>7</v>
      </c>
      <c r="F1562" s="9" t="s">
        <v>8</v>
      </c>
      <c r="H1562" t="str">
        <f>TRIM(SUBSTITUTE(PROPER(C1562)&amp;" "&amp;IF(OR(D1562="County",D1562="Township",D1562="Village",D1562="Charter Township"),D1562,"")&amp;IF(D1562="Township"," "&amp;"("&amp;VLOOKUP(A1562,counties,3,0)&amp;")",""),"  "," "))</f>
        <v>Tahquamenon Area Recreation Authority</v>
      </c>
    </row>
    <row r="1563" spans="1:8" ht="15.75" thickBot="1" x14ac:dyDescent="0.3">
      <c r="A1563">
        <f t="shared" si="25"/>
        <v>48</v>
      </c>
      <c r="B1563" s="12">
        <v>2016</v>
      </c>
      <c r="C1563" s="13" t="s">
        <v>1390</v>
      </c>
      <c r="D1563" s="13" t="s">
        <v>17</v>
      </c>
      <c r="E1563" s="14" t="s">
        <v>7</v>
      </c>
      <c r="F1563" s="15" t="s">
        <v>8</v>
      </c>
      <c r="H1563" t="str">
        <f>TRIM(SUBSTITUTE(PROPER(C1563)&amp;" "&amp;IF(OR(D1563="County",D1563="Township",D1563="Village",D1563="Charter Township"),D1563,"")&amp;IF(D1563="Township"," "&amp;"("&amp;VLOOKUP(A1563,counties,3,0)&amp;")",""),"  "," "))</f>
        <v>The Edc Of Luce County</v>
      </c>
    </row>
    <row r="1564" spans="1:8" ht="16.5" thickTop="1" thickBot="1" x14ac:dyDescent="0.3">
      <c r="A1564">
        <f t="shared" si="25"/>
        <v>49</v>
      </c>
      <c r="B1564" s="5" t="s">
        <v>0</v>
      </c>
      <c r="C1564" s="6" t="s">
        <v>1</v>
      </c>
      <c r="D1564" s="6" t="s">
        <v>2</v>
      </c>
      <c r="E1564" s="6" t="s">
        <v>3</v>
      </c>
      <c r="F1564" s="7" t="s">
        <v>4</v>
      </c>
      <c r="H1564" t="str">
        <f>TRIM(SUBSTITUTE(PROPER(C1564)&amp;" "&amp;IF(OR(D1564="County",D1564="Township",D1564="Village",D1564="Charter Township"),D1564,"")&amp;IF(D1564="Township"," "&amp;"("&amp;VLOOKUP(A1564,counties,3,0)&amp;")",""),"  "," "))</f>
        <v>Municipality</v>
      </c>
    </row>
    <row r="1565" spans="1:8" ht="15.75" thickBot="1" x14ac:dyDescent="0.3">
      <c r="A1565">
        <f t="shared" si="25"/>
        <v>49</v>
      </c>
      <c r="B1565" s="8">
        <v>2016</v>
      </c>
      <c r="C1565" s="1" t="s">
        <v>1391</v>
      </c>
      <c r="D1565" s="1" t="s">
        <v>9</v>
      </c>
      <c r="E1565" s="2" t="s">
        <v>7</v>
      </c>
      <c r="F1565" s="9" t="s">
        <v>8</v>
      </c>
      <c r="H1565" t="str">
        <f>TRIM(SUBSTITUTE(PROPER(C1565)&amp;" "&amp;IF(OR(D1565="County",D1565="Township",D1565="Village",D1565="Charter Township"),D1565,"")&amp;IF(D1565="Township"," "&amp;"("&amp;VLOOKUP(A1565,counties,3,0)&amp;")",""),"  "," "))</f>
        <v>Bois Blanc Township (Mackinac County)</v>
      </c>
    </row>
    <row r="1566" spans="1:8" ht="15.75" thickBot="1" x14ac:dyDescent="0.3">
      <c r="A1566">
        <f t="shared" si="25"/>
        <v>49</v>
      </c>
      <c r="B1566" s="10">
        <v>2016</v>
      </c>
      <c r="C1566" s="3" t="s">
        <v>1392</v>
      </c>
      <c r="D1566" s="3" t="s">
        <v>9</v>
      </c>
      <c r="E1566" s="4" t="s">
        <v>7</v>
      </c>
      <c r="F1566" s="11" t="s">
        <v>8</v>
      </c>
      <c r="H1566" t="str">
        <f>TRIM(SUBSTITUTE(PROPER(C1566)&amp;" "&amp;IF(OR(D1566="County",D1566="Township",D1566="Village",D1566="Charter Township"),D1566,"")&amp;IF(D1566="Township"," "&amp;"("&amp;VLOOKUP(A1566,counties,3,0)&amp;")",""),"  "," "))</f>
        <v>Brevort Township (Mackinac County)</v>
      </c>
    </row>
    <row r="1567" spans="1:8" ht="15.75" thickBot="1" x14ac:dyDescent="0.3">
      <c r="A1567">
        <f t="shared" si="25"/>
        <v>49</v>
      </c>
      <c r="B1567" s="8">
        <v>2016</v>
      </c>
      <c r="C1567" s="1" t="s">
        <v>1393</v>
      </c>
      <c r="D1567" s="1" t="s">
        <v>9</v>
      </c>
      <c r="E1567" s="2" t="s">
        <v>7</v>
      </c>
      <c r="F1567" s="9" t="s">
        <v>8</v>
      </c>
      <c r="H1567" t="str">
        <f>TRIM(SUBSTITUTE(PROPER(C1567)&amp;" "&amp;IF(OR(D1567="County",D1567="Township",D1567="Village",D1567="Charter Township"),D1567,"")&amp;IF(D1567="Township"," "&amp;"("&amp;VLOOKUP(A1567,counties,3,0)&amp;")",""),"  "," "))</f>
        <v>Clark Township (Mackinac County)</v>
      </c>
    </row>
    <row r="1568" spans="1:8" ht="15.75" thickBot="1" x14ac:dyDescent="0.3">
      <c r="A1568">
        <f t="shared" si="25"/>
        <v>49</v>
      </c>
      <c r="B1568" s="10">
        <v>2016</v>
      </c>
      <c r="C1568" s="3" t="s">
        <v>492</v>
      </c>
      <c r="D1568" s="3" t="s">
        <v>9</v>
      </c>
      <c r="E1568" s="4" t="s">
        <v>7</v>
      </c>
      <c r="F1568" s="11" t="s">
        <v>8</v>
      </c>
      <c r="H1568" t="str">
        <f>TRIM(SUBSTITUTE(PROPER(C1568)&amp;" "&amp;IF(OR(D1568="County",D1568="Township",D1568="Village",D1568="Charter Township"),D1568,"")&amp;IF(D1568="Township"," "&amp;"("&amp;VLOOKUP(A1568,counties,3,0)&amp;")",""),"  "," "))</f>
        <v>Garfield Township (Mackinac County)</v>
      </c>
    </row>
    <row r="1569" spans="1:8" ht="15.75" thickBot="1" x14ac:dyDescent="0.3">
      <c r="A1569">
        <f t="shared" si="25"/>
        <v>49</v>
      </c>
      <c r="B1569" s="8">
        <v>2016</v>
      </c>
      <c r="C1569" s="1" t="s">
        <v>1394</v>
      </c>
      <c r="D1569" s="1" t="s">
        <v>9</v>
      </c>
      <c r="E1569" s="2" t="s">
        <v>7</v>
      </c>
      <c r="F1569" s="9" t="s">
        <v>8</v>
      </c>
      <c r="H1569" t="str">
        <f>TRIM(SUBSTITUTE(PROPER(C1569)&amp;" "&amp;IF(OR(D1569="County",D1569="Township",D1569="Village",D1569="Charter Township"),D1569,"")&amp;IF(D1569="Township"," "&amp;"("&amp;VLOOKUP(A1569,counties,3,0)&amp;")",""),"  "," "))</f>
        <v>Hendricks Township (Mackinac County)</v>
      </c>
    </row>
    <row r="1570" spans="1:8" ht="15.75" thickBot="1" x14ac:dyDescent="0.3">
      <c r="A1570">
        <f t="shared" si="25"/>
        <v>49</v>
      </c>
      <c r="B1570" s="10">
        <v>2016</v>
      </c>
      <c r="C1570" s="3" t="s">
        <v>432</v>
      </c>
      <c r="D1570" s="3" t="s">
        <v>9</v>
      </c>
      <c r="E1570" s="4" t="s">
        <v>7</v>
      </c>
      <c r="F1570" s="11" t="s">
        <v>8</v>
      </c>
      <c r="H1570" t="str">
        <f>TRIM(SUBSTITUTE(PROPER(C1570)&amp;" "&amp;IF(OR(D1570="County",D1570="Township",D1570="Village",D1570="Charter Township"),D1570,"")&amp;IF(D1570="Township"," "&amp;"("&amp;VLOOKUP(A1570,counties,3,0)&amp;")",""),"  "," "))</f>
        <v>Hudson Township (Mackinac County)</v>
      </c>
    </row>
    <row r="1571" spans="1:8" ht="15.75" thickBot="1" x14ac:dyDescent="0.3">
      <c r="A1571">
        <f t="shared" si="25"/>
        <v>49</v>
      </c>
      <c r="B1571" s="8">
        <v>2016</v>
      </c>
      <c r="C1571" s="1" t="s">
        <v>1395</v>
      </c>
      <c r="D1571" s="1" t="s">
        <v>6</v>
      </c>
      <c r="E1571" s="2" t="s">
        <v>7</v>
      </c>
      <c r="F1571" s="9" t="s">
        <v>8</v>
      </c>
      <c r="H1571" t="str">
        <f>TRIM(SUBSTITUTE(PROPER(C1571)&amp;" "&amp;IF(OR(D1571="County",D1571="Township",D1571="Village",D1571="Charter Township"),D1571,"")&amp;IF(D1571="Township"," "&amp;"("&amp;VLOOKUP(A1571,counties,3,0)&amp;")",""),"  "," "))</f>
        <v>Mackinac County</v>
      </c>
    </row>
    <row r="1572" spans="1:8" ht="15.75" thickBot="1" x14ac:dyDescent="0.3">
      <c r="A1572">
        <f t="shared" si="25"/>
        <v>49</v>
      </c>
      <c r="B1572" s="10">
        <v>2016</v>
      </c>
      <c r="C1572" s="3" t="s">
        <v>1396</v>
      </c>
      <c r="D1572" s="3" t="s">
        <v>17</v>
      </c>
      <c r="E1572" s="4" t="s">
        <v>7</v>
      </c>
      <c r="F1572" s="11" t="s">
        <v>8</v>
      </c>
      <c r="H1572" t="str">
        <f>TRIM(SUBSTITUTE(PROPER(C1572)&amp;" "&amp;IF(OR(D1572="County",D1572="Township",D1572="Village",D1572="Charter Township"),D1572,"")&amp;IF(D1572="Township"," "&amp;"("&amp;VLOOKUP(A1572,counties,3,0)&amp;")",""),"  "," "))</f>
        <v>Mackinac County Housing Commission</v>
      </c>
    </row>
    <row r="1573" spans="1:8" ht="15.75" thickBot="1" x14ac:dyDescent="0.3">
      <c r="A1573">
        <f t="shared" si="25"/>
        <v>49</v>
      </c>
      <c r="B1573" s="8">
        <v>2016</v>
      </c>
      <c r="C1573" s="1" t="s">
        <v>1397</v>
      </c>
      <c r="D1573" s="1" t="s">
        <v>11</v>
      </c>
      <c r="E1573" s="2" t="s">
        <v>7</v>
      </c>
      <c r="F1573" s="9" t="s">
        <v>8</v>
      </c>
      <c r="H1573" t="str">
        <f>TRIM(SUBSTITUTE(PROPER(C1573)&amp;" "&amp;IF(OR(D1573="County",D1573="Township",D1573="Village",D1573="Charter Township"),D1573,"")&amp;IF(D1573="Township"," "&amp;"("&amp;VLOOKUP(A1573,counties,3,0)&amp;")",""),"  "," "))</f>
        <v>Mackinac County Road Commission</v>
      </c>
    </row>
    <row r="1574" spans="1:8" ht="15.75" thickBot="1" x14ac:dyDescent="0.3">
      <c r="A1574">
        <f t="shared" si="25"/>
        <v>49</v>
      </c>
      <c r="B1574" s="10">
        <v>2016</v>
      </c>
      <c r="C1574" s="3" t="s">
        <v>1398</v>
      </c>
      <c r="D1574" s="3" t="s">
        <v>15</v>
      </c>
      <c r="E1574" s="4" t="s">
        <v>7</v>
      </c>
      <c r="F1574" s="11" t="s">
        <v>8</v>
      </c>
      <c r="H1574" t="str">
        <f>TRIM(SUBSTITUTE(PROPER(C1574)&amp;" "&amp;IF(OR(D1574="County",D1574="Township",D1574="Village",D1574="Charter Township"),D1574,"")&amp;IF(D1574="Township"," "&amp;"("&amp;VLOOKUP(A1574,counties,3,0)&amp;")",""),"  "," "))</f>
        <v>Mackinac Island</v>
      </c>
    </row>
    <row r="1575" spans="1:8" ht="15.75" thickBot="1" x14ac:dyDescent="0.3">
      <c r="A1575">
        <f t="shared" si="25"/>
        <v>49</v>
      </c>
      <c r="B1575" s="8">
        <v>2016</v>
      </c>
      <c r="C1575" s="1" t="s">
        <v>1399</v>
      </c>
      <c r="D1575" s="1" t="s">
        <v>9</v>
      </c>
      <c r="E1575" s="2" t="s">
        <v>7</v>
      </c>
      <c r="F1575" s="9" t="s">
        <v>8</v>
      </c>
      <c r="H1575" t="str">
        <f>TRIM(SUBSTITUTE(PROPER(C1575)&amp;" "&amp;IF(OR(D1575="County",D1575="Township",D1575="Village",D1575="Charter Township"),D1575,"")&amp;IF(D1575="Township"," "&amp;"("&amp;VLOOKUP(A1575,counties,3,0)&amp;")",""),"  "," "))</f>
        <v>Marquette Township (Mackinac County)</v>
      </c>
    </row>
    <row r="1576" spans="1:8" ht="15.75" thickBot="1" x14ac:dyDescent="0.3">
      <c r="A1576">
        <f t="shared" si="25"/>
        <v>49</v>
      </c>
      <c r="B1576" s="10">
        <v>2016</v>
      </c>
      <c r="C1576" s="3" t="s">
        <v>1400</v>
      </c>
      <c r="D1576" s="3" t="s">
        <v>9</v>
      </c>
      <c r="E1576" s="4" t="s">
        <v>7</v>
      </c>
      <c r="F1576" s="11" t="s">
        <v>8</v>
      </c>
      <c r="H1576" t="str">
        <f>TRIM(SUBSTITUTE(PROPER(C1576)&amp;" "&amp;IF(OR(D1576="County",D1576="Township",D1576="Village",D1576="Charter Township"),D1576,"")&amp;IF(D1576="Township"," "&amp;"("&amp;VLOOKUP(A1576,counties,3,0)&amp;")",""),"  "," "))</f>
        <v>Moran Township (Mackinac County)</v>
      </c>
    </row>
    <row r="1577" spans="1:8" ht="15.75" thickBot="1" x14ac:dyDescent="0.3">
      <c r="A1577">
        <f t="shared" si="25"/>
        <v>49</v>
      </c>
      <c r="B1577" s="8">
        <v>2016</v>
      </c>
      <c r="C1577" s="1" t="s">
        <v>372</v>
      </c>
      <c r="D1577" s="1" t="s">
        <v>9</v>
      </c>
      <c r="E1577" s="2" t="s">
        <v>7</v>
      </c>
      <c r="F1577" s="9" t="s">
        <v>8</v>
      </c>
      <c r="H1577" t="str">
        <f>TRIM(SUBSTITUTE(PROPER(C1577)&amp;" "&amp;IF(OR(D1577="County",D1577="Township",D1577="Village",D1577="Charter Township"),D1577,"")&amp;IF(D1577="Township"," "&amp;"("&amp;VLOOKUP(A1577,counties,3,0)&amp;")",""),"  "," "))</f>
        <v>Newton Township (Mackinac County)</v>
      </c>
    </row>
    <row r="1578" spans="1:8" ht="15.75" thickBot="1" x14ac:dyDescent="0.3">
      <c r="A1578">
        <f t="shared" si="25"/>
        <v>49</v>
      </c>
      <c r="B1578" s="10">
        <v>2016</v>
      </c>
      <c r="C1578" s="3" t="s">
        <v>1148</v>
      </c>
      <c r="D1578" s="3" t="s">
        <v>9</v>
      </c>
      <c r="E1578" s="4" t="s">
        <v>7</v>
      </c>
      <c r="F1578" s="11" t="s">
        <v>8</v>
      </c>
      <c r="H1578" t="str">
        <f>TRIM(SUBSTITUTE(PROPER(C1578)&amp;" "&amp;IF(OR(D1578="County",D1578="Township",D1578="Village",D1578="Charter Township"),D1578,"")&amp;IF(D1578="Township"," "&amp;"("&amp;VLOOKUP(A1578,counties,3,0)&amp;")",""),"  "," "))</f>
        <v>Portage Township (Mackinac County)</v>
      </c>
    </row>
    <row r="1579" spans="1:8" ht="15.75" thickBot="1" x14ac:dyDescent="0.3">
      <c r="A1579">
        <f t="shared" si="25"/>
        <v>49</v>
      </c>
      <c r="B1579" s="8">
        <v>2016</v>
      </c>
      <c r="C1579" s="1" t="s">
        <v>1401</v>
      </c>
      <c r="D1579" s="1" t="s">
        <v>15</v>
      </c>
      <c r="E1579" s="2" t="s">
        <v>7</v>
      </c>
      <c r="F1579" s="9" t="s">
        <v>8</v>
      </c>
      <c r="H1579" t="str">
        <f>TRIM(SUBSTITUTE(PROPER(C1579)&amp;" "&amp;IF(OR(D1579="County",D1579="Township",D1579="Village",D1579="Charter Township"),D1579,"")&amp;IF(D1579="Township"," "&amp;"("&amp;VLOOKUP(A1579,counties,3,0)&amp;")",""),"  "," "))</f>
        <v>St Ignace</v>
      </c>
    </row>
    <row r="1580" spans="1:8" ht="15.75" thickBot="1" x14ac:dyDescent="0.3">
      <c r="A1580">
        <f t="shared" si="25"/>
        <v>49</v>
      </c>
      <c r="B1580" s="12">
        <v>2016</v>
      </c>
      <c r="C1580" s="13" t="s">
        <v>1401</v>
      </c>
      <c r="D1580" s="13" t="s">
        <v>9</v>
      </c>
      <c r="E1580" s="14" t="s">
        <v>7</v>
      </c>
      <c r="F1580" s="15" t="s">
        <v>8</v>
      </c>
      <c r="H1580" t="str">
        <f>TRIM(SUBSTITUTE(PROPER(C1580)&amp;" "&amp;IF(OR(D1580="County",D1580="Township",D1580="Village",D1580="Charter Township"),D1580,"")&amp;IF(D1580="Township"," "&amp;"("&amp;VLOOKUP(A1580,counties,3,0)&amp;")",""),"  "," "))</f>
        <v>St Ignace Township (Mackinac County)</v>
      </c>
    </row>
    <row r="1581" spans="1:8" ht="16.5" thickTop="1" thickBot="1" x14ac:dyDescent="0.3">
      <c r="A1581">
        <f t="shared" si="25"/>
        <v>50</v>
      </c>
      <c r="B1581" s="5" t="s">
        <v>0</v>
      </c>
      <c r="C1581" s="6" t="s">
        <v>1</v>
      </c>
      <c r="D1581" s="6" t="s">
        <v>2</v>
      </c>
      <c r="E1581" s="6" t="s">
        <v>3</v>
      </c>
      <c r="F1581" s="7" t="s">
        <v>4</v>
      </c>
      <c r="H1581" t="str">
        <f>TRIM(SUBSTITUTE(PROPER(C1581)&amp;" "&amp;IF(OR(D1581="County",D1581="Township",D1581="Village",D1581="Charter Township"),D1581,"")&amp;IF(D1581="Township"," "&amp;"("&amp;VLOOKUP(A1581,counties,3,0)&amp;")",""),"  "," "))</f>
        <v>Municipality</v>
      </c>
    </row>
    <row r="1582" spans="1:8" ht="15.75" thickBot="1" x14ac:dyDescent="0.3">
      <c r="A1582">
        <f t="shared" si="25"/>
        <v>50</v>
      </c>
      <c r="B1582" s="8">
        <v>2016</v>
      </c>
      <c r="C1582" s="1" t="s">
        <v>1402</v>
      </c>
      <c r="D1582" s="1" t="s">
        <v>17</v>
      </c>
      <c r="E1582" s="2" t="s">
        <v>7</v>
      </c>
      <c r="F1582" s="9" t="s">
        <v>8</v>
      </c>
      <c r="H1582" t="str">
        <f>TRIM(SUBSTITUTE(PROPER(C1582)&amp;" "&amp;IF(OR(D1582="County",D1582="Township",D1582="Village",D1582="Charter Township"),D1582,"")&amp;IF(D1582="Township"," "&amp;"("&amp;VLOOKUP(A1582,counties,3,0)&amp;")",""),"  "," "))</f>
        <v>39Th District-Roseville</v>
      </c>
    </row>
    <row r="1583" spans="1:8" ht="15.75" thickBot="1" x14ac:dyDescent="0.3">
      <c r="A1583">
        <f t="shared" si="25"/>
        <v>50</v>
      </c>
      <c r="B1583" s="10">
        <v>2016</v>
      </c>
      <c r="C1583" s="3" t="s">
        <v>1403</v>
      </c>
      <c r="D1583" s="3" t="s">
        <v>17</v>
      </c>
      <c r="E1583" s="4" t="s">
        <v>7</v>
      </c>
      <c r="F1583" s="11" t="s">
        <v>8</v>
      </c>
      <c r="H1583" t="str">
        <f>TRIM(SUBSTITUTE(PROPER(C1583)&amp;" "&amp;IF(OR(D1583="County",D1583="Township",D1583="Village",D1583="Charter Township"),D1583,"")&amp;IF(D1583="Township"," "&amp;"("&amp;VLOOKUP(A1583,counties,3,0)&amp;")",""),"  "," "))</f>
        <v>41B District-Clinton Ch Twp And Mt Clemens</v>
      </c>
    </row>
    <row r="1584" spans="1:8" ht="15.75" thickBot="1" x14ac:dyDescent="0.3">
      <c r="A1584">
        <f t="shared" si="25"/>
        <v>50</v>
      </c>
      <c r="B1584" s="8">
        <v>2016</v>
      </c>
      <c r="C1584" s="1" t="s">
        <v>1404</v>
      </c>
      <c r="D1584" s="1" t="s">
        <v>9</v>
      </c>
      <c r="E1584" s="2" t="s">
        <v>7</v>
      </c>
      <c r="F1584" s="9" t="s">
        <v>8</v>
      </c>
      <c r="H1584" t="str">
        <f>TRIM(SUBSTITUTE(PROPER(C1584)&amp;" "&amp;IF(OR(D1584="County",D1584="Township",D1584="Village",D1584="Charter Township"),D1584,"")&amp;IF(D1584="Township"," "&amp;"("&amp;VLOOKUP(A1584,counties,3,0)&amp;")",""),"  "," "))</f>
        <v>Armada Township (Macomb County)</v>
      </c>
    </row>
    <row r="1585" spans="1:8" ht="15.75" thickBot="1" x14ac:dyDescent="0.3">
      <c r="A1585">
        <f t="shared" si="25"/>
        <v>50</v>
      </c>
      <c r="B1585" s="10">
        <v>2016</v>
      </c>
      <c r="C1585" s="3" t="s">
        <v>1404</v>
      </c>
      <c r="D1585" s="3" t="s">
        <v>21</v>
      </c>
      <c r="E1585" s="4" t="s">
        <v>7</v>
      </c>
      <c r="F1585" s="11" t="s">
        <v>8</v>
      </c>
      <c r="H1585" t="str">
        <f>TRIM(SUBSTITUTE(PROPER(C1585)&amp;" "&amp;IF(OR(D1585="County",D1585="Township",D1585="Village",D1585="Charter Township"),D1585,"")&amp;IF(D1585="Township"," "&amp;"("&amp;VLOOKUP(A1585,counties,3,0)&amp;")",""),"  "," "))</f>
        <v>Armada Village</v>
      </c>
    </row>
    <row r="1586" spans="1:8" ht="15.75" thickBot="1" x14ac:dyDescent="0.3">
      <c r="A1586">
        <f t="shared" si="25"/>
        <v>50</v>
      </c>
      <c r="B1586" s="8">
        <v>2016</v>
      </c>
      <c r="C1586" s="1" t="s">
        <v>1405</v>
      </c>
      <c r="D1586" s="1" t="s">
        <v>42</v>
      </c>
      <c r="E1586" s="2" t="s">
        <v>7</v>
      </c>
      <c r="F1586" s="9" t="s">
        <v>8</v>
      </c>
      <c r="H1586" t="str">
        <f>TRIM(SUBSTITUTE(PROPER(C1586)&amp;" "&amp;IF(OR(D1586="County",D1586="Township",D1586="Village",D1586="Charter Township"),D1586,"")&amp;IF(D1586="Township"," "&amp;"("&amp;VLOOKUP(A1586,counties,3,0)&amp;")",""),"  "," "))</f>
        <v>Armada Free Public Library</v>
      </c>
    </row>
    <row r="1587" spans="1:8" ht="15.75" thickBot="1" x14ac:dyDescent="0.3">
      <c r="A1587">
        <f t="shared" si="25"/>
        <v>50</v>
      </c>
      <c r="B1587" s="10">
        <v>2016</v>
      </c>
      <c r="C1587" s="3" t="s">
        <v>1406</v>
      </c>
      <c r="D1587" s="3" t="s">
        <v>9</v>
      </c>
      <c r="E1587" s="4" t="s">
        <v>7</v>
      </c>
      <c r="F1587" s="11" t="s">
        <v>8</v>
      </c>
      <c r="H1587" t="str">
        <f>TRIM(SUBSTITUTE(PROPER(C1587)&amp;" "&amp;IF(OR(D1587="County",D1587="Township",D1587="Village",D1587="Charter Township"),D1587,"")&amp;IF(D1587="Township"," "&amp;"("&amp;VLOOKUP(A1587,counties,3,0)&amp;")",""),"  "," "))</f>
        <v>Bruce Township (Macomb County)</v>
      </c>
    </row>
    <row r="1588" spans="1:8" ht="15.75" thickBot="1" x14ac:dyDescent="0.3">
      <c r="A1588">
        <f t="shared" si="25"/>
        <v>50</v>
      </c>
      <c r="B1588" s="8">
        <v>2016</v>
      </c>
      <c r="C1588" s="1" t="s">
        <v>1407</v>
      </c>
      <c r="D1588" s="1" t="s">
        <v>15</v>
      </c>
      <c r="E1588" s="2" t="s">
        <v>7</v>
      </c>
      <c r="F1588" s="9" t="s">
        <v>8</v>
      </c>
      <c r="H1588" t="str">
        <f>TRIM(SUBSTITUTE(PROPER(C1588)&amp;" "&amp;IF(OR(D1588="County",D1588="Township",D1588="Village",D1588="Charter Township"),D1588,"")&amp;IF(D1588="Township"," "&amp;"("&amp;VLOOKUP(A1588,counties,3,0)&amp;")",""),"  "," "))</f>
        <v>Center Line</v>
      </c>
    </row>
    <row r="1589" spans="1:8" ht="15.75" thickBot="1" x14ac:dyDescent="0.3">
      <c r="A1589">
        <f t="shared" si="25"/>
        <v>50</v>
      </c>
      <c r="B1589" s="10">
        <v>2016</v>
      </c>
      <c r="C1589" s="3" t="s">
        <v>1408</v>
      </c>
      <c r="D1589" s="3" t="s">
        <v>9</v>
      </c>
      <c r="E1589" s="4" t="s">
        <v>7</v>
      </c>
      <c r="F1589" s="11" t="s">
        <v>8</v>
      </c>
      <c r="H1589" t="str">
        <f>TRIM(SUBSTITUTE(PROPER(C1589)&amp;" "&amp;IF(OR(D1589="County",D1589="Township",D1589="Village",D1589="Charter Township"),D1589,"")&amp;IF(D1589="Township"," "&amp;"("&amp;VLOOKUP(A1589,counties,3,0)&amp;")",""),"  "," "))</f>
        <v>Chesterfield Charter Township (Macomb County)</v>
      </c>
    </row>
    <row r="1590" spans="1:8" ht="15.75" thickBot="1" x14ac:dyDescent="0.3">
      <c r="A1590">
        <f t="shared" si="25"/>
        <v>50</v>
      </c>
      <c r="B1590" s="8">
        <v>2016</v>
      </c>
      <c r="C1590" s="1" t="s">
        <v>1409</v>
      </c>
      <c r="D1590" s="1" t="s">
        <v>42</v>
      </c>
      <c r="E1590" s="2" t="s">
        <v>7</v>
      </c>
      <c r="F1590" s="9" t="s">
        <v>8</v>
      </c>
      <c r="H1590" t="str">
        <f>TRIM(SUBSTITUTE(PROPER(C1590)&amp;" "&amp;IF(OR(D1590="County",D1590="Township",D1590="Village",D1590="Charter Township"),D1590,"")&amp;IF(D1590="Township"," "&amp;"("&amp;VLOOKUP(A1590,counties,3,0)&amp;")",""),"  "," "))</f>
        <v>Chesterfield Twp Library</v>
      </c>
    </row>
    <row r="1591" spans="1:8" ht="15.75" thickBot="1" x14ac:dyDescent="0.3">
      <c r="A1591">
        <f t="shared" si="25"/>
        <v>50</v>
      </c>
      <c r="B1591" s="10">
        <v>2016</v>
      </c>
      <c r="C1591" s="3" t="s">
        <v>1410</v>
      </c>
      <c r="D1591" s="3" t="s">
        <v>9</v>
      </c>
      <c r="E1591" s="4" t="s">
        <v>7</v>
      </c>
      <c r="F1591" s="11" t="s">
        <v>8</v>
      </c>
      <c r="H1591" t="str">
        <f>TRIM(SUBSTITUTE(PROPER(C1591)&amp;" "&amp;IF(OR(D1591="County",D1591="Township",D1591="Village",D1591="Charter Township"),D1591,"")&amp;IF(D1591="Township"," "&amp;"("&amp;VLOOKUP(A1591,counties,3,0)&amp;")",""),"  "," "))</f>
        <v>Clinton Charter Township (Macomb County)</v>
      </c>
    </row>
    <row r="1592" spans="1:8" ht="15.75" thickBot="1" x14ac:dyDescent="0.3">
      <c r="A1592">
        <f t="shared" si="25"/>
        <v>50</v>
      </c>
      <c r="B1592" s="8">
        <v>2016</v>
      </c>
      <c r="C1592" s="1" t="s">
        <v>1411</v>
      </c>
      <c r="D1592" s="1" t="s">
        <v>17</v>
      </c>
      <c r="E1592" s="2" t="s">
        <v>7</v>
      </c>
      <c r="F1592" s="9" t="s">
        <v>8</v>
      </c>
      <c r="H1592" t="str">
        <f>TRIM(SUBSTITUTE(PROPER(C1592)&amp;" "&amp;IF(OR(D1592="County",D1592="Township",D1592="Village",D1592="Charter Township"),D1592,"")&amp;IF(D1592="Township"," "&amp;"("&amp;VLOOKUP(A1592,counties,3,0)&amp;")",""),"  "," "))</f>
        <v>Clinton Charter Twp Fire &amp; Police Pension System</v>
      </c>
    </row>
    <row r="1593" spans="1:8" ht="15.75" thickBot="1" x14ac:dyDescent="0.3">
      <c r="A1593">
        <f t="shared" si="25"/>
        <v>50</v>
      </c>
      <c r="B1593" s="10">
        <v>2016</v>
      </c>
      <c r="C1593" s="3" t="s">
        <v>1412</v>
      </c>
      <c r="D1593" s="3" t="s">
        <v>42</v>
      </c>
      <c r="E1593" s="4" t="s">
        <v>7</v>
      </c>
      <c r="F1593" s="11" t="s">
        <v>8</v>
      </c>
      <c r="H1593" t="str">
        <f>TRIM(SUBSTITUTE(PROPER(C1593)&amp;" "&amp;IF(OR(D1593="County",D1593="Township",D1593="Village",D1593="Charter Township"),D1593,"")&amp;IF(D1593="Township"," "&amp;"("&amp;VLOOKUP(A1593,counties,3,0)&amp;")",""),"  "," "))</f>
        <v>Clinton Macomb Public Library</v>
      </c>
    </row>
    <row r="1594" spans="1:8" ht="15.75" thickBot="1" x14ac:dyDescent="0.3">
      <c r="A1594">
        <f t="shared" si="25"/>
        <v>50</v>
      </c>
      <c r="B1594" s="8">
        <v>2016</v>
      </c>
      <c r="C1594" s="1" t="s">
        <v>1413</v>
      </c>
      <c r="D1594" s="1" t="s">
        <v>17</v>
      </c>
      <c r="E1594" s="2" t="s">
        <v>7</v>
      </c>
      <c r="F1594" s="9" t="s">
        <v>8</v>
      </c>
      <c r="H1594" t="str">
        <f>TRIM(SUBSTITUTE(PROPER(C1594)&amp;" "&amp;IF(OR(D1594="County",D1594="Township",D1594="Village",D1594="Charter Township"),D1594,"")&amp;IF(D1594="Township"," "&amp;"("&amp;VLOOKUP(A1594,counties,3,0)&amp;")",""),"  "," "))</f>
        <v>Clinton Twp Housing Commission</v>
      </c>
    </row>
    <row r="1595" spans="1:8" ht="15.75" thickBot="1" x14ac:dyDescent="0.3">
      <c r="A1595">
        <f t="shared" si="25"/>
        <v>50</v>
      </c>
      <c r="B1595" s="10">
        <v>2016</v>
      </c>
      <c r="C1595" s="3" t="s">
        <v>1414</v>
      </c>
      <c r="D1595" s="3" t="s">
        <v>17</v>
      </c>
      <c r="E1595" s="4" t="s">
        <v>7</v>
      </c>
      <c r="F1595" s="11" t="s">
        <v>8</v>
      </c>
      <c r="H1595" t="str">
        <f>TRIM(SUBSTITUTE(PROPER(C1595)&amp;" "&amp;IF(OR(D1595="County",D1595="Township",D1595="Village",D1595="Charter Township"),D1595,"")&amp;IF(D1595="Township"," "&amp;"("&amp;VLOOKUP(A1595,counties,3,0)&amp;")",""),"  "," "))</f>
        <v>County Of Macomb Enforcement Team-Comet</v>
      </c>
    </row>
    <row r="1596" spans="1:8" ht="15.75" thickBot="1" x14ac:dyDescent="0.3">
      <c r="A1596">
        <f t="shared" si="25"/>
        <v>50</v>
      </c>
      <c r="B1596" s="8">
        <v>2016</v>
      </c>
      <c r="C1596" s="1" t="s">
        <v>1415</v>
      </c>
      <c r="D1596" s="1" t="s">
        <v>15</v>
      </c>
      <c r="E1596" s="2" t="s">
        <v>7</v>
      </c>
      <c r="F1596" s="9" t="s">
        <v>8</v>
      </c>
      <c r="H1596" t="str">
        <f>TRIM(SUBSTITUTE(PROPER(C1596)&amp;" "&amp;IF(OR(D1596="County",D1596="Township",D1596="Village",D1596="Charter Township"),D1596,"")&amp;IF(D1596="Township"," "&amp;"("&amp;VLOOKUP(A1596,counties,3,0)&amp;")",""),"  "," "))</f>
        <v>Eastpointe</v>
      </c>
    </row>
    <row r="1597" spans="1:8" ht="15.75" thickBot="1" x14ac:dyDescent="0.3">
      <c r="A1597">
        <f t="shared" si="25"/>
        <v>50</v>
      </c>
      <c r="B1597" s="10">
        <v>2016</v>
      </c>
      <c r="C1597" s="3" t="s">
        <v>1416</v>
      </c>
      <c r="D1597" s="3" t="s">
        <v>17</v>
      </c>
      <c r="E1597" s="4" t="s">
        <v>7</v>
      </c>
      <c r="F1597" s="11" t="s">
        <v>8</v>
      </c>
      <c r="H1597" t="str">
        <f>TRIM(SUBSTITUTE(PROPER(C1597)&amp;" "&amp;IF(OR(D1597="County",D1597="Township",D1597="Village",D1597="Charter Township"),D1597,"")&amp;IF(D1597="Township"," "&amp;"("&amp;VLOOKUP(A1597,counties,3,0)&amp;")",""),"  "," "))</f>
        <v>Eastpointe City Housing Commission</v>
      </c>
    </row>
    <row r="1598" spans="1:8" ht="15.75" thickBot="1" x14ac:dyDescent="0.3">
      <c r="A1598">
        <f t="shared" si="25"/>
        <v>50</v>
      </c>
      <c r="B1598" s="8">
        <v>2016</v>
      </c>
      <c r="C1598" s="1" t="s">
        <v>1417</v>
      </c>
      <c r="D1598" s="1" t="s">
        <v>17</v>
      </c>
      <c r="E1598" s="2" t="s">
        <v>7</v>
      </c>
      <c r="F1598" s="9" t="s">
        <v>8</v>
      </c>
      <c r="H1598" t="str">
        <f>TRIM(SUBSTITUTE(PROPER(C1598)&amp;" "&amp;IF(OR(D1598="County",D1598="Township",D1598="Village",D1598="Charter Township"),D1598,"")&amp;IF(D1598="Township"," "&amp;"("&amp;VLOOKUP(A1598,counties,3,0)&amp;")",""),"  "," "))</f>
        <v>Eastpointe City--38Th District Court Funds</v>
      </c>
    </row>
    <row r="1599" spans="1:8" ht="15.75" thickBot="1" x14ac:dyDescent="0.3">
      <c r="A1599">
        <f t="shared" si="25"/>
        <v>50</v>
      </c>
      <c r="B1599" s="10">
        <v>2016</v>
      </c>
      <c r="C1599" s="3" t="s">
        <v>207</v>
      </c>
      <c r="D1599" s="3" t="s">
        <v>15</v>
      </c>
      <c r="E1599" s="4" t="s">
        <v>7</v>
      </c>
      <c r="F1599" s="11" t="s">
        <v>8</v>
      </c>
      <c r="H1599" t="str">
        <f>TRIM(SUBSTITUTE(PROPER(C1599)&amp;" "&amp;IF(OR(D1599="County",D1599="Township",D1599="Village",D1599="Charter Township"),D1599,"")&amp;IF(D1599="Township"," "&amp;"("&amp;VLOOKUP(A1599,counties,3,0)&amp;")",""),"  "," "))</f>
        <v>Fraser</v>
      </c>
    </row>
    <row r="1600" spans="1:8" ht="15.75" thickBot="1" x14ac:dyDescent="0.3">
      <c r="A1600">
        <f t="shared" si="25"/>
        <v>50</v>
      </c>
      <c r="B1600" s="8">
        <v>2016</v>
      </c>
      <c r="C1600" s="1" t="s">
        <v>1418</v>
      </c>
      <c r="D1600" s="1" t="s">
        <v>17</v>
      </c>
      <c r="E1600" s="2" t="s">
        <v>7</v>
      </c>
      <c r="F1600" s="9" t="s">
        <v>8</v>
      </c>
      <c r="H1600" t="str">
        <f>TRIM(SUBSTITUTE(PROPER(C1600)&amp;" "&amp;IF(OR(D1600="County",D1600="Township",D1600="Village",D1600="Charter Township"),D1600,"")&amp;IF(D1600="Township"," "&amp;"("&amp;VLOOKUP(A1600,counties,3,0)&amp;")",""),"  "," "))</f>
        <v>Harrison Ch Twp Employees Retirement System</v>
      </c>
    </row>
    <row r="1601" spans="1:8" ht="15.75" thickBot="1" x14ac:dyDescent="0.3">
      <c r="A1601">
        <f t="shared" si="25"/>
        <v>50</v>
      </c>
      <c r="B1601" s="10">
        <v>2016</v>
      </c>
      <c r="C1601" s="3" t="s">
        <v>1419</v>
      </c>
      <c r="D1601" s="3" t="s">
        <v>17</v>
      </c>
      <c r="E1601" s="4" t="s">
        <v>7</v>
      </c>
      <c r="F1601" s="11" t="s">
        <v>8</v>
      </c>
      <c r="H1601" t="str">
        <f>TRIM(SUBSTITUTE(PROPER(C1601)&amp;" "&amp;IF(OR(D1601="County",D1601="Township",D1601="Village",D1601="Charter Township"),D1601,"")&amp;IF(D1601="Township"," "&amp;"("&amp;VLOOKUP(A1601,counties,3,0)&amp;")",""),"  "," "))</f>
        <v>Harrison Ch Twp Firemens Pension Fund</v>
      </c>
    </row>
    <row r="1602" spans="1:8" ht="15.75" thickBot="1" x14ac:dyDescent="0.3">
      <c r="A1602">
        <f t="shared" si="25"/>
        <v>50</v>
      </c>
      <c r="B1602" s="8">
        <v>2016</v>
      </c>
      <c r="C1602" s="1" t="s">
        <v>1420</v>
      </c>
      <c r="D1602" s="1" t="s">
        <v>9</v>
      </c>
      <c r="E1602" s="2" t="s">
        <v>7</v>
      </c>
      <c r="F1602" s="9" t="s">
        <v>8</v>
      </c>
      <c r="H1602" t="str">
        <f>TRIM(SUBSTITUTE(PROPER(C1602)&amp;" "&amp;IF(OR(D1602="County",D1602="Township",D1602="Village",D1602="Charter Township"),D1602,"")&amp;IF(D1602="Township"," "&amp;"("&amp;VLOOKUP(A1602,counties,3,0)&amp;")",""),"  "," "))</f>
        <v>Harrison Charter Township (Macomb County)</v>
      </c>
    </row>
    <row r="1603" spans="1:8" ht="15.75" thickBot="1" x14ac:dyDescent="0.3">
      <c r="A1603">
        <f t="shared" ref="A1603:A1666" si="26">IF(B1603="Year",A1602+1,A1602)</f>
        <v>50</v>
      </c>
      <c r="B1603" s="10">
        <v>2016</v>
      </c>
      <c r="C1603" s="3" t="s">
        <v>1421</v>
      </c>
      <c r="D1603" s="3" t="s">
        <v>9</v>
      </c>
      <c r="E1603" s="4" t="s">
        <v>7</v>
      </c>
      <c r="F1603" s="11" t="s">
        <v>8</v>
      </c>
      <c r="H1603" t="str">
        <f>TRIM(SUBSTITUTE(PROPER(C1603)&amp;" "&amp;IF(OR(D1603="County",D1603="Township",D1603="Village",D1603="Charter Township"),D1603,"")&amp;IF(D1603="Township"," "&amp;"("&amp;VLOOKUP(A1603,counties,3,0)&amp;")",""),"  "," "))</f>
        <v>Lenox Township (Macomb County)</v>
      </c>
    </row>
    <row r="1604" spans="1:8" ht="15.75" thickBot="1" x14ac:dyDescent="0.3">
      <c r="A1604">
        <f t="shared" si="26"/>
        <v>50</v>
      </c>
      <c r="B1604" s="8">
        <v>2016</v>
      </c>
      <c r="C1604" s="1" t="s">
        <v>1422</v>
      </c>
      <c r="D1604" s="1" t="s">
        <v>42</v>
      </c>
      <c r="E1604" s="2" t="s">
        <v>7</v>
      </c>
      <c r="F1604" s="9" t="s">
        <v>8</v>
      </c>
      <c r="H1604" t="str">
        <f>TRIM(SUBSTITUTE(PROPER(C1604)&amp;" "&amp;IF(OR(D1604="County",D1604="Township",D1604="Village",D1604="Charter Township"),D1604,"")&amp;IF(D1604="Township"," "&amp;"("&amp;VLOOKUP(A1604,counties,3,0)&amp;")",""),"  "," "))</f>
        <v>Lenox Township Library</v>
      </c>
    </row>
    <row r="1605" spans="1:8" ht="15.75" thickBot="1" x14ac:dyDescent="0.3">
      <c r="A1605">
        <f t="shared" si="26"/>
        <v>50</v>
      </c>
      <c r="B1605" s="10">
        <v>2016</v>
      </c>
      <c r="C1605" s="3" t="s">
        <v>1423</v>
      </c>
      <c r="D1605" s="3" t="s">
        <v>6</v>
      </c>
      <c r="E1605" s="4" t="s">
        <v>7</v>
      </c>
      <c r="F1605" s="11" t="s">
        <v>8</v>
      </c>
      <c r="H1605" t="str">
        <f>TRIM(SUBSTITUTE(PROPER(C1605)&amp;" "&amp;IF(OR(D1605="County",D1605="Township",D1605="Village",D1605="Charter Township"),D1605,"")&amp;IF(D1605="Township"," "&amp;"("&amp;VLOOKUP(A1605,counties,3,0)&amp;")",""),"  "," "))</f>
        <v>Macomb County</v>
      </c>
    </row>
    <row r="1606" spans="1:8" ht="15.75" thickBot="1" x14ac:dyDescent="0.3">
      <c r="A1606">
        <f t="shared" si="26"/>
        <v>50</v>
      </c>
      <c r="B1606" s="8">
        <v>2016</v>
      </c>
      <c r="C1606" s="1" t="s">
        <v>1423</v>
      </c>
      <c r="D1606" s="1" t="s">
        <v>9</v>
      </c>
      <c r="E1606" s="2" t="s">
        <v>7</v>
      </c>
      <c r="F1606" s="9" t="s">
        <v>8</v>
      </c>
      <c r="H1606" t="str">
        <f>TRIM(SUBSTITUTE(PROPER(C1606)&amp;" "&amp;IF(OR(D1606="County",D1606="Township",D1606="Village",D1606="Charter Township"),D1606,"")&amp;IF(D1606="Township"," "&amp;"("&amp;VLOOKUP(A1606,counties,3,0)&amp;")",""),"  "," "))</f>
        <v>Macomb Township (Macomb County)</v>
      </c>
    </row>
    <row r="1607" spans="1:8" ht="15.75" thickBot="1" x14ac:dyDescent="0.3">
      <c r="A1607">
        <f t="shared" si="26"/>
        <v>50</v>
      </c>
      <c r="B1607" s="10">
        <v>2016</v>
      </c>
      <c r="C1607" s="3" t="s">
        <v>1424</v>
      </c>
      <c r="D1607" s="3" t="s">
        <v>88</v>
      </c>
      <c r="E1607" s="4" t="s">
        <v>7</v>
      </c>
      <c r="F1607" s="11" t="s">
        <v>8</v>
      </c>
      <c r="H1607" t="str">
        <f>TRIM(SUBSTITUTE(PROPER(C1607)&amp;" "&amp;IF(OR(D1607="County",D1607="Township",D1607="Village",D1607="Charter Township"),D1607,"")&amp;IF(D1607="Township"," "&amp;"("&amp;VLOOKUP(A1607,counties,3,0)&amp;")",""),"  "," "))</f>
        <v>Macomb Community College</v>
      </c>
    </row>
    <row r="1608" spans="1:8" ht="15.75" thickBot="1" x14ac:dyDescent="0.3">
      <c r="A1608">
        <f t="shared" si="26"/>
        <v>50</v>
      </c>
      <c r="B1608" s="8">
        <v>2016</v>
      </c>
      <c r="C1608" s="1" t="s">
        <v>1425</v>
      </c>
      <c r="D1608" s="1" t="s">
        <v>17</v>
      </c>
      <c r="E1608" s="2" t="s">
        <v>7</v>
      </c>
      <c r="F1608" s="9" t="s">
        <v>8</v>
      </c>
      <c r="H1608" t="str">
        <f>TRIM(SUBSTITUTE(PROPER(C1608)&amp;" "&amp;IF(OR(D1608="County",D1608="Township",D1608="Village",D1608="Charter Township"),D1608,"")&amp;IF(D1608="Township"," "&amp;"("&amp;VLOOKUP(A1608,counties,3,0)&amp;")",""),"  "," "))</f>
        <v>Macomb County Art Institute</v>
      </c>
    </row>
    <row r="1609" spans="1:8" ht="15.75" thickBot="1" x14ac:dyDescent="0.3">
      <c r="A1609">
        <f t="shared" si="26"/>
        <v>50</v>
      </c>
      <c r="B1609" s="10">
        <v>2016</v>
      </c>
      <c r="C1609" s="3" t="s">
        <v>1426</v>
      </c>
      <c r="D1609" s="3" t="s">
        <v>72</v>
      </c>
      <c r="E1609" s="4" t="s">
        <v>7</v>
      </c>
      <c r="F1609" s="11" t="s">
        <v>8</v>
      </c>
      <c r="H1609" t="str">
        <f>TRIM(SUBSTITUTE(PROPER(C1609)&amp;" "&amp;IF(OR(D1609="County",D1609="Township",D1609="Village",D1609="Charter Township"),D1609,"")&amp;IF(D1609="Township"," "&amp;"("&amp;VLOOKUP(A1609,counties,3,0)&amp;")",""),"  "," "))</f>
        <v>Macomb County Zoological Authority</v>
      </c>
    </row>
    <row r="1610" spans="1:8" ht="15.75" thickBot="1" x14ac:dyDescent="0.3">
      <c r="A1610">
        <f t="shared" si="26"/>
        <v>50</v>
      </c>
      <c r="B1610" s="8">
        <v>2016</v>
      </c>
      <c r="C1610" s="1" t="s">
        <v>1427</v>
      </c>
      <c r="D1610" s="1" t="s">
        <v>17</v>
      </c>
      <c r="E1610" s="2" t="s">
        <v>7</v>
      </c>
      <c r="F1610" s="9" t="s">
        <v>8</v>
      </c>
      <c r="H1610" t="str">
        <f>TRIM(SUBSTITUTE(PROPER(C1610)&amp;" "&amp;IF(OR(D1610="County",D1610="Township",D1610="Village",D1610="Charter Township"),D1610,"")&amp;IF(D1610="Township"," "&amp;"("&amp;VLOOKUP(A1610,counties,3,0)&amp;")",""),"  "," "))</f>
        <v>Martha T. Berry Medical Care Facility</v>
      </c>
    </row>
    <row r="1611" spans="1:8" ht="15.75" thickBot="1" x14ac:dyDescent="0.3">
      <c r="A1611">
        <f t="shared" si="26"/>
        <v>50</v>
      </c>
      <c r="B1611" s="10">
        <v>2016</v>
      </c>
      <c r="C1611" s="3" t="s">
        <v>1428</v>
      </c>
      <c r="D1611" s="3" t="s">
        <v>15</v>
      </c>
      <c r="E1611" s="4" t="s">
        <v>7</v>
      </c>
      <c r="F1611" s="11" t="s">
        <v>8</v>
      </c>
      <c r="H1611" t="str">
        <f>TRIM(SUBSTITUTE(PROPER(C1611)&amp;" "&amp;IF(OR(D1611="County",D1611="Township",D1611="Village",D1611="Charter Township"),D1611,"")&amp;IF(D1611="Township"," "&amp;"("&amp;VLOOKUP(A1611,counties,3,0)&amp;")",""),"  "," "))</f>
        <v>Memphis</v>
      </c>
    </row>
    <row r="1612" spans="1:8" ht="15.75" thickBot="1" x14ac:dyDescent="0.3">
      <c r="A1612">
        <f t="shared" si="26"/>
        <v>50</v>
      </c>
      <c r="B1612" s="8">
        <v>2016</v>
      </c>
      <c r="C1612" s="1" t="s">
        <v>1429</v>
      </c>
      <c r="D1612" s="1" t="s">
        <v>15</v>
      </c>
      <c r="E1612" s="2" t="s">
        <v>7</v>
      </c>
      <c r="F1612" s="9" t="s">
        <v>8</v>
      </c>
      <c r="H1612" t="str">
        <f>TRIM(SUBSTITUTE(PROPER(C1612)&amp;" "&amp;IF(OR(D1612="County",D1612="Township",D1612="Village",D1612="Charter Township"),D1612,"")&amp;IF(D1612="Township"," "&amp;"("&amp;VLOOKUP(A1612,counties,3,0)&amp;")",""),"  "," "))</f>
        <v>Mount Clemens</v>
      </c>
    </row>
    <row r="1613" spans="1:8" ht="15.75" thickBot="1" x14ac:dyDescent="0.3">
      <c r="A1613">
        <f t="shared" si="26"/>
        <v>50</v>
      </c>
      <c r="B1613" s="10">
        <v>2016</v>
      </c>
      <c r="C1613" s="3" t="s">
        <v>1430</v>
      </c>
      <c r="D1613" s="3" t="s">
        <v>17</v>
      </c>
      <c r="E1613" s="4" t="s">
        <v>7</v>
      </c>
      <c r="F1613" s="11" t="s">
        <v>8</v>
      </c>
      <c r="H1613" t="str">
        <f>TRIM(SUBSTITUTE(PROPER(C1613)&amp;" "&amp;IF(OR(D1613="County",D1613="Township",D1613="Village",D1613="Charter Township"),D1613,"")&amp;IF(D1613="Township"," "&amp;"("&amp;VLOOKUP(A1613,counties,3,0)&amp;")",""),"  "," "))</f>
        <v>Mt Clemens City Housing Commission</v>
      </c>
    </row>
    <row r="1614" spans="1:8" ht="15.75" thickBot="1" x14ac:dyDescent="0.3">
      <c r="A1614">
        <f t="shared" si="26"/>
        <v>50</v>
      </c>
      <c r="B1614" s="8">
        <v>2016</v>
      </c>
      <c r="C1614" s="1" t="s">
        <v>1431</v>
      </c>
      <c r="D1614" s="1" t="s">
        <v>42</v>
      </c>
      <c r="E1614" s="2" t="s">
        <v>7</v>
      </c>
      <c r="F1614" s="9" t="s">
        <v>8</v>
      </c>
      <c r="H1614" t="str">
        <f>TRIM(SUBSTITUTE(PROPER(C1614)&amp;" "&amp;IF(OR(D1614="County",D1614="Township",D1614="Village",D1614="Charter Township"),D1614,"")&amp;IF(D1614="Township"," "&amp;"("&amp;VLOOKUP(A1614,counties,3,0)&amp;")",""),"  "," "))</f>
        <v>Mt Clemens Public Library</v>
      </c>
    </row>
    <row r="1615" spans="1:8" ht="15.75" thickBot="1" x14ac:dyDescent="0.3">
      <c r="A1615">
        <f t="shared" si="26"/>
        <v>50</v>
      </c>
      <c r="B1615" s="10">
        <v>2016</v>
      </c>
      <c r="C1615" s="3" t="s">
        <v>1432</v>
      </c>
      <c r="D1615" s="3" t="s">
        <v>15</v>
      </c>
      <c r="E1615" s="4" t="s">
        <v>7</v>
      </c>
      <c r="F1615" s="11" t="s">
        <v>8</v>
      </c>
      <c r="H1615" t="str">
        <f>TRIM(SUBSTITUTE(PROPER(C1615)&amp;" "&amp;IF(OR(D1615="County",D1615="Township",D1615="Village",D1615="Charter Township"),D1615,"")&amp;IF(D1615="Township"," "&amp;"("&amp;VLOOKUP(A1615,counties,3,0)&amp;")",""),"  "," "))</f>
        <v>New Baltimore</v>
      </c>
    </row>
    <row r="1616" spans="1:8" ht="15.75" thickBot="1" x14ac:dyDescent="0.3">
      <c r="A1616">
        <f t="shared" si="26"/>
        <v>50</v>
      </c>
      <c r="B1616" s="8">
        <v>2016</v>
      </c>
      <c r="C1616" s="1" t="s">
        <v>1433</v>
      </c>
      <c r="D1616" s="1" t="s">
        <v>9</v>
      </c>
      <c r="E1616" s="2" t="s">
        <v>7</v>
      </c>
      <c r="F1616" s="9" t="s">
        <v>8</v>
      </c>
      <c r="H1616" t="str">
        <f>TRIM(SUBSTITUTE(PROPER(C1616)&amp;" "&amp;IF(OR(D1616="County",D1616="Township",D1616="Village",D1616="Charter Township"),D1616,"")&amp;IF(D1616="Township"," "&amp;"("&amp;VLOOKUP(A1616,counties,3,0)&amp;")",""),"  "," "))</f>
        <v>Ray Township (Macomb County)</v>
      </c>
    </row>
    <row r="1617" spans="1:8" ht="15.75" thickBot="1" x14ac:dyDescent="0.3">
      <c r="A1617">
        <f t="shared" si="26"/>
        <v>50</v>
      </c>
      <c r="B1617" s="10">
        <v>2016</v>
      </c>
      <c r="C1617" s="3" t="s">
        <v>1434</v>
      </c>
      <c r="D1617" s="3" t="s">
        <v>42</v>
      </c>
      <c r="E1617" s="4" t="s">
        <v>7</v>
      </c>
      <c r="F1617" s="11" t="s">
        <v>8</v>
      </c>
      <c r="H1617" t="str">
        <f>TRIM(SUBSTITUTE(PROPER(C1617)&amp;" "&amp;IF(OR(D1617="County",D1617="Township",D1617="Village",D1617="Charter Township"),D1617,"")&amp;IF(D1617="Township"," "&amp;"("&amp;VLOOKUP(A1617,counties,3,0)&amp;")",""),"  "," "))</f>
        <v>Ray Township Public Library</v>
      </c>
    </row>
    <row r="1618" spans="1:8" ht="15.75" thickBot="1" x14ac:dyDescent="0.3">
      <c r="A1618">
        <f t="shared" si="26"/>
        <v>50</v>
      </c>
      <c r="B1618" s="8">
        <v>2016</v>
      </c>
      <c r="C1618" s="1" t="s">
        <v>1435</v>
      </c>
      <c r="D1618" s="1" t="s">
        <v>17</v>
      </c>
      <c r="E1618" s="2" t="s">
        <v>7</v>
      </c>
      <c r="F1618" s="9" t="s">
        <v>8</v>
      </c>
      <c r="H1618" t="str">
        <f>TRIM(SUBSTITUTE(PROPER(C1618)&amp;" "&amp;IF(OR(D1618="County",D1618="Township",D1618="Village",D1618="Charter Township"),D1618,"")&amp;IF(D1618="Township"," "&amp;"("&amp;VLOOKUP(A1618,counties,3,0)&amp;")",""),"  "," "))</f>
        <v>Recreation Authority Of Roseville And Eastpointe</v>
      </c>
    </row>
    <row r="1619" spans="1:8" ht="15.75" thickBot="1" x14ac:dyDescent="0.3">
      <c r="A1619">
        <f t="shared" si="26"/>
        <v>50</v>
      </c>
      <c r="B1619" s="10">
        <v>2016</v>
      </c>
      <c r="C1619" s="3" t="s">
        <v>1436</v>
      </c>
      <c r="D1619" s="3" t="s">
        <v>15</v>
      </c>
      <c r="E1619" s="4" t="s">
        <v>7</v>
      </c>
      <c r="F1619" s="11" t="s">
        <v>8</v>
      </c>
      <c r="H1619" t="str">
        <f>TRIM(SUBSTITUTE(PROPER(C1619)&amp;" "&amp;IF(OR(D1619="County",D1619="Township",D1619="Village",D1619="Charter Township"),D1619,"")&amp;IF(D1619="Township"," "&amp;"("&amp;VLOOKUP(A1619,counties,3,0)&amp;")",""),"  "," "))</f>
        <v>Richmond</v>
      </c>
    </row>
    <row r="1620" spans="1:8" ht="15.75" thickBot="1" x14ac:dyDescent="0.3">
      <c r="A1620">
        <f t="shared" si="26"/>
        <v>50</v>
      </c>
      <c r="B1620" s="8">
        <v>2016</v>
      </c>
      <c r="C1620" s="1" t="s">
        <v>1436</v>
      </c>
      <c r="D1620" s="1" t="s">
        <v>9</v>
      </c>
      <c r="E1620" s="2" t="s">
        <v>7</v>
      </c>
      <c r="F1620" s="9" t="s">
        <v>8</v>
      </c>
      <c r="H1620" t="str">
        <f>TRIM(SUBSTITUTE(PROPER(C1620)&amp;" "&amp;IF(OR(D1620="County",D1620="Township",D1620="Village",D1620="Charter Township"),D1620,"")&amp;IF(D1620="Township"," "&amp;"("&amp;VLOOKUP(A1620,counties,3,0)&amp;")",""),"  "," "))</f>
        <v>Richmond Township (Macomb County)</v>
      </c>
    </row>
    <row r="1621" spans="1:8" ht="15.75" thickBot="1" x14ac:dyDescent="0.3">
      <c r="A1621">
        <f t="shared" si="26"/>
        <v>50</v>
      </c>
      <c r="B1621" s="10">
        <v>2016</v>
      </c>
      <c r="C1621" s="3" t="s">
        <v>1437</v>
      </c>
      <c r="D1621" s="3" t="s">
        <v>17</v>
      </c>
      <c r="E1621" s="4" t="s">
        <v>7</v>
      </c>
      <c r="F1621" s="11" t="s">
        <v>8</v>
      </c>
      <c r="H1621" t="str">
        <f>TRIM(SUBSTITUTE(PROPER(C1621)&amp;" "&amp;IF(OR(D1621="County",D1621="Township",D1621="Village",D1621="Charter Township"),D1621,"")&amp;IF(D1621="Township"," "&amp;"("&amp;VLOOKUP(A1621,counties,3,0)&amp;")",""),"  "," "))</f>
        <v>Richmond-Lenox Ems Ambulance Authority</v>
      </c>
    </row>
    <row r="1622" spans="1:8" ht="15.75" thickBot="1" x14ac:dyDescent="0.3">
      <c r="A1622">
        <f t="shared" si="26"/>
        <v>50</v>
      </c>
      <c r="B1622" s="8">
        <v>2016</v>
      </c>
      <c r="C1622" s="1" t="s">
        <v>1438</v>
      </c>
      <c r="D1622" s="1" t="s">
        <v>21</v>
      </c>
      <c r="E1622" s="2" t="s">
        <v>7</v>
      </c>
      <c r="F1622" s="9" t="s">
        <v>8</v>
      </c>
      <c r="H1622" t="str">
        <f>TRIM(SUBSTITUTE(PROPER(C1622)&amp;" "&amp;IF(OR(D1622="County",D1622="Township",D1622="Village",D1622="Charter Township"),D1622,"")&amp;IF(D1622="Township"," "&amp;"("&amp;VLOOKUP(A1622,counties,3,0)&amp;")",""),"  "," "))</f>
        <v>Romeo Village</v>
      </c>
    </row>
    <row r="1623" spans="1:8" ht="15.75" thickBot="1" x14ac:dyDescent="0.3">
      <c r="A1623">
        <f t="shared" si="26"/>
        <v>50</v>
      </c>
      <c r="B1623" s="10">
        <v>2016</v>
      </c>
      <c r="C1623" s="3" t="s">
        <v>1439</v>
      </c>
      <c r="D1623" s="3" t="s">
        <v>42</v>
      </c>
      <c r="E1623" s="4" t="s">
        <v>7</v>
      </c>
      <c r="F1623" s="11" t="s">
        <v>8</v>
      </c>
      <c r="H1623" t="str">
        <f>TRIM(SUBSTITUTE(PROPER(C1623)&amp;" "&amp;IF(OR(D1623="County",D1623="Township",D1623="Village",D1623="Charter Township"),D1623,"")&amp;IF(D1623="Township"," "&amp;"("&amp;VLOOKUP(A1623,counties,3,0)&amp;")",""),"  "," "))</f>
        <v>Romeo District Library</v>
      </c>
    </row>
    <row r="1624" spans="1:8" ht="21.75" thickBot="1" x14ac:dyDescent="0.3">
      <c r="A1624">
        <f t="shared" si="26"/>
        <v>50</v>
      </c>
      <c r="B1624" s="8">
        <v>2016</v>
      </c>
      <c r="C1624" s="1" t="s">
        <v>1440</v>
      </c>
      <c r="D1624" s="1" t="s">
        <v>17</v>
      </c>
      <c r="E1624" s="2" t="s">
        <v>7</v>
      </c>
      <c r="F1624" s="9" t="s">
        <v>8</v>
      </c>
      <c r="H1624" t="str">
        <f>TRIM(SUBSTITUTE(PROPER(C1624)&amp;" "&amp;IF(OR(D1624="County",D1624="Township",D1624="Village",D1624="Charter Township"),D1624,"")&amp;IF(D1624="Township"," "&amp;"("&amp;VLOOKUP(A1624,counties,3,0)&amp;")",""),"  "," "))</f>
        <v>Romeo Washington Bruce Parks/Recreation Commission</v>
      </c>
    </row>
    <row r="1625" spans="1:8" ht="15.75" thickBot="1" x14ac:dyDescent="0.3">
      <c r="A1625">
        <f t="shared" si="26"/>
        <v>50</v>
      </c>
      <c r="B1625" s="10">
        <v>2016</v>
      </c>
      <c r="C1625" s="3" t="s">
        <v>1441</v>
      </c>
      <c r="D1625" s="3" t="s">
        <v>15</v>
      </c>
      <c r="E1625" s="4" t="s">
        <v>7</v>
      </c>
      <c r="F1625" s="11" t="s">
        <v>8</v>
      </c>
      <c r="H1625" t="str">
        <f>TRIM(SUBSTITUTE(PROPER(C1625)&amp;" "&amp;IF(OR(D1625="County",D1625="Township",D1625="Village",D1625="Charter Township"),D1625,"")&amp;IF(D1625="Township"," "&amp;"("&amp;VLOOKUP(A1625,counties,3,0)&amp;")",""),"  "," "))</f>
        <v>Roseville</v>
      </c>
    </row>
    <row r="1626" spans="1:8" ht="15.75" thickBot="1" x14ac:dyDescent="0.3">
      <c r="A1626">
        <f t="shared" si="26"/>
        <v>50</v>
      </c>
      <c r="B1626" s="8">
        <v>2016</v>
      </c>
      <c r="C1626" s="1" t="s">
        <v>1442</v>
      </c>
      <c r="D1626" s="1" t="s">
        <v>17</v>
      </c>
      <c r="E1626" s="2" t="s">
        <v>7</v>
      </c>
      <c r="F1626" s="9" t="s">
        <v>8</v>
      </c>
      <c r="H1626" t="str">
        <f>TRIM(SUBSTITUTE(PROPER(C1626)&amp;" "&amp;IF(OR(D1626="County",D1626="Township",D1626="Village",D1626="Charter Township"),D1626,"")&amp;IF(D1626="Township"," "&amp;"("&amp;VLOOKUP(A1626,counties,3,0)&amp;")",""),"  "," "))</f>
        <v>Roseville City Housing Commission</v>
      </c>
    </row>
    <row r="1627" spans="1:8" ht="15.75" thickBot="1" x14ac:dyDescent="0.3">
      <c r="A1627">
        <f t="shared" si="26"/>
        <v>50</v>
      </c>
      <c r="B1627" s="10">
        <v>2016</v>
      </c>
      <c r="C1627" s="3" t="s">
        <v>1443</v>
      </c>
      <c r="D1627" s="3" t="s">
        <v>9</v>
      </c>
      <c r="E1627" s="4" t="s">
        <v>7</v>
      </c>
      <c r="F1627" s="11" t="s">
        <v>8</v>
      </c>
      <c r="H1627" t="str">
        <f>TRIM(SUBSTITUTE(PROPER(C1627)&amp;" "&amp;IF(OR(D1627="County",D1627="Township",D1627="Village",D1627="Charter Township"),D1627,"")&amp;IF(D1627="Township"," "&amp;"("&amp;VLOOKUP(A1627,counties,3,0)&amp;")",""),"  "," "))</f>
        <v>Shelby Charter Township (Macomb County)</v>
      </c>
    </row>
    <row r="1628" spans="1:8" ht="15.75" thickBot="1" x14ac:dyDescent="0.3">
      <c r="A1628">
        <f t="shared" si="26"/>
        <v>50</v>
      </c>
      <c r="B1628" s="8">
        <v>2016</v>
      </c>
      <c r="C1628" s="1" t="s">
        <v>1444</v>
      </c>
      <c r="D1628" s="1" t="s">
        <v>72</v>
      </c>
      <c r="E1628" s="2" t="s">
        <v>7</v>
      </c>
      <c r="F1628" s="9" t="s">
        <v>8</v>
      </c>
      <c r="H1628" t="str">
        <f>TRIM(SUBSTITUTE(PROPER(C1628)&amp;" "&amp;IF(OR(D1628="County",D1628="Township",D1628="Village",D1628="Charter Township"),D1628,"")&amp;IF(D1628="Township"," "&amp;"("&amp;VLOOKUP(A1628,counties,3,0)&amp;")",""),"  "," "))</f>
        <v>South East Regional Emergency Services (Seresa)</v>
      </c>
    </row>
    <row r="1629" spans="1:8" ht="15.75" thickBot="1" x14ac:dyDescent="0.3">
      <c r="A1629">
        <f t="shared" si="26"/>
        <v>50</v>
      </c>
      <c r="B1629" s="10">
        <v>2016</v>
      </c>
      <c r="C1629" s="3" t="s">
        <v>1445</v>
      </c>
      <c r="D1629" s="3" t="s">
        <v>17</v>
      </c>
      <c r="E1629" s="4" t="s">
        <v>7</v>
      </c>
      <c r="F1629" s="11" t="s">
        <v>8</v>
      </c>
      <c r="H1629" t="str">
        <f>TRIM(SUBSTITUTE(PROPER(C1629)&amp;" "&amp;IF(OR(D1629="County",D1629="Township",D1629="Village",D1629="Charter Township"),D1629,"")&amp;IF(D1629="Township"," "&amp;"("&amp;VLOOKUP(A1629,counties,3,0)&amp;")",""),"  "," "))</f>
        <v>South Macomb Disposal Auth</v>
      </c>
    </row>
    <row r="1630" spans="1:8" ht="15.75" thickBot="1" x14ac:dyDescent="0.3">
      <c r="A1630">
        <f t="shared" si="26"/>
        <v>50</v>
      </c>
      <c r="B1630" s="8">
        <v>2016</v>
      </c>
      <c r="C1630" s="1" t="s">
        <v>1446</v>
      </c>
      <c r="D1630" s="1" t="s">
        <v>17</v>
      </c>
      <c r="E1630" s="2" t="s">
        <v>7</v>
      </c>
      <c r="F1630" s="9" t="s">
        <v>8</v>
      </c>
      <c r="H1630" t="str">
        <f>TRIM(SUBSTITUTE(PROPER(C1630)&amp;" "&amp;IF(OR(D1630="County",D1630="Township",D1630="Village",D1630="Charter Township"),D1630,"")&amp;IF(D1630="Township"," "&amp;"("&amp;VLOOKUP(A1630,counties,3,0)&amp;")",""),"  "," "))</f>
        <v>South Macomb Oakland Regional Services Authority</v>
      </c>
    </row>
    <row r="1631" spans="1:8" ht="15.75" thickBot="1" x14ac:dyDescent="0.3">
      <c r="A1631">
        <f t="shared" si="26"/>
        <v>50</v>
      </c>
      <c r="B1631" s="10">
        <v>2016</v>
      </c>
      <c r="C1631" s="3" t="s">
        <v>1447</v>
      </c>
      <c r="D1631" s="3" t="s">
        <v>17</v>
      </c>
      <c r="E1631" s="4" t="s">
        <v>7</v>
      </c>
      <c r="F1631" s="11" t="s">
        <v>8</v>
      </c>
      <c r="H1631" t="str">
        <f>TRIM(SUBSTITUTE(PROPER(C1631)&amp;" "&amp;IF(OR(D1631="County",D1631="Township",D1631="Village",D1631="Charter Township"),D1631,"")&amp;IF(D1631="Township"," "&amp;"("&amp;VLOOKUP(A1631,counties,3,0)&amp;")",""),"  "," "))</f>
        <v>Southeast Macomb Sanitary District</v>
      </c>
    </row>
    <row r="1632" spans="1:8" ht="15.75" thickBot="1" x14ac:dyDescent="0.3">
      <c r="A1632">
        <f t="shared" si="26"/>
        <v>50</v>
      </c>
      <c r="B1632" s="8">
        <v>2016</v>
      </c>
      <c r="C1632" s="1" t="s">
        <v>1448</v>
      </c>
      <c r="D1632" s="1" t="s">
        <v>15</v>
      </c>
      <c r="E1632" s="2" t="s">
        <v>7</v>
      </c>
      <c r="F1632" s="9" t="s">
        <v>8</v>
      </c>
      <c r="H1632" t="str">
        <f>TRIM(SUBSTITUTE(PROPER(C1632)&amp;" "&amp;IF(OR(D1632="County",D1632="Township",D1632="Village",D1632="Charter Township"),D1632,"")&amp;IF(D1632="Township"," "&amp;"("&amp;VLOOKUP(A1632,counties,3,0)&amp;")",""),"  "," "))</f>
        <v>St Clair Shores</v>
      </c>
    </row>
    <row r="1633" spans="1:8" ht="21.75" thickBot="1" x14ac:dyDescent="0.3">
      <c r="A1633">
        <f t="shared" si="26"/>
        <v>50</v>
      </c>
      <c r="B1633" s="10">
        <v>2016</v>
      </c>
      <c r="C1633" s="3" t="s">
        <v>1449</v>
      </c>
      <c r="D1633" s="3" t="s">
        <v>17</v>
      </c>
      <c r="E1633" s="4" t="s">
        <v>7</v>
      </c>
      <c r="F1633" s="11" t="s">
        <v>8</v>
      </c>
      <c r="H1633" t="str">
        <f>TRIM(SUBSTITUTE(PROPER(C1633)&amp;" "&amp;IF(OR(D1633="County",D1633="Township",D1633="Village",D1633="Charter Township"),D1633,"")&amp;IF(D1633="Township"," "&amp;"("&amp;VLOOKUP(A1633,counties,3,0)&amp;")",""),"  "," "))</f>
        <v>St Clair Shores Brownfield Redevelopment Authority</v>
      </c>
    </row>
    <row r="1634" spans="1:8" ht="15.75" thickBot="1" x14ac:dyDescent="0.3">
      <c r="A1634">
        <f t="shared" si="26"/>
        <v>50</v>
      </c>
      <c r="B1634" s="8">
        <v>2016</v>
      </c>
      <c r="C1634" s="1" t="s">
        <v>1450</v>
      </c>
      <c r="D1634" s="1" t="s">
        <v>17</v>
      </c>
      <c r="E1634" s="2" t="s">
        <v>7</v>
      </c>
      <c r="F1634" s="9" t="s">
        <v>8</v>
      </c>
      <c r="H1634" t="str">
        <f>TRIM(SUBSTITUTE(PROPER(C1634)&amp;" "&amp;IF(OR(D1634="County",D1634="Township",D1634="Village",D1634="Charter Township"),D1634,"")&amp;IF(D1634="Township"," "&amp;"("&amp;VLOOKUP(A1634,counties,3,0)&amp;")",""),"  "," "))</f>
        <v>St Clair Shores City Housing Commission</v>
      </c>
    </row>
    <row r="1635" spans="1:8" ht="15.75" thickBot="1" x14ac:dyDescent="0.3">
      <c r="A1635">
        <f t="shared" si="26"/>
        <v>50</v>
      </c>
      <c r="B1635" s="10">
        <v>2016</v>
      </c>
      <c r="C1635" s="3" t="s">
        <v>1451</v>
      </c>
      <c r="D1635" s="3" t="s">
        <v>17</v>
      </c>
      <c r="E1635" s="4" t="s">
        <v>7</v>
      </c>
      <c r="F1635" s="11" t="s">
        <v>8</v>
      </c>
      <c r="H1635" t="str">
        <f>TRIM(SUBSTITUTE(PROPER(C1635)&amp;" "&amp;IF(OR(D1635="County",D1635="Township",D1635="Village",D1635="Charter Township"),D1635,"")&amp;IF(D1635="Township"," "&amp;"("&amp;VLOOKUP(A1635,counties,3,0)&amp;")",""),"  "," "))</f>
        <v>St Clair Shores City Tifa</v>
      </c>
    </row>
    <row r="1636" spans="1:8" ht="15.75" thickBot="1" x14ac:dyDescent="0.3">
      <c r="A1636">
        <f t="shared" si="26"/>
        <v>50</v>
      </c>
      <c r="B1636" s="8">
        <v>2016</v>
      </c>
      <c r="C1636" s="1" t="s">
        <v>1452</v>
      </c>
      <c r="D1636" s="1" t="s">
        <v>17</v>
      </c>
      <c r="E1636" s="2" t="s">
        <v>7</v>
      </c>
      <c r="F1636" s="9" t="s">
        <v>8</v>
      </c>
      <c r="H1636" t="str">
        <f>TRIM(SUBSTITUTE(PROPER(C1636)&amp;" "&amp;IF(OR(D1636="County",D1636="Township",D1636="Village",D1636="Charter Township"),D1636,"")&amp;IF(D1636="Township"," "&amp;"("&amp;VLOOKUP(A1636,counties,3,0)&amp;")",""),"  "," "))</f>
        <v>St Clair Shores-40Th District Court</v>
      </c>
    </row>
    <row r="1637" spans="1:8" ht="15.75" thickBot="1" x14ac:dyDescent="0.3">
      <c r="A1637">
        <f t="shared" si="26"/>
        <v>50</v>
      </c>
      <c r="B1637" s="10">
        <v>2016</v>
      </c>
      <c r="C1637" s="3" t="s">
        <v>1453</v>
      </c>
      <c r="D1637" s="3" t="s">
        <v>15</v>
      </c>
      <c r="E1637" s="4" t="s">
        <v>7</v>
      </c>
      <c r="F1637" s="11" t="s">
        <v>8</v>
      </c>
      <c r="H1637" t="str">
        <f>TRIM(SUBSTITUTE(PROPER(C1637)&amp;" "&amp;IF(OR(D1637="County",D1637="Township",D1637="Village",D1637="Charter Township"),D1637,"")&amp;IF(D1637="Township"," "&amp;"("&amp;VLOOKUP(A1637,counties,3,0)&amp;")",""),"  "," "))</f>
        <v>Sterling Heights</v>
      </c>
    </row>
    <row r="1638" spans="1:8" ht="15.75" thickBot="1" x14ac:dyDescent="0.3">
      <c r="A1638">
        <f t="shared" si="26"/>
        <v>50</v>
      </c>
      <c r="B1638" s="8">
        <v>2016</v>
      </c>
      <c r="C1638" s="1" t="s">
        <v>1454</v>
      </c>
      <c r="D1638" s="1" t="s">
        <v>17</v>
      </c>
      <c r="E1638" s="2" t="s">
        <v>7</v>
      </c>
      <c r="F1638" s="9" t="s">
        <v>8</v>
      </c>
      <c r="H1638" t="str">
        <f>TRIM(SUBSTITUTE(PROPER(C1638)&amp;" "&amp;IF(OR(D1638="County",D1638="Township",D1638="Village",D1638="Charter Township"),D1638,"")&amp;IF(D1638="Township"," "&amp;"("&amp;VLOOKUP(A1638,counties,3,0)&amp;")",""),"  "," "))</f>
        <v>Sterling Heights City Housing Commission</v>
      </c>
    </row>
    <row r="1639" spans="1:8" ht="15.75" thickBot="1" x14ac:dyDescent="0.3">
      <c r="A1639">
        <f t="shared" si="26"/>
        <v>50</v>
      </c>
      <c r="B1639" s="10">
        <v>2016</v>
      </c>
      <c r="C1639" s="3" t="s">
        <v>1455</v>
      </c>
      <c r="D1639" s="3" t="s">
        <v>42</v>
      </c>
      <c r="E1639" s="4" t="s">
        <v>7</v>
      </c>
      <c r="F1639" s="11" t="s">
        <v>8</v>
      </c>
      <c r="H1639" t="str">
        <f>TRIM(SUBSTITUTE(PROPER(C1639)&amp;" "&amp;IF(OR(D1639="County",D1639="Township",D1639="Village",D1639="Charter Township"),D1639,"")&amp;IF(D1639="Township"," "&amp;"("&amp;VLOOKUP(A1639,counties,3,0)&amp;")",""),"  "," "))</f>
        <v>Suburban Library Cooperative</v>
      </c>
    </row>
    <row r="1640" spans="1:8" ht="15.75" thickBot="1" x14ac:dyDescent="0.3">
      <c r="A1640">
        <f t="shared" si="26"/>
        <v>50</v>
      </c>
      <c r="B1640" s="8">
        <v>2016</v>
      </c>
      <c r="C1640" s="1" t="s">
        <v>1456</v>
      </c>
      <c r="D1640" s="1" t="s">
        <v>15</v>
      </c>
      <c r="E1640" s="2" t="s">
        <v>7</v>
      </c>
      <c r="F1640" s="9" t="s">
        <v>8</v>
      </c>
      <c r="H1640" t="str">
        <f>TRIM(SUBSTITUTE(PROPER(C1640)&amp;" "&amp;IF(OR(D1640="County",D1640="Township",D1640="Village",D1640="Charter Township"),D1640,"")&amp;IF(D1640="Township"," "&amp;"("&amp;VLOOKUP(A1640,counties,3,0)&amp;")",""),"  "," "))</f>
        <v>Utica</v>
      </c>
    </row>
    <row r="1641" spans="1:8" ht="15.75" thickBot="1" x14ac:dyDescent="0.3">
      <c r="A1641">
        <f t="shared" si="26"/>
        <v>50</v>
      </c>
      <c r="B1641" s="10">
        <v>2016</v>
      </c>
      <c r="C1641" s="3" t="s">
        <v>1457</v>
      </c>
      <c r="D1641" s="3" t="s">
        <v>15</v>
      </c>
      <c r="E1641" s="4" t="s">
        <v>7</v>
      </c>
      <c r="F1641" s="11" t="s">
        <v>8</v>
      </c>
      <c r="H1641" t="str">
        <f>TRIM(SUBSTITUTE(PROPER(C1641)&amp;" "&amp;IF(OR(D1641="County",D1641="Township",D1641="Village",D1641="Charter Township"),D1641,"")&amp;IF(D1641="Township"," "&amp;"("&amp;VLOOKUP(A1641,counties,3,0)&amp;")",""),"  "," "))</f>
        <v>Warren</v>
      </c>
    </row>
    <row r="1642" spans="1:8" ht="15.75" thickBot="1" x14ac:dyDescent="0.3">
      <c r="A1642">
        <f t="shared" si="26"/>
        <v>50</v>
      </c>
      <c r="B1642" s="8">
        <v>2016</v>
      </c>
      <c r="C1642" s="1" t="s">
        <v>1458</v>
      </c>
      <c r="D1642" s="1" t="s">
        <v>17</v>
      </c>
      <c r="E1642" s="2" t="s">
        <v>7</v>
      </c>
      <c r="F1642" s="9" t="s">
        <v>8</v>
      </c>
      <c r="H1642" t="str">
        <f>TRIM(SUBSTITUTE(PROPER(C1642)&amp;" "&amp;IF(OR(D1642="County",D1642="Township",D1642="Village",D1642="Charter Township"),D1642,"")&amp;IF(D1642="Township"," "&amp;"("&amp;VLOOKUP(A1642,counties,3,0)&amp;")",""),"  "," "))</f>
        <v>Warren City Police &amp; Fire Ret Health Benefits Plan</v>
      </c>
    </row>
    <row r="1643" spans="1:8" ht="15.75" thickBot="1" x14ac:dyDescent="0.3">
      <c r="A1643">
        <f t="shared" si="26"/>
        <v>50</v>
      </c>
      <c r="B1643" s="10">
        <v>2016</v>
      </c>
      <c r="C1643" s="3" t="s">
        <v>1459</v>
      </c>
      <c r="D1643" s="3" t="s">
        <v>17</v>
      </c>
      <c r="E1643" s="4" t="s">
        <v>7</v>
      </c>
      <c r="F1643" s="11" t="s">
        <v>8</v>
      </c>
      <c r="H1643" t="str">
        <f>TRIM(SUBSTITUTE(PROPER(C1643)&amp;" "&amp;IF(OR(D1643="County",D1643="Township",D1643="Village",D1643="Charter Township"),D1643,"")&amp;IF(D1643="Township"," "&amp;"("&amp;VLOOKUP(A1643,counties,3,0)&amp;")",""),"  "," "))</f>
        <v>Warren City Police And Fire Retirement System</v>
      </c>
    </row>
    <row r="1644" spans="1:8" ht="15.75" thickBot="1" x14ac:dyDescent="0.3">
      <c r="A1644">
        <f t="shared" si="26"/>
        <v>50</v>
      </c>
      <c r="B1644" s="8">
        <v>2016</v>
      </c>
      <c r="C1644" s="1" t="s">
        <v>817</v>
      </c>
      <c r="D1644" s="1" t="s">
        <v>9</v>
      </c>
      <c r="E1644" s="2" t="s">
        <v>7</v>
      </c>
      <c r="F1644" s="9" t="s">
        <v>19</v>
      </c>
      <c r="H1644" t="str">
        <f>TRIM(SUBSTITUTE(PROPER(C1644)&amp;" "&amp;IF(OR(D1644="County",D1644="Township",D1644="Village",D1644="Charter Township"),D1644,"")&amp;IF(D1644="Township"," "&amp;"("&amp;VLOOKUP(A1644,counties,3,0)&amp;")",""),"  "," "))</f>
        <v>Washington Township (Macomb County)</v>
      </c>
    </row>
    <row r="1645" spans="1:8" ht="21.75" thickBot="1" x14ac:dyDescent="0.3">
      <c r="A1645">
        <f t="shared" si="26"/>
        <v>50</v>
      </c>
      <c r="B1645" s="12">
        <v>2016</v>
      </c>
      <c r="C1645" s="13" t="s">
        <v>1460</v>
      </c>
      <c r="D1645" s="13" t="s">
        <v>17</v>
      </c>
      <c r="E1645" s="14" t="s">
        <v>7</v>
      </c>
      <c r="F1645" s="15" t="s">
        <v>8</v>
      </c>
      <c r="H1645" t="str">
        <f>TRIM(SUBSTITUTE(PROPER(C1645)&amp;" "&amp;IF(OR(D1645="County",D1645="Township",D1645="Village",D1645="Charter Township"),D1645,"")&amp;IF(D1645="Township"," "&amp;"("&amp;VLOOKUP(A1645,counties,3,0)&amp;")",""),"  "," "))</f>
        <v>Washington/Bruce Twp Senior Transp Thru Adv Reserv</v>
      </c>
    </row>
    <row r="1646" spans="1:8" ht="16.5" thickTop="1" thickBot="1" x14ac:dyDescent="0.3">
      <c r="A1646">
        <f t="shared" si="26"/>
        <v>51</v>
      </c>
      <c r="B1646" s="5" t="s">
        <v>0</v>
      </c>
      <c r="C1646" s="6" t="s">
        <v>1</v>
      </c>
      <c r="D1646" s="6" t="s">
        <v>2</v>
      </c>
      <c r="E1646" s="6" t="s">
        <v>3</v>
      </c>
      <c r="F1646" s="7" t="s">
        <v>4</v>
      </c>
      <c r="H1646" t="str">
        <f>TRIM(SUBSTITUTE(PROPER(C1646)&amp;" "&amp;IF(OR(D1646="County",D1646="Township",D1646="Village",D1646="Charter Township"),D1646,"")&amp;IF(D1646="Township"," "&amp;"("&amp;VLOOKUP(A1646,counties,3,0)&amp;")",""),"  "," "))</f>
        <v>Municipality</v>
      </c>
    </row>
    <row r="1647" spans="1:8" ht="15.75" thickBot="1" x14ac:dyDescent="0.3">
      <c r="A1647">
        <f t="shared" si="26"/>
        <v>51</v>
      </c>
      <c r="B1647" s="8">
        <v>2016</v>
      </c>
      <c r="C1647" s="1" t="s">
        <v>1262</v>
      </c>
      <c r="D1647" s="1" t="s">
        <v>9</v>
      </c>
      <c r="E1647" s="2" t="s">
        <v>7</v>
      </c>
      <c r="F1647" s="9" t="s">
        <v>8</v>
      </c>
      <c r="H1647" t="str">
        <f>TRIM(SUBSTITUTE(PROPER(C1647)&amp;" "&amp;IF(OR(D1647="County",D1647="Township",D1647="Village",D1647="Charter Township"),D1647,"")&amp;IF(D1647="Township"," "&amp;"("&amp;VLOOKUP(A1647,counties,3,0)&amp;")",""),"  "," "))</f>
        <v>Arcadia Township (Manistee County)</v>
      </c>
    </row>
    <row r="1648" spans="1:8" ht="15.75" thickBot="1" x14ac:dyDescent="0.3">
      <c r="A1648">
        <f t="shared" si="26"/>
        <v>51</v>
      </c>
      <c r="B1648" s="10">
        <v>2016</v>
      </c>
      <c r="C1648" s="3" t="s">
        <v>1161</v>
      </c>
      <c r="D1648" s="3" t="s">
        <v>9</v>
      </c>
      <c r="E1648" s="4" t="s">
        <v>7</v>
      </c>
      <c r="F1648" s="11" t="s">
        <v>8</v>
      </c>
      <c r="H1648" t="str">
        <f>TRIM(SUBSTITUTE(PROPER(C1648)&amp;" "&amp;IF(OR(D1648="County",D1648="Township",D1648="Village",D1648="Charter Township"),D1648,"")&amp;IF(D1648="Township"," "&amp;"("&amp;VLOOKUP(A1648,counties,3,0)&amp;")",""),"  "," "))</f>
        <v>Bear Lake Township (Manistee County)</v>
      </c>
    </row>
    <row r="1649" spans="1:8" ht="15.75" thickBot="1" x14ac:dyDescent="0.3">
      <c r="A1649">
        <f t="shared" si="26"/>
        <v>51</v>
      </c>
      <c r="B1649" s="8">
        <v>2016</v>
      </c>
      <c r="C1649" s="1" t="s">
        <v>1161</v>
      </c>
      <c r="D1649" s="1" t="s">
        <v>21</v>
      </c>
      <c r="E1649" s="2" t="s">
        <v>7</v>
      </c>
      <c r="F1649" s="9" t="s">
        <v>8</v>
      </c>
      <c r="H1649" t="str">
        <f>TRIM(SUBSTITUTE(PROPER(C1649)&amp;" "&amp;IF(OR(D1649="County",D1649="Township",D1649="Village",D1649="Charter Township"),D1649,"")&amp;IF(D1649="Township"," "&amp;"("&amp;VLOOKUP(A1649,counties,3,0)&amp;")",""),"  "," "))</f>
        <v>Bear Lake Village</v>
      </c>
    </row>
    <row r="1650" spans="1:8" ht="15.75" thickBot="1" x14ac:dyDescent="0.3">
      <c r="A1650">
        <f t="shared" si="26"/>
        <v>51</v>
      </c>
      <c r="B1650" s="10">
        <v>2016</v>
      </c>
      <c r="C1650" s="3" t="s">
        <v>1461</v>
      </c>
      <c r="D1650" s="3" t="s">
        <v>17</v>
      </c>
      <c r="E1650" s="4" t="s">
        <v>7</v>
      </c>
      <c r="F1650" s="11" t="s">
        <v>8</v>
      </c>
      <c r="H1650" t="str">
        <f>TRIM(SUBSTITUTE(PROPER(C1650)&amp;" "&amp;IF(OR(D1650="County",D1650="Township",D1650="Village",D1650="Charter Township"),D1650,"")&amp;IF(D1650="Township"," "&amp;"("&amp;VLOOKUP(A1650,counties,3,0)&amp;")",""),"  "," "))</f>
        <v>Bear Lake Improvement Board</v>
      </c>
    </row>
    <row r="1651" spans="1:8" ht="15.75" thickBot="1" x14ac:dyDescent="0.3">
      <c r="A1651">
        <f t="shared" si="26"/>
        <v>51</v>
      </c>
      <c r="B1651" s="8">
        <v>2016</v>
      </c>
      <c r="C1651" s="1" t="s">
        <v>1462</v>
      </c>
      <c r="D1651" s="1" t="s">
        <v>17</v>
      </c>
      <c r="E1651" s="2" t="s">
        <v>7</v>
      </c>
      <c r="F1651" s="9" t="s">
        <v>8</v>
      </c>
      <c r="H1651" t="str">
        <f>TRIM(SUBSTITUTE(PROPER(C1651)&amp;" "&amp;IF(OR(D1651="County",D1651="Township",D1651="Village",D1651="Charter Township"),D1651,"")&amp;IF(D1651="Township"," "&amp;"("&amp;VLOOKUP(A1651,counties,3,0)&amp;")",""),"  "," "))</f>
        <v>Centra Wellness Network</v>
      </c>
    </row>
    <row r="1652" spans="1:8" ht="15.75" thickBot="1" x14ac:dyDescent="0.3">
      <c r="A1652">
        <f t="shared" si="26"/>
        <v>51</v>
      </c>
      <c r="B1652" s="10">
        <v>2016</v>
      </c>
      <c r="C1652" s="3" t="s">
        <v>1463</v>
      </c>
      <c r="D1652" s="3" t="s">
        <v>21</v>
      </c>
      <c r="E1652" s="4" t="s">
        <v>7</v>
      </c>
      <c r="F1652" s="11" t="s">
        <v>19</v>
      </c>
      <c r="H1652" t="str">
        <f>TRIM(SUBSTITUTE(PROPER(C1652)&amp;" "&amp;IF(OR(D1652="County",D1652="Township",D1652="Village",D1652="Charter Township"),D1652,"")&amp;IF(D1652="Township"," "&amp;"("&amp;VLOOKUP(A1652,counties,3,0)&amp;")",""),"  "," "))</f>
        <v>Copemish Village</v>
      </c>
    </row>
    <row r="1653" spans="1:8" ht="15.75" thickBot="1" x14ac:dyDescent="0.3">
      <c r="A1653">
        <f t="shared" si="26"/>
        <v>51</v>
      </c>
      <c r="B1653" s="8">
        <v>2016</v>
      </c>
      <c r="C1653" s="1" t="s">
        <v>1464</v>
      </c>
      <c r="D1653" s="1" t="s">
        <v>21</v>
      </c>
      <c r="E1653" s="2" t="s">
        <v>7</v>
      </c>
      <c r="F1653" s="9" t="s">
        <v>8</v>
      </c>
      <c r="H1653" t="str">
        <f>TRIM(SUBSTITUTE(PROPER(C1653)&amp;" "&amp;IF(OR(D1653="County",D1653="Township",D1653="Village",D1653="Charter Township"),D1653,"")&amp;IF(D1653="Township"," "&amp;"("&amp;VLOOKUP(A1653,counties,3,0)&amp;")",""),"  "," "))</f>
        <v>Eastlake Village</v>
      </c>
    </row>
    <row r="1654" spans="1:8" ht="15.75" thickBot="1" x14ac:dyDescent="0.3">
      <c r="A1654">
        <f t="shared" si="26"/>
        <v>51</v>
      </c>
      <c r="B1654" s="10">
        <v>2016</v>
      </c>
      <c r="C1654" s="3" t="s">
        <v>1465</v>
      </c>
      <c r="D1654" s="3" t="s">
        <v>9</v>
      </c>
      <c r="E1654" s="4" t="s">
        <v>7</v>
      </c>
      <c r="F1654" s="11" t="s">
        <v>19</v>
      </c>
      <c r="H1654" t="str">
        <f>TRIM(SUBSTITUTE(PROPER(C1654)&amp;" "&amp;IF(OR(D1654="County",D1654="Township",D1654="Village",D1654="Charter Township"),D1654,"")&amp;IF(D1654="Township"," "&amp;"("&amp;VLOOKUP(A1654,counties,3,0)&amp;")",""),"  "," "))</f>
        <v>Filer Charter Township (Manistee County)</v>
      </c>
    </row>
    <row r="1655" spans="1:8" ht="15.75" thickBot="1" x14ac:dyDescent="0.3">
      <c r="A1655">
        <f t="shared" si="26"/>
        <v>51</v>
      </c>
      <c r="B1655" s="8">
        <v>2016</v>
      </c>
      <c r="C1655" s="1" t="s">
        <v>1466</v>
      </c>
      <c r="D1655" s="1" t="s">
        <v>15</v>
      </c>
      <c r="E1655" s="2" t="s">
        <v>7</v>
      </c>
      <c r="F1655" s="9" t="s">
        <v>8</v>
      </c>
      <c r="H1655" t="str">
        <f>TRIM(SUBSTITUTE(PROPER(C1655)&amp;" "&amp;IF(OR(D1655="County",D1655="Township",D1655="Village",D1655="Charter Township"),D1655,"")&amp;IF(D1655="Township"," "&amp;"("&amp;VLOOKUP(A1655,counties,3,0)&amp;")",""),"  "," "))</f>
        <v>Manistee</v>
      </c>
    </row>
    <row r="1656" spans="1:8" ht="15.75" thickBot="1" x14ac:dyDescent="0.3">
      <c r="A1656">
        <f t="shared" si="26"/>
        <v>51</v>
      </c>
      <c r="B1656" s="10">
        <v>2016</v>
      </c>
      <c r="C1656" s="3" t="s">
        <v>1466</v>
      </c>
      <c r="D1656" s="3" t="s">
        <v>6</v>
      </c>
      <c r="E1656" s="4" t="s">
        <v>7</v>
      </c>
      <c r="F1656" s="11" t="s">
        <v>8</v>
      </c>
      <c r="H1656" t="str">
        <f>TRIM(SUBSTITUTE(PROPER(C1656)&amp;" "&amp;IF(OR(D1656="County",D1656="Township",D1656="Village",D1656="Charter Township"),D1656,"")&amp;IF(D1656="Township"," "&amp;"("&amp;VLOOKUP(A1656,counties,3,0)&amp;")",""),"  "," "))</f>
        <v>Manistee County</v>
      </c>
    </row>
    <row r="1657" spans="1:8" ht="15.75" thickBot="1" x14ac:dyDescent="0.3">
      <c r="A1657">
        <f t="shared" si="26"/>
        <v>51</v>
      </c>
      <c r="B1657" s="8">
        <v>2016</v>
      </c>
      <c r="C1657" s="1" t="s">
        <v>1466</v>
      </c>
      <c r="D1657" s="1" t="s">
        <v>9</v>
      </c>
      <c r="E1657" s="2" t="s">
        <v>7</v>
      </c>
      <c r="F1657" s="9" t="s">
        <v>8</v>
      </c>
      <c r="H1657" t="str">
        <f>TRIM(SUBSTITUTE(PROPER(C1657)&amp;" "&amp;IF(OR(D1657="County",D1657="Township",D1657="Village",D1657="Charter Township"),D1657,"")&amp;IF(D1657="Township"," "&amp;"("&amp;VLOOKUP(A1657,counties,3,0)&amp;")",""),"  "," "))</f>
        <v>Manistee Township (Manistee County)</v>
      </c>
    </row>
    <row r="1658" spans="1:8" ht="15.75" thickBot="1" x14ac:dyDescent="0.3">
      <c r="A1658">
        <f t="shared" si="26"/>
        <v>51</v>
      </c>
      <c r="B1658" s="10">
        <v>2016</v>
      </c>
      <c r="C1658" s="3" t="s">
        <v>1467</v>
      </c>
      <c r="D1658" s="3" t="s">
        <v>17</v>
      </c>
      <c r="E1658" s="4" t="s">
        <v>7</v>
      </c>
      <c r="F1658" s="11" t="s">
        <v>8</v>
      </c>
      <c r="H1658" t="str">
        <f>TRIM(SUBSTITUTE(PROPER(C1658)&amp;" "&amp;IF(OR(D1658="County",D1658="Township",D1658="Village",D1658="Charter Township"),D1658,"")&amp;IF(D1658="Township"," "&amp;"("&amp;VLOOKUP(A1658,counties,3,0)&amp;")",""),"  "," "))</f>
        <v>Manistee Blacker Airport Authority</v>
      </c>
    </row>
    <row r="1659" spans="1:8" ht="15.75" thickBot="1" x14ac:dyDescent="0.3">
      <c r="A1659">
        <f t="shared" si="26"/>
        <v>51</v>
      </c>
      <c r="B1659" s="8">
        <v>2016</v>
      </c>
      <c r="C1659" s="1" t="s">
        <v>1468</v>
      </c>
      <c r="D1659" s="1" t="s">
        <v>17</v>
      </c>
      <c r="E1659" s="2" t="s">
        <v>7</v>
      </c>
      <c r="F1659" s="9" t="s">
        <v>8</v>
      </c>
      <c r="H1659" t="str">
        <f>TRIM(SUBSTITUTE(PROPER(C1659)&amp;" "&amp;IF(OR(D1659="County",D1659="Township",D1659="Village",D1659="Charter Township"),D1659,"")&amp;IF(D1659="Township"," "&amp;"("&amp;VLOOKUP(A1659,counties,3,0)&amp;")",""),"  "," "))</f>
        <v>Manistee City Downtown Development Auth</v>
      </c>
    </row>
    <row r="1660" spans="1:8" ht="15.75" thickBot="1" x14ac:dyDescent="0.3">
      <c r="A1660">
        <f t="shared" si="26"/>
        <v>51</v>
      </c>
      <c r="B1660" s="10">
        <v>2016</v>
      </c>
      <c r="C1660" s="3" t="s">
        <v>1469</v>
      </c>
      <c r="D1660" s="3" t="s">
        <v>11</v>
      </c>
      <c r="E1660" s="4" t="s">
        <v>7</v>
      </c>
      <c r="F1660" s="11" t="s">
        <v>8</v>
      </c>
      <c r="H1660" t="str">
        <f>TRIM(SUBSTITUTE(PROPER(C1660)&amp;" "&amp;IF(OR(D1660="County",D1660="Township",D1660="Village",D1660="Charter Township"),D1660,"")&amp;IF(D1660="Township"," "&amp;"("&amp;VLOOKUP(A1660,counties,3,0)&amp;")",""),"  "," "))</f>
        <v>Manistee Co Road Commission</v>
      </c>
    </row>
    <row r="1661" spans="1:8" ht="15.75" thickBot="1" x14ac:dyDescent="0.3">
      <c r="A1661">
        <f t="shared" si="26"/>
        <v>51</v>
      </c>
      <c r="B1661" s="8">
        <v>2016</v>
      </c>
      <c r="C1661" s="1" t="s">
        <v>1470</v>
      </c>
      <c r="D1661" s="1" t="s">
        <v>17</v>
      </c>
      <c r="E1661" s="2" t="s">
        <v>7</v>
      </c>
      <c r="F1661" s="9" t="s">
        <v>8</v>
      </c>
      <c r="H1661" t="str">
        <f>TRIM(SUBSTITUTE(PROPER(C1661)&amp;" "&amp;IF(OR(D1661="County",D1661="Township",D1661="Village",D1661="Charter Township"),D1661,"")&amp;IF(D1661="Township"," "&amp;"("&amp;VLOOKUP(A1661,counties,3,0)&amp;")",""),"  "," "))</f>
        <v>Manistee County 911 Central Dispatch</v>
      </c>
    </row>
    <row r="1662" spans="1:8" ht="15.75" thickBot="1" x14ac:dyDescent="0.3">
      <c r="A1662">
        <f t="shared" si="26"/>
        <v>51</v>
      </c>
      <c r="B1662" s="10">
        <v>2016</v>
      </c>
      <c r="C1662" s="3" t="s">
        <v>1471</v>
      </c>
      <c r="D1662" s="3" t="s">
        <v>42</v>
      </c>
      <c r="E1662" s="4" t="s">
        <v>7</v>
      </c>
      <c r="F1662" s="11" t="s">
        <v>8</v>
      </c>
      <c r="H1662" t="str">
        <f>TRIM(SUBSTITUTE(PROPER(C1662)&amp;" "&amp;IF(OR(D1662="County",D1662="Township",D1662="Village",D1662="Charter Township"),D1662,"")&amp;IF(D1662="Township"," "&amp;"("&amp;VLOOKUP(A1662,counties,3,0)&amp;")",""),"  "," "))</f>
        <v>Manistee County Library</v>
      </c>
    </row>
    <row r="1663" spans="1:8" ht="15.75" thickBot="1" x14ac:dyDescent="0.3">
      <c r="A1663">
        <f t="shared" si="26"/>
        <v>51</v>
      </c>
      <c r="B1663" s="8">
        <v>2016</v>
      </c>
      <c r="C1663" s="1" t="s">
        <v>1472</v>
      </c>
      <c r="D1663" s="1" t="s">
        <v>17</v>
      </c>
      <c r="E1663" s="2" t="s">
        <v>7</v>
      </c>
      <c r="F1663" s="9" t="s">
        <v>8</v>
      </c>
      <c r="H1663" t="str">
        <f>TRIM(SUBSTITUTE(PROPER(C1663)&amp;" "&amp;IF(OR(D1663="County",D1663="Township",D1663="Village",D1663="Charter Township"),D1663,"")&amp;IF(D1663="Township"," "&amp;"("&amp;VLOOKUP(A1663,counties,3,0)&amp;")",""),"  "," "))</f>
        <v>Manistee County Medical Care Facility</v>
      </c>
    </row>
    <row r="1664" spans="1:8" ht="15.75" thickBot="1" x14ac:dyDescent="0.3">
      <c r="A1664">
        <f t="shared" si="26"/>
        <v>51</v>
      </c>
      <c r="B1664" s="10">
        <v>2016</v>
      </c>
      <c r="C1664" s="3" t="s">
        <v>1473</v>
      </c>
      <c r="D1664" s="3" t="s">
        <v>17</v>
      </c>
      <c r="E1664" s="4" t="s">
        <v>7</v>
      </c>
      <c r="F1664" s="11" t="s">
        <v>8</v>
      </c>
      <c r="H1664" t="str">
        <f>TRIM(SUBSTITUTE(PROPER(C1664)&amp;" "&amp;IF(OR(D1664="County",D1664="Township",D1664="Village",D1664="Charter Township"),D1664,"")&amp;IF(D1664="Township"," "&amp;"("&amp;VLOOKUP(A1664,counties,3,0)&amp;")",""),"  "," "))</f>
        <v>Manistee County Transportation, Inc</v>
      </c>
    </row>
    <row r="1665" spans="1:8" ht="15.75" thickBot="1" x14ac:dyDescent="0.3">
      <c r="A1665">
        <f t="shared" si="26"/>
        <v>51</v>
      </c>
      <c r="B1665" s="8">
        <v>2016</v>
      </c>
      <c r="C1665" s="1" t="s">
        <v>173</v>
      </c>
      <c r="D1665" s="1" t="s">
        <v>9</v>
      </c>
      <c r="E1665" s="2" t="s">
        <v>7</v>
      </c>
      <c r="F1665" s="9" t="s">
        <v>8</v>
      </c>
      <c r="H1665" t="str">
        <f>TRIM(SUBSTITUTE(PROPER(C1665)&amp;" "&amp;IF(OR(D1665="County",D1665="Township",D1665="Village",D1665="Charter Township"),D1665,"")&amp;IF(D1665="Township"," "&amp;"("&amp;VLOOKUP(A1665,counties,3,0)&amp;")",""),"  "," "))</f>
        <v>Maple Grove Township (Manistee County)</v>
      </c>
    </row>
    <row r="1666" spans="1:8" ht="15.75" thickBot="1" x14ac:dyDescent="0.3">
      <c r="A1666">
        <f t="shared" si="26"/>
        <v>51</v>
      </c>
      <c r="B1666" s="10">
        <v>2016</v>
      </c>
      <c r="C1666" s="3" t="s">
        <v>1474</v>
      </c>
      <c r="D1666" s="3" t="s">
        <v>9</v>
      </c>
      <c r="E1666" s="4" t="s">
        <v>7</v>
      </c>
      <c r="F1666" s="11" t="s">
        <v>8</v>
      </c>
      <c r="H1666" t="str">
        <f>TRIM(SUBSTITUTE(PROPER(C1666)&amp;" "&amp;IF(OR(D1666="County",D1666="Township",D1666="Village",D1666="Charter Township"),D1666,"")&amp;IF(D1666="Township"," "&amp;"("&amp;VLOOKUP(A1666,counties,3,0)&amp;")",""),"  "," "))</f>
        <v>Marilla Township (Manistee County)</v>
      </c>
    </row>
    <row r="1667" spans="1:8" ht="15.75" thickBot="1" x14ac:dyDescent="0.3">
      <c r="A1667">
        <f t="shared" ref="A1667:A1730" si="27">IF(B1667="Year",A1666+1,A1666)</f>
        <v>51</v>
      </c>
      <c r="B1667" s="8">
        <v>2016</v>
      </c>
      <c r="C1667" s="1" t="s">
        <v>1475</v>
      </c>
      <c r="D1667" s="1" t="s">
        <v>9</v>
      </c>
      <c r="E1667" s="2" t="s">
        <v>7</v>
      </c>
      <c r="F1667" s="9" t="s">
        <v>8</v>
      </c>
      <c r="H1667" t="str">
        <f>TRIM(SUBSTITUTE(PROPER(C1667)&amp;" "&amp;IF(OR(D1667="County",D1667="Township",D1667="Village",D1667="Charter Township"),D1667,"")&amp;IF(D1667="Township"," "&amp;"("&amp;VLOOKUP(A1667,counties,3,0)&amp;")",""),"  "," "))</f>
        <v>Onekama Township (Manistee County)</v>
      </c>
    </row>
    <row r="1668" spans="1:8" ht="15.75" thickBot="1" x14ac:dyDescent="0.3">
      <c r="A1668">
        <f t="shared" si="27"/>
        <v>51</v>
      </c>
      <c r="B1668" s="10">
        <v>2016</v>
      </c>
      <c r="C1668" s="3" t="s">
        <v>1475</v>
      </c>
      <c r="D1668" s="3" t="s">
        <v>21</v>
      </c>
      <c r="E1668" s="4" t="s">
        <v>7</v>
      </c>
      <c r="F1668" s="11" t="s">
        <v>8</v>
      </c>
      <c r="H1668" t="str">
        <f>TRIM(SUBSTITUTE(PROPER(C1668)&amp;" "&amp;IF(OR(D1668="County",D1668="Township",D1668="Village",D1668="Charter Township"),D1668,"")&amp;IF(D1668="Township"," "&amp;"("&amp;VLOOKUP(A1668,counties,3,0)&amp;")",""),"  "," "))</f>
        <v>Onekama Village</v>
      </c>
    </row>
    <row r="1669" spans="1:8" ht="15.75" thickBot="1" x14ac:dyDescent="0.3">
      <c r="A1669">
        <f t="shared" si="27"/>
        <v>51</v>
      </c>
      <c r="B1669" s="8">
        <v>2016</v>
      </c>
      <c r="C1669" s="1" t="s">
        <v>1476</v>
      </c>
      <c r="D1669" s="1" t="s">
        <v>9</v>
      </c>
      <c r="E1669" s="2" t="s">
        <v>7</v>
      </c>
      <c r="F1669" s="9" t="s">
        <v>8</v>
      </c>
      <c r="H1669" t="str">
        <f>TRIM(SUBSTITUTE(PROPER(C1669)&amp;" "&amp;IF(OR(D1669="County",D1669="Township",D1669="Village",D1669="Charter Township"),D1669,"")&amp;IF(D1669="Township"," "&amp;"("&amp;VLOOKUP(A1669,counties,3,0)&amp;")",""),"  "," "))</f>
        <v>Springdale Township (Manistee County)</v>
      </c>
    </row>
    <row r="1670" spans="1:8" ht="15.75" thickBot="1" x14ac:dyDescent="0.3">
      <c r="A1670">
        <f t="shared" si="27"/>
        <v>51</v>
      </c>
      <c r="B1670" s="12">
        <v>2016</v>
      </c>
      <c r="C1670" s="13" t="s">
        <v>1477</v>
      </c>
      <c r="D1670" s="13" t="s">
        <v>17</v>
      </c>
      <c r="E1670" s="14" t="s">
        <v>7</v>
      </c>
      <c r="F1670" s="15" t="s">
        <v>8</v>
      </c>
      <c r="H1670" t="str">
        <f>TRIM(SUBSTITUTE(PROPER(C1670)&amp;" "&amp;IF(OR(D1670="County",D1670="Township",D1670="Village",D1670="Charter Township"),D1670,"")&amp;IF(D1670="Township"," "&amp;"("&amp;VLOOKUP(A1670,counties,3,0)&amp;")",""),"  "," "))</f>
        <v>West Shore Medical Center</v>
      </c>
    </row>
    <row r="1671" spans="1:8" ht="16.5" thickTop="1" thickBot="1" x14ac:dyDescent="0.3">
      <c r="A1671">
        <f t="shared" si="27"/>
        <v>52</v>
      </c>
      <c r="B1671" s="5" t="s">
        <v>0</v>
      </c>
      <c r="C1671" s="6" t="s">
        <v>1</v>
      </c>
      <c r="D1671" s="6" t="s">
        <v>2</v>
      </c>
      <c r="E1671" s="6" t="s">
        <v>3</v>
      </c>
      <c r="F1671" s="7" t="s">
        <v>4</v>
      </c>
      <c r="H1671" t="str">
        <f>TRIM(SUBSTITUTE(PROPER(C1671)&amp;" "&amp;IF(OR(D1671="County",D1671="Township",D1671="Village",D1671="Charter Township"),D1671,"")&amp;IF(D1671="Township"," "&amp;"("&amp;VLOOKUP(A1671,counties,3,0)&amp;")",""),"  "," "))</f>
        <v>Municipality</v>
      </c>
    </row>
    <row r="1672" spans="1:8" ht="15.75" thickBot="1" x14ac:dyDescent="0.3">
      <c r="A1672">
        <f t="shared" si="27"/>
        <v>52</v>
      </c>
      <c r="B1672" s="8">
        <v>2016</v>
      </c>
      <c r="C1672" s="1" t="s">
        <v>1478</v>
      </c>
      <c r="D1672" s="1" t="s">
        <v>9</v>
      </c>
      <c r="E1672" s="2" t="s">
        <v>7</v>
      </c>
      <c r="F1672" s="9" t="s">
        <v>8</v>
      </c>
      <c r="H1672" t="str">
        <f>TRIM(SUBSTITUTE(PROPER(C1672)&amp;" "&amp;IF(OR(D1672="County",D1672="Township",D1672="Village",D1672="Charter Township"),D1672,"")&amp;IF(D1672="Township"," "&amp;"("&amp;VLOOKUP(A1672,counties,3,0)&amp;")",""),"  "," "))</f>
        <v>Chocolay Charter Township (Marquette County)</v>
      </c>
    </row>
    <row r="1673" spans="1:8" ht="15.75" thickBot="1" x14ac:dyDescent="0.3">
      <c r="A1673">
        <f t="shared" si="27"/>
        <v>52</v>
      </c>
      <c r="B1673" s="10">
        <v>2016</v>
      </c>
      <c r="C1673" s="3" t="s">
        <v>1479</v>
      </c>
      <c r="D1673" s="3" t="s">
        <v>9</v>
      </c>
      <c r="E1673" s="4" t="s">
        <v>7</v>
      </c>
      <c r="F1673" s="11" t="s">
        <v>8</v>
      </c>
      <c r="H1673" t="str">
        <f>TRIM(SUBSTITUTE(PROPER(C1673)&amp;" "&amp;IF(OR(D1673="County",D1673="Township",D1673="Village",D1673="Charter Township"),D1673,"")&amp;IF(D1673="Township"," "&amp;"("&amp;VLOOKUP(A1673,counties,3,0)&amp;")",""),"  "," "))</f>
        <v>Ely Township (Marquette County)</v>
      </c>
    </row>
    <row r="1674" spans="1:8" ht="15.75" thickBot="1" x14ac:dyDescent="0.3">
      <c r="A1674">
        <f t="shared" si="27"/>
        <v>52</v>
      </c>
      <c r="B1674" s="8">
        <v>2016</v>
      </c>
      <c r="C1674" s="1" t="s">
        <v>1480</v>
      </c>
      <c r="D1674" s="1" t="s">
        <v>9</v>
      </c>
      <c r="E1674" s="2" t="s">
        <v>7</v>
      </c>
      <c r="F1674" s="9" t="s">
        <v>8</v>
      </c>
      <c r="H1674" t="str">
        <f>TRIM(SUBSTITUTE(PROPER(C1674)&amp;" "&amp;IF(OR(D1674="County",D1674="Township",D1674="Village",D1674="Charter Township"),D1674,"")&amp;IF(D1674="Township"," "&amp;"("&amp;VLOOKUP(A1674,counties,3,0)&amp;")",""),"  "," "))</f>
        <v>Forsyth Township (Marquette County)</v>
      </c>
    </row>
    <row r="1675" spans="1:8" ht="15.75" thickBot="1" x14ac:dyDescent="0.3">
      <c r="A1675">
        <f t="shared" si="27"/>
        <v>52</v>
      </c>
      <c r="B1675" s="10">
        <v>2016</v>
      </c>
      <c r="C1675" s="3" t="s">
        <v>1481</v>
      </c>
      <c r="D1675" s="3" t="s">
        <v>17</v>
      </c>
      <c r="E1675" s="4" t="s">
        <v>7</v>
      </c>
      <c r="F1675" s="11" t="s">
        <v>8</v>
      </c>
      <c r="H1675" t="str">
        <f>TRIM(SUBSTITUTE(PROPER(C1675)&amp;" "&amp;IF(OR(D1675="County",D1675="Township",D1675="Village",D1675="Charter Township"),D1675,"")&amp;IF(D1675="Township"," "&amp;"("&amp;VLOOKUP(A1675,counties,3,0)&amp;")",""),"  "," "))</f>
        <v>Iron Ore Heritage Recreation Authority</v>
      </c>
    </row>
    <row r="1676" spans="1:8" ht="15.75" thickBot="1" x14ac:dyDescent="0.3">
      <c r="A1676">
        <f t="shared" si="27"/>
        <v>52</v>
      </c>
      <c r="B1676" s="8">
        <v>2016</v>
      </c>
      <c r="C1676" s="1" t="s">
        <v>1482</v>
      </c>
      <c r="D1676" s="1" t="s">
        <v>15</v>
      </c>
      <c r="E1676" s="2" t="s">
        <v>7</v>
      </c>
      <c r="F1676" s="9" t="s">
        <v>8</v>
      </c>
      <c r="H1676" t="str">
        <f>TRIM(SUBSTITUTE(PROPER(C1676)&amp;" "&amp;IF(OR(D1676="County",D1676="Township",D1676="Village",D1676="Charter Township"),D1676,"")&amp;IF(D1676="Township"," "&amp;"("&amp;VLOOKUP(A1676,counties,3,0)&amp;")",""),"  "," "))</f>
        <v>Ishpeming</v>
      </c>
    </row>
    <row r="1677" spans="1:8" ht="15.75" thickBot="1" x14ac:dyDescent="0.3">
      <c r="A1677">
        <f t="shared" si="27"/>
        <v>52</v>
      </c>
      <c r="B1677" s="10">
        <v>2016</v>
      </c>
      <c r="C1677" s="3" t="s">
        <v>1482</v>
      </c>
      <c r="D1677" s="3" t="s">
        <v>9</v>
      </c>
      <c r="E1677" s="4" t="s">
        <v>7</v>
      </c>
      <c r="F1677" s="11" t="s">
        <v>8</v>
      </c>
      <c r="H1677" t="str">
        <f>TRIM(SUBSTITUTE(PROPER(C1677)&amp;" "&amp;IF(OR(D1677="County",D1677="Township",D1677="Village",D1677="Charter Township"),D1677,"")&amp;IF(D1677="Township"," "&amp;"("&amp;VLOOKUP(A1677,counties,3,0)&amp;")",""),"  "," "))</f>
        <v>Ishpeming Township (Marquette County)</v>
      </c>
    </row>
    <row r="1678" spans="1:8" ht="21.75" thickBot="1" x14ac:dyDescent="0.3">
      <c r="A1678">
        <f t="shared" si="27"/>
        <v>52</v>
      </c>
      <c r="B1678" s="8">
        <v>2016</v>
      </c>
      <c r="C1678" s="1" t="s">
        <v>1483</v>
      </c>
      <c r="D1678" s="1" t="s">
        <v>17</v>
      </c>
      <c r="E1678" s="2" t="s">
        <v>7</v>
      </c>
      <c r="F1678" s="9" t="s">
        <v>8</v>
      </c>
      <c r="H1678" t="str">
        <f>TRIM(SUBSTITUTE(PROPER(C1678)&amp;" "&amp;IF(OR(D1678="County",D1678="Township",D1678="Village",D1678="Charter Township"),D1678,"")&amp;IF(D1678="Township"," "&amp;"("&amp;VLOOKUP(A1678,counties,3,0)&amp;")",""),"  "," "))</f>
        <v>Ishpeming Area Joint Wastewater Treatment Facility</v>
      </c>
    </row>
    <row r="1679" spans="1:8" ht="15.75" thickBot="1" x14ac:dyDescent="0.3">
      <c r="A1679">
        <f t="shared" si="27"/>
        <v>52</v>
      </c>
      <c r="B1679" s="10">
        <v>2016</v>
      </c>
      <c r="C1679" s="3" t="s">
        <v>1484</v>
      </c>
      <c r="D1679" s="3" t="s">
        <v>17</v>
      </c>
      <c r="E1679" s="4" t="s">
        <v>7</v>
      </c>
      <c r="F1679" s="11" t="s">
        <v>8</v>
      </c>
      <c r="H1679" t="str">
        <f>TRIM(SUBSTITUTE(PROPER(C1679)&amp;" "&amp;IF(OR(D1679="County",D1679="Township",D1679="Village",D1679="Charter Township"),D1679,"")&amp;IF(D1679="Township"," "&amp;"("&amp;VLOOKUP(A1679,counties,3,0)&amp;")",""),"  "," "))</f>
        <v>Ishpeming City Housing Commission</v>
      </c>
    </row>
    <row r="1680" spans="1:8" ht="15.75" thickBot="1" x14ac:dyDescent="0.3">
      <c r="A1680">
        <f t="shared" si="27"/>
        <v>52</v>
      </c>
      <c r="B1680" s="8">
        <v>2016</v>
      </c>
      <c r="C1680" s="1" t="s">
        <v>1399</v>
      </c>
      <c r="D1680" s="1" t="s">
        <v>15</v>
      </c>
      <c r="E1680" s="2" t="s">
        <v>7</v>
      </c>
      <c r="F1680" s="9" t="s">
        <v>8</v>
      </c>
      <c r="H1680" t="str">
        <f>TRIM(SUBSTITUTE(PROPER(C1680)&amp;" "&amp;IF(OR(D1680="County",D1680="Township",D1680="Village",D1680="Charter Township"),D1680,"")&amp;IF(D1680="Township"," "&amp;"("&amp;VLOOKUP(A1680,counties,3,0)&amp;")",""),"  "," "))</f>
        <v>Marquette</v>
      </c>
    </row>
    <row r="1681" spans="1:8" ht="15.75" thickBot="1" x14ac:dyDescent="0.3">
      <c r="A1681">
        <f t="shared" si="27"/>
        <v>52</v>
      </c>
      <c r="B1681" s="10">
        <v>2016</v>
      </c>
      <c r="C1681" s="3" t="s">
        <v>1399</v>
      </c>
      <c r="D1681" s="3" t="s">
        <v>6</v>
      </c>
      <c r="E1681" s="4" t="s">
        <v>7</v>
      </c>
      <c r="F1681" s="11" t="s">
        <v>8</v>
      </c>
      <c r="H1681" t="str">
        <f>TRIM(SUBSTITUTE(PROPER(C1681)&amp;" "&amp;IF(OR(D1681="County",D1681="Township",D1681="Village",D1681="Charter Township"),D1681,"")&amp;IF(D1681="Township"," "&amp;"("&amp;VLOOKUP(A1681,counties,3,0)&amp;")",""),"  "," "))</f>
        <v>Marquette County</v>
      </c>
    </row>
    <row r="1682" spans="1:8" ht="15.75" thickBot="1" x14ac:dyDescent="0.3">
      <c r="A1682">
        <f t="shared" si="27"/>
        <v>52</v>
      </c>
      <c r="B1682" s="8">
        <v>2016</v>
      </c>
      <c r="C1682" s="1" t="s">
        <v>1485</v>
      </c>
      <c r="D1682" s="1" t="s">
        <v>17</v>
      </c>
      <c r="E1682" s="2" t="s">
        <v>7</v>
      </c>
      <c r="F1682" s="9" t="s">
        <v>8</v>
      </c>
      <c r="H1682" t="str">
        <f>TRIM(SUBSTITUTE(PROPER(C1682)&amp;" "&amp;IF(OR(D1682="County",D1682="Township",D1682="Village",D1682="Charter Township"),D1682,"")&amp;IF(D1682="Township"," "&amp;"("&amp;VLOOKUP(A1682,counties,3,0)&amp;")",""),"  "," "))</f>
        <v>Marquette Area Wastewater Treatment Facility</v>
      </c>
    </row>
    <row r="1683" spans="1:8" ht="15.75" thickBot="1" x14ac:dyDescent="0.3">
      <c r="A1683">
        <f t="shared" si="27"/>
        <v>52</v>
      </c>
      <c r="B1683" s="10">
        <v>2016</v>
      </c>
      <c r="C1683" s="3" t="s">
        <v>1486</v>
      </c>
      <c r="D1683" s="3" t="s">
        <v>9</v>
      </c>
      <c r="E1683" s="4" t="s">
        <v>7</v>
      </c>
      <c r="F1683" s="11" t="s">
        <v>8</v>
      </c>
      <c r="H1683" t="str">
        <f>TRIM(SUBSTITUTE(PROPER(C1683)&amp;" "&amp;IF(OR(D1683="County",D1683="Township",D1683="Village",D1683="Charter Township"),D1683,"")&amp;IF(D1683="Township"," "&amp;"("&amp;VLOOKUP(A1683,counties,3,0)&amp;")",""),"  "," "))</f>
        <v>Marquette Charter Township (Marquette County)</v>
      </c>
    </row>
    <row r="1684" spans="1:8" ht="15.75" thickBot="1" x14ac:dyDescent="0.3">
      <c r="A1684">
        <f t="shared" si="27"/>
        <v>52</v>
      </c>
      <c r="B1684" s="8">
        <v>2016</v>
      </c>
      <c r="C1684" s="1" t="s">
        <v>1487</v>
      </c>
      <c r="D1684" s="1" t="s">
        <v>17</v>
      </c>
      <c r="E1684" s="2" t="s">
        <v>7</v>
      </c>
      <c r="F1684" s="9" t="s">
        <v>8</v>
      </c>
      <c r="H1684" t="str">
        <f>TRIM(SUBSTITUTE(PROPER(C1684)&amp;" "&amp;IF(OR(D1684="County",D1684="Township",D1684="Village",D1684="Charter Township"),D1684,"")&amp;IF(D1684="Township"," "&amp;"("&amp;VLOOKUP(A1684,counties,3,0)&amp;")",""),"  "," "))</f>
        <v>Marquette City Board Of Light And Power</v>
      </c>
    </row>
    <row r="1685" spans="1:8" ht="15.75" thickBot="1" x14ac:dyDescent="0.3">
      <c r="A1685">
        <f t="shared" si="27"/>
        <v>52</v>
      </c>
      <c r="B1685" s="10">
        <v>2016</v>
      </c>
      <c r="C1685" s="3" t="s">
        <v>1488</v>
      </c>
      <c r="D1685" s="3" t="s">
        <v>17</v>
      </c>
      <c r="E1685" s="4" t="s">
        <v>7</v>
      </c>
      <c r="F1685" s="11" t="s">
        <v>8</v>
      </c>
      <c r="H1685" t="str">
        <f>TRIM(SUBSTITUTE(PROPER(C1685)&amp;" "&amp;IF(OR(D1685="County",D1685="Township",D1685="Village",D1685="Charter Township"),D1685,"")&amp;IF(D1685="Township"," "&amp;"("&amp;VLOOKUP(A1685,counties,3,0)&amp;")",""),"  "," "))</f>
        <v>Marquette City Fire - Police Retirement System</v>
      </c>
    </row>
    <row r="1686" spans="1:8" ht="15.75" thickBot="1" x14ac:dyDescent="0.3">
      <c r="A1686">
        <f t="shared" si="27"/>
        <v>52</v>
      </c>
      <c r="B1686" s="8">
        <v>2016</v>
      </c>
      <c r="C1686" s="1" t="s">
        <v>1489</v>
      </c>
      <c r="D1686" s="1" t="s">
        <v>17</v>
      </c>
      <c r="E1686" s="2" t="s">
        <v>7</v>
      </c>
      <c r="F1686" s="9" t="s">
        <v>8</v>
      </c>
      <c r="H1686" t="str">
        <f>TRIM(SUBSTITUTE(PROPER(C1686)&amp;" "&amp;IF(OR(D1686="County",D1686="Township",D1686="Village",D1686="Charter Township"),D1686,"")&amp;IF(D1686="Township"," "&amp;"("&amp;VLOOKUP(A1686,counties,3,0)&amp;")",""),"  "," "))</f>
        <v>Marquette City Housing Commission</v>
      </c>
    </row>
    <row r="1687" spans="1:8" ht="15.75" thickBot="1" x14ac:dyDescent="0.3">
      <c r="A1687">
        <f t="shared" si="27"/>
        <v>52</v>
      </c>
      <c r="B1687" s="10">
        <v>2016</v>
      </c>
      <c r="C1687" s="3" t="s">
        <v>1490</v>
      </c>
      <c r="D1687" s="3" t="s">
        <v>11</v>
      </c>
      <c r="E1687" s="4" t="s">
        <v>7</v>
      </c>
      <c r="F1687" s="11" t="s">
        <v>8</v>
      </c>
      <c r="H1687" t="str">
        <f>TRIM(SUBSTITUTE(PROPER(C1687)&amp;" "&amp;IF(OR(D1687="County",D1687="Township",D1687="Village",D1687="Charter Township"),D1687,"")&amp;IF(D1687="Township"," "&amp;"("&amp;VLOOKUP(A1687,counties,3,0)&amp;")",""),"  "," "))</f>
        <v>Marquette Co Road Commission</v>
      </c>
    </row>
    <row r="1688" spans="1:8" ht="15.75" thickBot="1" x14ac:dyDescent="0.3">
      <c r="A1688">
        <f t="shared" si="27"/>
        <v>52</v>
      </c>
      <c r="B1688" s="8">
        <v>2016</v>
      </c>
      <c r="C1688" s="1" t="s">
        <v>1491</v>
      </c>
      <c r="D1688" s="1" t="s">
        <v>17</v>
      </c>
      <c r="E1688" s="2" t="s">
        <v>7</v>
      </c>
      <c r="F1688" s="9" t="s">
        <v>8</v>
      </c>
      <c r="H1688" t="str">
        <f>TRIM(SUBSTITUTE(PROPER(C1688)&amp;" "&amp;IF(OR(D1688="County",D1688="Township",D1688="Village",D1688="Charter Township"),D1688,"")&amp;IF(D1688="Township"," "&amp;"("&amp;VLOOKUP(A1688,counties,3,0)&amp;")",""),"  "," "))</f>
        <v>Marquette Co Solid Waste Management Authority</v>
      </c>
    </row>
    <row r="1689" spans="1:8" ht="15.75" thickBot="1" x14ac:dyDescent="0.3">
      <c r="A1689">
        <f t="shared" si="27"/>
        <v>52</v>
      </c>
      <c r="B1689" s="10">
        <v>2016</v>
      </c>
      <c r="C1689" s="3" t="s">
        <v>1492</v>
      </c>
      <c r="D1689" s="3" t="s">
        <v>17</v>
      </c>
      <c r="E1689" s="4" t="s">
        <v>7</v>
      </c>
      <c r="F1689" s="11" t="s">
        <v>8</v>
      </c>
      <c r="H1689" t="str">
        <f>TRIM(SUBSTITUTE(PROPER(C1689)&amp;" "&amp;IF(OR(D1689="County",D1689="Township",D1689="Village",D1689="Charter Township"),D1689,"")&amp;IF(D1689="Township"," "&amp;"("&amp;VLOOKUP(A1689,counties,3,0)&amp;")",""),"  "," "))</f>
        <v>Marquette County Medical Care Facility</v>
      </c>
    </row>
    <row r="1690" spans="1:8" ht="15.75" thickBot="1" x14ac:dyDescent="0.3">
      <c r="A1690">
        <f t="shared" si="27"/>
        <v>52</v>
      </c>
      <c r="B1690" s="8">
        <v>2016</v>
      </c>
      <c r="C1690" s="1" t="s">
        <v>1493</v>
      </c>
      <c r="D1690" s="1" t="s">
        <v>17</v>
      </c>
      <c r="E1690" s="2" t="s">
        <v>7</v>
      </c>
      <c r="F1690" s="9" t="s">
        <v>8</v>
      </c>
      <c r="H1690" t="str">
        <f>TRIM(SUBSTITUTE(PROPER(C1690)&amp;" "&amp;IF(OR(D1690="County",D1690="Township",D1690="Village",D1690="Charter Township"),D1690,"")&amp;IF(D1690="Township"," "&amp;"("&amp;VLOOKUP(A1690,counties,3,0)&amp;")",""),"  "," "))</f>
        <v>Marquette County Transit Authority</v>
      </c>
    </row>
    <row r="1691" spans="1:8" ht="15.75" thickBot="1" x14ac:dyDescent="0.3">
      <c r="A1691">
        <f t="shared" si="27"/>
        <v>52</v>
      </c>
      <c r="B1691" s="10">
        <v>2016</v>
      </c>
      <c r="C1691" s="3" t="s">
        <v>1494</v>
      </c>
      <c r="D1691" s="3" t="s">
        <v>15</v>
      </c>
      <c r="E1691" s="4" t="s">
        <v>7</v>
      </c>
      <c r="F1691" s="11" t="s">
        <v>8</v>
      </c>
      <c r="H1691" t="str">
        <f>TRIM(SUBSTITUTE(PROPER(C1691)&amp;" "&amp;IF(OR(D1691="County",D1691="Township",D1691="Village",D1691="Charter Township"),D1691,"")&amp;IF(D1691="Township"," "&amp;"("&amp;VLOOKUP(A1691,counties,3,0)&amp;")",""),"  "," "))</f>
        <v>Negaunee</v>
      </c>
    </row>
    <row r="1692" spans="1:8" ht="15.75" thickBot="1" x14ac:dyDescent="0.3">
      <c r="A1692">
        <f t="shared" si="27"/>
        <v>52</v>
      </c>
      <c r="B1692" s="8">
        <v>2016</v>
      </c>
      <c r="C1692" s="1" t="s">
        <v>1494</v>
      </c>
      <c r="D1692" s="1" t="s">
        <v>9</v>
      </c>
      <c r="E1692" s="2" t="s">
        <v>7</v>
      </c>
      <c r="F1692" s="9" t="s">
        <v>8</v>
      </c>
      <c r="H1692" t="str">
        <f>TRIM(SUBSTITUTE(PROPER(C1692)&amp;" "&amp;IF(OR(D1692="County",D1692="Township",D1692="Village",D1692="Charter Township"),D1692,"")&amp;IF(D1692="Township"," "&amp;"("&amp;VLOOKUP(A1692,counties,3,0)&amp;")",""),"  "," "))</f>
        <v>Negaunee Township (Marquette County)</v>
      </c>
    </row>
    <row r="1693" spans="1:8" ht="15.75" thickBot="1" x14ac:dyDescent="0.3">
      <c r="A1693">
        <f t="shared" si="27"/>
        <v>52</v>
      </c>
      <c r="B1693" s="10">
        <v>2016</v>
      </c>
      <c r="C1693" s="3" t="s">
        <v>1495</v>
      </c>
      <c r="D1693" s="3" t="s">
        <v>17</v>
      </c>
      <c r="E1693" s="4" t="s">
        <v>7</v>
      </c>
      <c r="F1693" s="11" t="s">
        <v>8</v>
      </c>
      <c r="H1693" t="str">
        <f>TRIM(SUBSTITUTE(PROPER(C1693)&amp;" "&amp;IF(OR(D1693="County",D1693="Township",D1693="Village",D1693="Charter Township"),D1693,"")&amp;IF(D1693="Township"," "&amp;"("&amp;VLOOKUP(A1693,counties,3,0)&amp;")",""),"  "," "))</f>
        <v>Negaunee City Housing Commission</v>
      </c>
    </row>
    <row r="1694" spans="1:8" ht="15.75" thickBot="1" x14ac:dyDescent="0.3">
      <c r="A1694">
        <f t="shared" si="27"/>
        <v>52</v>
      </c>
      <c r="B1694" s="8">
        <v>2016</v>
      </c>
      <c r="C1694" s="1" t="s">
        <v>1496</v>
      </c>
      <c r="D1694" s="1" t="s">
        <v>17</v>
      </c>
      <c r="E1694" s="2" t="s">
        <v>7</v>
      </c>
      <c r="F1694" s="9" t="s">
        <v>8</v>
      </c>
      <c r="H1694" t="str">
        <f>TRIM(SUBSTITUTE(PROPER(C1694)&amp;" "&amp;IF(OR(D1694="County",D1694="Township",D1694="Village",D1694="Charter Township"),D1694,"")&amp;IF(D1694="Township"," "&amp;"("&amp;VLOOKUP(A1694,counties,3,0)&amp;")",""),"  "," "))</f>
        <v>Negaunee-Ishpeming Water Authority</v>
      </c>
    </row>
    <row r="1695" spans="1:8" ht="15.75" thickBot="1" x14ac:dyDescent="0.3">
      <c r="A1695">
        <f t="shared" si="27"/>
        <v>52</v>
      </c>
      <c r="B1695" s="10">
        <v>2016</v>
      </c>
      <c r="C1695" s="3" t="s">
        <v>1497</v>
      </c>
      <c r="D1695" s="3" t="s">
        <v>42</v>
      </c>
      <c r="E1695" s="4" t="s">
        <v>7</v>
      </c>
      <c r="F1695" s="11" t="s">
        <v>8</v>
      </c>
      <c r="H1695" t="str">
        <f>TRIM(SUBSTITUTE(PROPER(C1695)&amp;" "&amp;IF(OR(D1695="County",D1695="Township",D1695="Village",D1695="Charter Township"),D1695,"")&amp;IF(D1695="Township"," "&amp;"("&amp;VLOOKUP(A1695,counties,3,0)&amp;")",""),"  "," "))</f>
        <v>North Michigan Library Network</v>
      </c>
    </row>
    <row r="1696" spans="1:8" ht="21.75" thickBot="1" x14ac:dyDescent="0.3">
      <c r="A1696">
        <f t="shared" si="27"/>
        <v>52</v>
      </c>
      <c r="B1696" s="8">
        <v>2016</v>
      </c>
      <c r="C1696" s="1" t="s">
        <v>1498</v>
      </c>
      <c r="D1696" s="1" t="s">
        <v>425</v>
      </c>
      <c r="E1696" s="2" t="s">
        <v>7</v>
      </c>
      <c r="F1696" s="9" t="s">
        <v>8</v>
      </c>
      <c r="H1696" t="str">
        <f>TRIM(SUBSTITUTE(PROPER(C1696)&amp;" "&amp;IF(OR(D1696="County",D1696="Township",D1696="Village",D1696="Charter Township"),D1696,"")&amp;IF(D1696="Township"," "&amp;"("&amp;VLOOKUP(A1696,counties,3,0)&amp;")",""),"  "," "))</f>
        <v>Northcare Network</v>
      </c>
    </row>
    <row r="1697" spans="1:8" ht="15.75" thickBot="1" x14ac:dyDescent="0.3">
      <c r="A1697">
        <f t="shared" si="27"/>
        <v>52</v>
      </c>
      <c r="B1697" s="10">
        <v>2016</v>
      </c>
      <c r="C1697" s="3" t="s">
        <v>1499</v>
      </c>
      <c r="D1697" s="3" t="s">
        <v>17</v>
      </c>
      <c r="E1697" s="4" t="s">
        <v>7</v>
      </c>
      <c r="F1697" s="11" t="s">
        <v>8</v>
      </c>
      <c r="H1697" t="str">
        <f>TRIM(SUBSTITUTE(PROPER(C1697)&amp;" "&amp;IF(OR(D1697="County",D1697="Township",D1697="Village",D1697="Charter Township"),D1697,"")&amp;IF(D1697="Township"," "&amp;"("&amp;VLOOKUP(A1697,counties,3,0)&amp;")",""),"  "," "))</f>
        <v>Pathways</v>
      </c>
    </row>
    <row r="1698" spans="1:8" ht="15.75" thickBot="1" x14ac:dyDescent="0.3">
      <c r="A1698">
        <f t="shared" si="27"/>
        <v>52</v>
      </c>
      <c r="B1698" s="8">
        <v>2016</v>
      </c>
      <c r="C1698" s="1" t="s">
        <v>1500</v>
      </c>
      <c r="D1698" s="1" t="s">
        <v>42</v>
      </c>
      <c r="E1698" s="2" t="s">
        <v>7</v>
      </c>
      <c r="F1698" s="9" t="s">
        <v>8</v>
      </c>
      <c r="H1698" t="str">
        <f>TRIM(SUBSTITUTE(PROPER(C1698)&amp;" "&amp;IF(OR(D1698="County",D1698="Township",D1698="Village",D1698="Charter Township"),D1698,"")&amp;IF(D1698="Township"," "&amp;"("&amp;VLOOKUP(A1698,counties,3,0)&amp;")",""),"  "," "))</f>
        <v>Peter White Public Library</v>
      </c>
    </row>
    <row r="1699" spans="1:8" ht="15.75" thickBot="1" x14ac:dyDescent="0.3">
      <c r="A1699">
        <f t="shared" si="27"/>
        <v>52</v>
      </c>
      <c r="B1699" s="10">
        <v>2016</v>
      </c>
      <c r="C1699" s="3" t="s">
        <v>1501</v>
      </c>
      <c r="D1699" s="3" t="s">
        <v>9</v>
      </c>
      <c r="E1699" s="4" t="s">
        <v>7</v>
      </c>
      <c r="F1699" s="11" t="s">
        <v>8</v>
      </c>
      <c r="H1699" t="str">
        <f>TRIM(SUBSTITUTE(PROPER(C1699)&amp;" "&amp;IF(OR(D1699="County",D1699="Township",D1699="Village",D1699="Charter Township"),D1699,"")&amp;IF(D1699="Township"," "&amp;"("&amp;VLOOKUP(A1699,counties,3,0)&amp;")",""),"  "," "))</f>
        <v>Powell Township (Marquette County)</v>
      </c>
    </row>
    <row r="1700" spans="1:8" ht="15.75" thickBot="1" x14ac:dyDescent="0.3">
      <c r="A1700">
        <f t="shared" si="27"/>
        <v>52</v>
      </c>
      <c r="B1700" s="8">
        <v>2016</v>
      </c>
      <c r="C1700" s="1" t="s">
        <v>1502</v>
      </c>
      <c r="D1700" s="1" t="s">
        <v>9</v>
      </c>
      <c r="E1700" s="2" t="s">
        <v>7</v>
      </c>
      <c r="F1700" s="9" t="s">
        <v>8</v>
      </c>
      <c r="H1700" t="str">
        <f>TRIM(SUBSTITUTE(PROPER(C1700)&amp;" "&amp;IF(OR(D1700="County",D1700="Township",D1700="Village",D1700="Charter Township"),D1700,"")&amp;IF(D1700="Township"," "&amp;"("&amp;VLOOKUP(A1700,counties,3,0)&amp;")",""),"  "," "))</f>
        <v>Republic Township (Marquette County)</v>
      </c>
    </row>
    <row r="1701" spans="1:8" ht="15.75" thickBot="1" x14ac:dyDescent="0.3">
      <c r="A1701">
        <f t="shared" si="27"/>
        <v>52</v>
      </c>
      <c r="B1701" s="10">
        <v>2016</v>
      </c>
      <c r="C1701" s="3" t="s">
        <v>1436</v>
      </c>
      <c r="D1701" s="3" t="s">
        <v>9</v>
      </c>
      <c r="E1701" s="4" t="s">
        <v>7</v>
      </c>
      <c r="F1701" s="11" t="s">
        <v>8</v>
      </c>
      <c r="H1701" t="str">
        <f>TRIM(SUBSTITUTE(PROPER(C1701)&amp;" "&amp;IF(OR(D1701="County",D1701="Township",D1701="Village",D1701="Charter Township"),D1701,"")&amp;IF(D1701="Township"," "&amp;"("&amp;VLOOKUP(A1701,counties,3,0)&amp;")",""),"  "," "))</f>
        <v>Richmond Township (Marquette County)</v>
      </c>
    </row>
    <row r="1702" spans="1:8" ht="15.75" thickBot="1" x14ac:dyDescent="0.3">
      <c r="A1702">
        <f t="shared" si="27"/>
        <v>52</v>
      </c>
      <c r="B1702" s="8">
        <v>2016</v>
      </c>
      <c r="C1702" s="1" t="s">
        <v>1503</v>
      </c>
      <c r="D1702" s="1" t="s">
        <v>9</v>
      </c>
      <c r="E1702" s="2" t="s">
        <v>7</v>
      </c>
      <c r="F1702" s="9" t="s">
        <v>8</v>
      </c>
      <c r="H1702" t="str">
        <f>TRIM(SUBSTITUTE(PROPER(C1702)&amp;" "&amp;IF(OR(D1702="County",D1702="Township",D1702="Village",D1702="Charter Township"),D1702,"")&amp;IF(D1702="Township"," "&amp;"("&amp;VLOOKUP(A1702,counties,3,0)&amp;")",""),"  "," "))</f>
        <v>Sands Township (Marquette County)</v>
      </c>
    </row>
    <row r="1703" spans="1:8" ht="15.75" thickBot="1" x14ac:dyDescent="0.3">
      <c r="A1703">
        <f t="shared" si="27"/>
        <v>52</v>
      </c>
      <c r="B1703" s="10">
        <v>2016</v>
      </c>
      <c r="C1703" s="3" t="s">
        <v>1504</v>
      </c>
      <c r="D1703" s="3" t="s">
        <v>17</v>
      </c>
      <c r="E1703" s="4" t="s">
        <v>7</v>
      </c>
      <c r="F1703" s="11" t="s">
        <v>8</v>
      </c>
      <c r="H1703" t="str">
        <f>TRIM(SUBSTITUTE(PROPER(C1703)&amp;" "&amp;IF(OR(D1703="County",D1703="Township",D1703="Village",D1703="Charter Township"),D1703,"")&amp;IF(D1703="Township"," "&amp;"("&amp;VLOOKUP(A1703,counties,3,0)&amp;")",""),"  "," "))</f>
        <v>Skandia-West Branch Township Water Authority</v>
      </c>
    </row>
    <row r="1704" spans="1:8" ht="15.75" thickBot="1" x14ac:dyDescent="0.3">
      <c r="A1704">
        <f t="shared" si="27"/>
        <v>52</v>
      </c>
      <c r="B1704" s="8">
        <v>2016</v>
      </c>
      <c r="C1704" s="1" t="s">
        <v>1505</v>
      </c>
      <c r="D1704" s="1" t="s">
        <v>17</v>
      </c>
      <c r="E1704" s="2" t="s">
        <v>7</v>
      </c>
      <c r="F1704" s="9" t="s">
        <v>8</v>
      </c>
      <c r="H1704" t="str">
        <f>TRIM(SUBSTITUTE(PROPER(C1704)&amp;" "&amp;IF(OR(D1704="County",D1704="Township",D1704="Village",D1704="Charter Township"),D1704,"")&amp;IF(D1704="Township"," "&amp;"("&amp;VLOOKUP(A1704,counties,3,0)&amp;")",""),"  "," "))</f>
        <v>Skandia/West Branch Joint Operations Board</v>
      </c>
    </row>
    <row r="1705" spans="1:8" ht="15.75" thickBot="1" x14ac:dyDescent="0.3">
      <c r="A1705">
        <f t="shared" si="27"/>
        <v>52</v>
      </c>
      <c r="B1705" s="10">
        <v>2016</v>
      </c>
      <c r="C1705" s="3" t="s">
        <v>1506</v>
      </c>
      <c r="D1705" s="3" t="s">
        <v>42</v>
      </c>
      <c r="E1705" s="4" t="s">
        <v>7</v>
      </c>
      <c r="F1705" s="11" t="s">
        <v>8</v>
      </c>
      <c r="H1705" t="str">
        <f>TRIM(SUBSTITUTE(PROPER(C1705)&amp;" "&amp;IF(OR(D1705="County",D1705="Township",D1705="Village",D1705="Charter Township"),D1705,"")&amp;IF(D1705="Township"," "&amp;"("&amp;VLOOKUP(A1705,counties,3,0)&amp;")",""),"  "," "))</f>
        <v>Superiorland Library Cooperative</v>
      </c>
    </row>
    <row r="1706" spans="1:8" ht="15.75" thickBot="1" x14ac:dyDescent="0.3">
      <c r="A1706">
        <f t="shared" si="27"/>
        <v>52</v>
      </c>
      <c r="B1706" s="8">
        <v>2016</v>
      </c>
      <c r="C1706" s="1" t="s">
        <v>1507</v>
      </c>
      <c r="D1706" s="1" t="s">
        <v>9</v>
      </c>
      <c r="E1706" s="2" t="s">
        <v>7</v>
      </c>
      <c r="F1706" s="9" t="s">
        <v>8</v>
      </c>
      <c r="H1706" t="str">
        <f>TRIM(SUBSTITUTE(PROPER(C1706)&amp;" "&amp;IF(OR(D1706="County",D1706="Township",D1706="Village",D1706="Charter Township"),D1706,"")&amp;IF(D1706="Township"," "&amp;"("&amp;VLOOKUP(A1706,counties,3,0)&amp;")",""),"  "," "))</f>
        <v>Tilden Township (Marquette County)</v>
      </c>
    </row>
    <row r="1707" spans="1:8" ht="15.75" thickBot="1" x14ac:dyDescent="0.3">
      <c r="A1707">
        <f t="shared" si="27"/>
        <v>52</v>
      </c>
      <c r="B1707" s="10">
        <v>2016</v>
      </c>
      <c r="C1707" s="3" t="s">
        <v>1508</v>
      </c>
      <c r="D1707" s="3" t="s">
        <v>9</v>
      </c>
      <c r="E1707" s="4" t="s">
        <v>7</v>
      </c>
      <c r="F1707" s="11" t="s">
        <v>8</v>
      </c>
      <c r="H1707" t="str">
        <f>TRIM(SUBSTITUTE(PROPER(C1707)&amp;" "&amp;IF(OR(D1707="County",D1707="Township",D1707="Village",D1707="Charter Township"),D1707,"")&amp;IF(D1707="Township"," "&amp;"("&amp;VLOOKUP(A1707,counties,3,0)&amp;")",""),"  "," "))</f>
        <v>Turin Township (Marquette County)</v>
      </c>
    </row>
    <row r="1708" spans="1:8" ht="15.75" thickBot="1" x14ac:dyDescent="0.3">
      <c r="A1708">
        <f t="shared" si="27"/>
        <v>52</v>
      </c>
      <c r="B1708" s="8">
        <v>2016</v>
      </c>
      <c r="C1708" s="1" t="s">
        <v>1509</v>
      </c>
      <c r="D1708" s="1" t="s">
        <v>42</v>
      </c>
      <c r="E1708" s="2" t="s">
        <v>7</v>
      </c>
      <c r="F1708" s="9" t="s">
        <v>8</v>
      </c>
      <c r="H1708" t="str">
        <f>TRIM(SUBSTITUTE(PROPER(C1708)&amp;" "&amp;IF(OR(D1708="County",D1708="Township",D1708="Village",D1708="Charter Township"),D1708,"")&amp;IF(D1708="Township"," "&amp;"("&amp;VLOOKUP(A1708,counties,3,0)&amp;")",""),"  "," "))</f>
        <v>Upper Peninsula Region Of Library Cooperation</v>
      </c>
    </row>
    <row r="1709" spans="1:8" ht="21.75" thickBot="1" x14ac:dyDescent="0.3">
      <c r="A1709">
        <f t="shared" si="27"/>
        <v>52</v>
      </c>
      <c r="B1709" s="10">
        <v>2016</v>
      </c>
      <c r="C1709" s="3" t="s">
        <v>1510</v>
      </c>
      <c r="D1709" s="3" t="s">
        <v>17</v>
      </c>
      <c r="E1709" s="4" t="s">
        <v>7</v>
      </c>
      <c r="F1709" s="11" t="s">
        <v>8</v>
      </c>
      <c r="H1709" t="str">
        <f>TRIM(SUBSTITUTE(PROPER(C1709)&amp;" "&amp;IF(OR(D1709="County",D1709="Township",D1709="Village",D1709="Charter Township"),D1709,"")&amp;IF(D1709="Township"," "&amp;"("&amp;VLOOKUP(A1709,counties,3,0)&amp;")",""),"  "," "))</f>
        <v>Upper Peninsula Substance Enforcement Team-Upset</v>
      </c>
    </row>
    <row r="1710" spans="1:8" ht="15.75" thickBot="1" x14ac:dyDescent="0.3">
      <c r="A1710">
        <f t="shared" si="27"/>
        <v>52</v>
      </c>
      <c r="B1710" s="8">
        <v>2016</v>
      </c>
      <c r="C1710" s="1" t="s">
        <v>577</v>
      </c>
      <c r="D1710" s="1" t="s">
        <v>9</v>
      </c>
      <c r="E1710" s="2" t="s">
        <v>7</v>
      </c>
      <c r="F1710" s="9" t="s">
        <v>8</v>
      </c>
      <c r="H1710" t="str">
        <f>TRIM(SUBSTITUTE(PROPER(C1710)&amp;" "&amp;IF(OR(D1710="County",D1710="Township",D1710="Village",D1710="Charter Township"),D1710,"")&amp;IF(D1710="Township"," "&amp;"("&amp;VLOOKUP(A1710,counties,3,0)&amp;")",""),"  "," "))</f>
        <v>Wells Township (Marquette County)</v>
      </c>
    </row>
    <row r="1711" spans="1:8" ht="15.75" thickBot="1" x14ac:dyDescent="0.3">
      <c r="A1711">
        <f t="shared" si="27"/>
        <v>52</v>
      </c>
      <c r="B1711" s="12">
        <v>2016</v>
      </c>
      <c r="C1711" s="13" t="s">
        <v>1511</v>
      </c>
      <c r="D1711" s="13" t="s">
        <v>72</v>
      </c>
      <c r="E1711" s="14" t="s">
        <v>7</v>
      </c>
      <c r="F1711" s="15" t="s">
        <v>8</v>
      </c>
      <c r="H1711" t="str">
        <f>TRIM(SUBSTITUTE(PROPER(C1711)&amp;" "&amp;IF(OR(D1711="County",D1711="Township",D1711="Village",D1711="Charter Township"),D1711,"")&amp;IF(D1711="Township"," "&amp;"("&amp;VLOOKUP(A1711,counties,3,0)&amp;")",""),"  "," "))</f>
        <v>West Marquette County Sanitation Authority</v>
      </c>
    </row>
    <row r="1712" spans="1:8" ht="16.5" thickTop="1" thickBot="1" x14ac:dyDescent="0.3">
      <c r="A1712">
        <f t="shared" si="27"/>
        <v>53</v>
      </c>
      <c r="B1712" s="5" t="s">
        <v>0</v>
      </c>
      <c r="C1712" s="6" t="s">
        <v>1</v>
      </c>
      <c r="D1712" s="6" t="s">
        <v>2</v>
      </c>
      <c r="E1712" s="6" t="s">
        <v>3</v>
      </c>
      <c r="F1712" s="7" t="s">
        <v>4</v>
      </c>
      <c r="H1712" t="str">
        <f>TRIM(SUBSTITUTE(PROPER(C1712)&amp;" "&amp;IF(OR(D1712="County",D1712="Township",D1712="Village",D1712="Charter Township"),D1712,"")&amp;IF(D1712="Township"," "&amp;"("&amp;VLOOKUP(A1712,counties,3,0)&amp;")",""),"  "," "))</f>
        <v>Municipality</v>
      </c>
    </row>
    <row r="1713" spans="1:8" ht="15.75" thickBot="1" x14ac:dyDescent="0.3">
      <c r="A1713">
        <f t="shared" si="27"/>
        <v>53</v>
      </c>
      <c r="B1713" s="8">
        <v>2016</v>
      </c>
      <c r="C1713" s="1" t="s">
        <v>315</v>
      </c>
      <c r="D1713" s="1" t="s">
        <v>9</v>
      </c>
      <c r="E1713" s="2" t="s">
        <v>7</v>
      </c>
      <c r="F1713" s="9" t="s">
        <v>8</v>
      </c>
      <c r="H1713" t="str">
        <f>TRIM(SUBSTITUTE(PROPER(C1713)&amp;" "&amp;IF(OR(D1713="County",D1713="Township",D1713="Village",D1713="Charter Township"),D1713,"")&amp;IF(D1713="Township"," "&amp;"("&amp;VLOOKUP(A1713,counties,3,0)&amp;")",""),"  "," "))</f>
        <v>Branch Township (Mason County)</v>
      </c>
    </row>
    <row r="1714" spans="1:8" ht="15.75" thickBot="1" x14ac:dyDescent="0.3">
      <c r="A1714">
        <f t="shared" si="27"/>
        <v>53</v>
      </c>
      <c r="B1714" s="10">
        <v>2016</v>
      </c>
      <c r="C1714" s="3" t="s">
        <v>106</v>
      </c>
      <c r="D1714" s="3" t="s">
        <v>9</v>
      </c>
      <c r="E1714" s="4" t="s">
        <v>7</v>
      </c>
      <c r="F1714" s="11" t="s">
        <v>8</v>
      </c>
      <c r="H1714" t="str">
        <f>TRIM(SUBSTITUTE(PROPER(C1714)&amp;" "&amp;IF(OR(D1714="County",D1714="Township",D1714="Village",D1714="Charter Township"),D1714,"")&amp;IF(D1714="Township"," "&amp;"("&amp;VLOOKUP(A1714,counties,3,0)&amp;")",""),"  "," "))</f>
        <v>Custer Township (Mason County)</v>
      </c>
    </row>
    <row r="1715" spans="1:8" ht="15.75" thickBot="1" x14ac:dyDescent="0.3">
      <c r="A1715">
        <f t="shared" si="27"/>
        <v>53</v>
      </c>
      <c r="B1715" s="8">
        <v>2016</v>
      </c>
      <c r="C1715" s="1" t="s">
        <v>106</v>
      </c>
      <c r="D1715" s="1" t="s">
        <v>21</v>
      </c>
      <c r="E1715" s="2" t="s">
        <v>7</v>
      </c>
      <c r="F1715" s="9" t="s">
        <v>19</v>
      </c>
      <c r="H1715" t="str">
        <f>TRIM(SUBSTITUTE(PROPER(C1715)&amp;" "&amp;IF(OR(D1715="County",D1715="Township",D1715="Village",D1715="Charter Township"),D1715,"")&amp;IF(D1715="Township"," "&amp;"("&amp;VLOOKUP(A1715,counties,3,0)&amp;")",""),"  "," "))</f>
        <v>Custer Village</v>
      </c>
    </row>
    <row r="1716" spans="1:8" ht="15.75" thickBot="1" x14ac:dyDescent="0.3">
      <c r="A1716">
        <f t="shared" si="27"/>
        <v>53</v>
      </c>
      <c r="B1716" s="10">
        <v>2016</v>
      </c>
      <c r="C1716" s="3" t="s">
        <v>1249</v>
      </c>
      <c r="D1716" s="3" t="s">
        <v>9</v>
      </c>
      <c r="E1716" s="4" t="s">
        <v>7</v>
      </c>
      <c r="F1716" s="11" t="s">
        <v>8</v>
      </c>
      <c r="H1716" t="str">
        <f>TRIM(SUBSTITUTE(PROPER(C1716)&amp;" "&amp;IF(OR(D1716="County",D1716="Township",D1716="Village",D1716="Charter Township"),D1716,"")&amp;IF(D1716="Township"," "&amp;"("&amp;VLOOKUP(A1716,counties,3,0)&amp;")",""),"  "," "))</f>
        <v>Eden Township (Mason County)</v>
      </c>
    </row>
    <row r="1717" spans="1:8" ht="15.75" thickBot="1" x14ac:dyDescent="0.3">
      <c r="A1717">
        <f t="shared" si="27"/>
        <v>53</v>
      </c>
      <c r="B1717" s="8">
        <v>2016</v>
      </c>
      <c r="C1717" s="1" t="s">
        <v>1512</v>
      </c>
      <c r="D1717" s="1" t="s">
        <v>9</v>
      </c>
      <c r="E1717" s="2" t="s">
        <v>7</v>
      </c>
      <c r="F1717" s="9" t="s">
        <v>8</v>
      </c>
      <c r="H1717" t="str">
        <f>TRIM(SUBSTITUTE(PROPER(C1717)&amp;" "&amp;IF(OR(D1717="County",D1717="Township",D1717="Village",D1717="Charter Township"),D1717,"")&amp;IF(D1717="Township"," "&amp;"("&amp;VLOOKUP(A1717,counties,3,0)&amp;")",""),"  "," "))</f>
        <v>Free Soil Township (Mason County)</v>
      </c>
    </row>
    <row r="1718" spans="1:8" ht="15.75" thickBot="1" x14ac:dyDescent="0.3">
      <c r="A1718">
        <f t="shared" si="27"/>
        <v>53</v>
      </c>
      <c r="B1718" s="10">
        <v>2016</v>
      </c>
      <c r="C1718" s="3" t="s">
        <v>449</v>
      </c>
      <c r="D1718" s="3" t="s">
        <v>9</v>
      </c>
      <c r="E1718" s="4" t="s">
        <v>7</v>
      </c>
      <c r="F1718" s="11" t="s">
        <v>8</v>
      </c>
      <c r="H1718" t="str">
        <f>TRIM(SUBSTITUTE(PROPER(C1718)&amp;" "&amp;IF(OR(D1718="County",D1718="Township",D1718="Village",D1718="Charter Township"),D1718,"")&amp;IF(D1718="Township"," "&amp;"("&amp;VLOOKUP(A1718,counties,3,0)&amp;")",""),"  "," "))</f>
        <v>Grant Township (Mason County)</v>
      </c>
    </row>
    <row r="1719" spans="1:8" ht="15.75" thickBot="1" x14ac:dyDescent="0.3">
      <c r="A1719">
        <f t="shared" si="27"/>
        <v>53</v>
      </c>
      <c r="B1719" s="8">
        <v>2016</v>
      </c>
      <c r="C1719" s="1" t="s">
        <v>614</v>
      </c>
      <c r="D1719" s="1" t="s">
        <v>9</v>
      </c>
      <c r="E1719" s="2" t="s">
        <v>7</v>
      </c>
      <c r="F1719" s="9" t="s">
        <v>19</v>
      </c>
      <c r="H1719" t="str">
        <f>TRIM(SUBSTITUTE(PROPER(C1719)&amp;" "&amp;IF(OR(D1719="County",D1719="Township",D1719="Village",D1719="Charter Township"),D1719,"")&amp;IF(D1719="Township"," "&amp;"("&amp;VLOOKUP(A1719,counties,3,0)&amp;")",""),"  "," "))</f>
        <v>Hamlin Township (Mason County)</v>
      </c>
    </row>
    <row r="1720" spans="1:8" ht="15.75" thickBot="1" x14ac:dyDescent="0.3">
      <c r="A1720">
        <f t="shared" si="27"/>
        <v>53</v>
      </c>
      <c r="B1720" s="10">
        <v>2016</v>
      </c>
      <c r="C1720" s="3" t="s">
        <v>1513</v>
      </c>
      <c r="D1720" s="3" t="s">
        <v>15</v>
      </c>
      <c r="E1720" s="4" t="s">
        <v>7</v>
      </c>
      <c r="F1720" s="11" t="s">
        <v>8</v>
      </c>
      <c r="H1720" t="str">
        <f>TRIM(SUBSTITUTE(PROPER(C1720)&amp;" "&amp;IF(OR(D1720="County",D1720="Township",D1720="Village",D1720="Charter Township"),D1720,"")&amp;IF(D1720="Township"," "&amp;"("&amp;VLOOKUP(A1720,counties,3,0)&amp;")",""),"  "," "))</f>
        <v>Ludington</v>
      </c>
    </row>
    <row r="1721" spans="1:8" ht="15.75" thickBot="1" x14ac:dyDescent="0.3">
      <c r="A1721">
        <f t="shared" si="27"/>
        <v>53</v>
      </c>
      <c r="B1721" s="8">
        <v>2016</v>
      </c>
      <c r="C1721" s="1" t="s">
        <v>1514</v>
      </c>
      <c r="D1721" s="1" t="s">
        <v>17</v>
      </c>
      <c r="E1721" s="2" t="s">
        <v>7</v>
      </c>
      <c r="F1721" s="9" t="s">
        <v>8</v>
      </c>
      <c r="H1721" t="str">
        <f>TRIM(SUBSTITUTE(PROPER(C1721)&amp;" "&amp;IF(OR(D1721="County",D1721="Township",D1721="Village",D1721="Charter Township"),D1721,"")&amp;IF(D1721="Township"," "&amp;"("&amp;VLOOKUP(A1721,counties,3,0)&amp;")",""),"  "," "))</f>
        <v>Ludington Mass Transportation Authority</v>
      </c>
    </row>
    <row r="1722" spans="1:8" ht="15.75" thickBot="1" x14ac:dyDescent="0.3">
      <c r="A1722">
        <f t="shared" si="27"/>
        <v>53</v>
      </c>
      <c r="B1722" s="10">
        <v>2016</v>
      </c>
      <c r="C1722" s="3" t="s">
        <v>130</v>
      </c>
      <c r="D1722" s="3" t="s">
        <v>6</v>
      </c>
      <c r="E1722" s="4" t="s">
        <v>7</v>
      </c>
      <c r="F1722" s="11" t="s">
        <v>8</v>
      </c>
      <c r="H1722" t="str">
        <f>TRIM(SUBSTITUTE(PROPER(C1722)&amp;" "&amp;IF(OR(D1722="County",D1722="Township",D1722="Village",D1722="Charter Township"),D1722,"")&amp;IF(D1722="Township"," "&amp;"("&amp;VLOOKUP(A1722,counties,3,0)&amp;")",""),"  "," "))</f>
        <v>Mason County</v>
      </c>
    </row>
    <row r="1723" spans="1:8" ht="15.75" thickBot="1" x14ac:dyDescent="0.3">
      <c r="A1723">
        <f t="shared" si="27"/>
        <v>53</v>
      </c>
      <c r="B1723" s="8">
        <v>2016</v>
      </c>
      <c r="C1723" s="1" t="s">
        <v>1515</v>
      </c>
      <c r="D1723" s="1" t="s">
        <v>11</v>
      </c>
      <c r="E1723" s="2" t="s">
        <v>7</v>
      </c>
      <c r="F1723" s="9" t="s">
        <v>8</v>
      </c>
      <c r="H1723" t="str">
        <f>TRIM(SUBSTITUTE(PROPER(C1723)&amp;" "&amp;IF(OR(D1723="County",D1723="Township",D1723="Village",D1723="Charter Township"),D1723,"")&amp;IF(D1723="Township"," "&amp;"("&amp;VLOOKUP(A1723,counties,3,0)&amp;")",""),"  "," "))</f>
        <v>Mason County Road Commission</v>
      </c>
    </row>
    <row r="1724" spans="1:8" ht="15.75" thickBot="1" x14ac:dyDescent="0.3">
      <c r="A1724">
        <f t="shared" si="27"/>
        <v>53</v>
      </c>
      <c r="B1724" s="10">
        <v>2016</v>
      </c>
      <c r="C1724" s="3" t="s">
        <v>1516</v>
      </c>
      <c r="D1724" s="3" t="s">
        <v>17</v>
      </c>
      <c r="E1724" s="4" t="s">
        <v>7</v>
      </c>
      <c r="F1724" s="11" t="s">
        <v>8</v>
      </c>
      <c r="H1724" t="str">
        <f>TRIM(SUBSTITUTE(PROPER(C1724)&amp;" "&amp;IF(OR(D1724="County",D1724="Township",D1724="Village",D1724="Charter Township"),D1724,"")&amp;IF(D1724="Township"," "&amp;"("&amp;VLOOKUP(A1724,counties,3,0)&amp;")",""),"  "," "))</f>
        <v>Mason County Rural Fire Authority</v>
      </c>
    </row>
    <row r="1725" spans="1:8" ht="15.75" thickBot="1" x14ac:dyDescent="0.3">
      <c r="A1725">
        <f t="shared" si="27"/>
        <v>53</v>
      </c>
      <c r="B1725" s="8">
        <v>2016</v>
      </c>
      <c r="C1725" s="1" t="s">
        <v>1517</v>
      </c>
      <c r="D1725" s="1" t="s">
        <v>72</v>
      </c>
      <c r="E1725" s="2" t="s">
        <v>7</v>
      </c>
      <c r="F1725" s="9" t="s">
        <v>8</v>
      </c>
      <c r="H1725" t="str">
        <f>TRIM(SUBSTITUTE(PROPER(C1725)&amp;" "&amp;IF(OR(D1725="County",D1725="Township",D1725="Village",D1725="Charter Township"),D1725,"")&amp;IF(D1725="Township"," "&amp;"("&amp;VLOOKUP(A1725,counties,3,0)&amp;")",""),"  "," "))</f>
        <v>Mason-Oceana 911</v>
      </c>
    </row>
    <row r="1726" spans="1:8" ht="15.75" thickBot="1" x14ac:dyDescent="0.3">
      <c r="A1726">
        <f t="shared" si="27"/>
        <v>53</v>
      </c>
      <c r="B1726" s="10">
        <v>2016</v>
      </c>
      <c r="C1726" s="3" t="s">
        <v>1518</v>
      </c>
      <c r="D1726" s="3" t="s">
        <v>9</v>
      </c>
      <c r="E1726" s="4" t="s">
        <v>7</v>
      </c>
      <c r="F1726" s="11" t="s">
        <v>8</v>
      </c>
      <c r="H1726" t="str">
        <f>TRIM(SUBSTITUTE(PROPER(C1726)&amp;" "&amp;IF(OR(D1726="County",D1726="Township",D1726="Village",D1726="Charter Township"),D1726,"")&amp;IF(D1726="Township"," "&amp;"("&amp;VLOOKUP(A1726,counties,3,0)&amp;")",""),"  "," "))</f>
        <v>Meade Township (Mason County)</v>
      </c>
    </row>
    <row r="1727" spans="1:8" ht="15.75" thickBot="1" x14ac:dyDescent="0.3">
      <c r="A1727">
        <f t="shared" si="27"/>
        <v>53</v>
      </c>
      <c r="B1727" s="8">
        <v>2016</v>
      </c>
      <c r="C1727" s="1" t="s">
        <v>1519</v>
      </c>
      <c r="D1727" s="1" t="s">
        <v>9</v>
      </c>
      <c r="E1727" s="2" t="s">
        <v>7</v>
      </c>
      <c r="F1727" s="9" t="s">
        <v>8</v>
      </c>
      <c r="H1727" t="str">
        <f>TRIM(SUBSTITUTE(PROPER(C1727)&amp;" "&amp;IF(OR(D1727="County",D1727="Township",D1727="Village",D1727="Charter Township"),D1727,"")&amp;IF(D1727="Township"," "&amp;"("&amp;VLOOKUP(A1727,counties,3,0)&amp;")",""),"  "," "))</f>
        <v>Pere Marquette Charter Township (Mason County)</v>
      </c>
    </row>
    <row r="1728" spans="1:8" ht="15.75" thickBot="1" x14ac:dyDescent="0.3">
      <c r="A1728">
        <f t="shared" si="27"/>
        <v>53</v>
      </c>
      <c r="B1728" s="10">
        <v>2016</v>
      </c>
      <c r="C1728" s="3" t="s">
        <v>1520</v>
      </c>
      <c r="D1728" s="3" t="s">
        <v>9</v>
      </c>
      <c r="E1728" s="4" t="s">
        <v>7</v>
      </c>
      <c r="F1728" s="11" t="s">
        <v>8</v>
      </c>
      <c r="H1728" t="str">
        <f>TRIM(SUBSTITUTE(PROPER(C1728)&amp;" "&amp;IF(OR(D1728="County",D1728="Township",D1728="Village",D1728="Charter Township"),D1728,"")&amp;IF(D1728="Township"," "&amp;"("&amp;VLOOKUP(A1728,counties,3,0)&amp;")",""),"  "," "))</f>
        <v>Riverton Township (Mason County)</v>
      </c>
    </row>
    <row r="1729" spans="1:8" ht="15.75" thickBot="1" x14ac:dyDescent="0.3">
      <c r="A1729">
        <f t="shared" si="27"/>
        <v>53</v>
      </c>
      <c r="B1729" s="8">
        <v>2016</v>
      </c>
      <c r="C1729" s="1" t="s">
        <v>1521</v>
      </c>
      <c r="D1729" s="1" t="s">
        <v>15</v>
      </c>
      <c r="E1729" s="2" t="s">
        <v>7</v>
      </c>
      <c r="F1729" s="9" t="s">
        <v>8</v>
      </c>
      <c r="H1729" t="str">
        <f>TRIM(SUBSTITUTE(PROPER(C1729)&amp;" "&amp;IF(OR(D1729="County",D1729="Township",D1729="Village",D1729="Charter Township"),D1729,"")&amp;IF(D1729="Township"," "&amp;"("&amp;VLOOKUP(A1729,counties,3,0)&amp;")",""),"  "," "))</f>
        <v>Scottville</v>
      </c>
    </row>
    <row r="1730" spans="1:8" ht="15.75" thickBot="1" x14ac:dyDescent="0.3">
      <c r="A1730">
        <f t="shared" si="27"/>
        <v>53</v>
      </c>
      <c r="B1730" s="10">
        <v>2016</v>
      </c>
      <c r="C1730" s="3" t="s">
        <v>738</v>
      </c>
      <c r="D1730" s="3" t="s">
        <v>9</v>
      </c>
      <c r="E1730" s="4" t="s">
        <v>7</v>
      </c>
      <c r="F1730" s="11" t="s">
        <v>8</v>
      </c>
      <c r="H1730" t="str">
        <f>TRIM(SUBSTITUTE(PROPER(C1730)&amp;" "&amp;IF(OR(D1730="County",D1730="Township",D1730="Village",D1730="Charter Township"),D1730,"")&amp;IF(D1730="Township"," "&amp;"("&amp;VLOOKUP(A1730,counties,3,0)&amp;")",""),"  "," "))</f>
        <v>Sherman Township (Mason County)</v>
      </c>
    </row>
    <row r="1731" spans="1:8" ht="15.75" thickBot="1" x14ac:dyDescent="0.3">
      <c r="A1731">
        <f t="shared" ref="A1731:A1794" si="28">IF(B1731="Year",A1730+1,A1730)</f>
        <v>53</v>
      </c>
      <c r="B1731" s="8">
        <v>2016</v>
      </c>
      <c r="C1731" s="1" t="s">
        <v>1522</v>
      </c>
      <c r="D1731" s="1" t="s">
        <v>17</v>
      </c>
      <c r="E1731" s="2" t="s">
        <v>7</v>
      </c>
      <c r="F1731" s="9" t="s">
        <v>8</v>
      </c>
      <c r="H1731" t="str">
        <f>TRIM(SUBSTITUTE(PROPER(C1731)&amp;" "&amp;IF(OR(D1731="County",D1731="Township",D1731="Village",D1731="Charter Township"),D1731,"")&amp;IF(D1731="Township"," "&amp;"("&amp;VLOOKUP(A1731,counties,3,0)&amp;")",""),"  "," "))</f>
        <v>West Michigan Community Mental Health System</v>
      </c>
    </row>
    <row r="1732" spans="1:8" ht="15.75" thickBot="1" x14ac:dyDescent="0.3">
      <c r="A1732">
        <f t="shared" si="28"/>
        <v>53</v>
      </c>
      <c r="B1732" s="12">
        <v>2016</v>
      </c>
      <c r="C1732" s="13" t="s">
        <v>1523</v>
      </c>
      <c r="D1732" s="13" t="s">
        <v>17</v>
      </c>
      <c r="E1732" s="14" t="s">
        <v>7</v>
      </c>
      <c r="F1732" s="15" t="s">
        <v>8</v>
      </c>
      <c r="H1732" t="str">
        <f>TRIM(SUBSTITUTE(PROPER(C1732)&amp;" "&amp;IF(OR(D1732="County",D1732="Township",D1732="Village",D1732="Charter Township"),D1732,"")&amp;IF(D1732="Township"," "&amp;"("&amp;VLOOKUP(A1732,counties,3,0)&amp;")",""),"  "," "))</f>
        <v>Western Mason County Fire District Authority</v>
      </c>
    </row>
    <row r="1733" spans="1:8" ht="16.5" thickTop="1" thickBot="1" x14ac:dyDescent="0.3">
      <c r="A1733">
        <f t="shared" si="28"/>
        <v>54</v>
      </c>
      <c r="B1733" s="5" t="s">
        <v>0</v>
      </c>
      <c r="C1733" s="6" t="s">
        <v>1</v>
      </c>
      <c r="D1733" s="6" t="s">
        <v>2</v>
      </c>
      <c r="E1733" s="6" t="s">
        <v>3</v>
      </c>
      <c r="F1733" s="7" t="s">
        <v>4</v>
      </c>
      <c r="H1733" t="str">
        <f>TRIM(SUBSTITUTE(PROPER(C1733)&amp;" "&amp;IF(OR(D1733="County",D1733="Township",D1733="Village",D1733="Charter Township"),D1733,"")&amp;IF(D1733="Township"," "&amp;"("&amp;VLOOKUP(A1733,counties,3,0)&amp;")",""),"  "," "))</f>
        <v>Municipality</v>
      </c>
    </row>
    <row r="1734" spans="1:8" ht="15.75" thickBot="1" x14ac:dyDescent="0.3">
      <c r="A1734">
        <f t="shared" si="28"/>
        <v>54</v>
      </c>
      <c r="B1734" s="8">
        <v>2016</v>
      </c>
      <c r="C1734" s="1" t="s">
        <v>1524</v>
      </c>
      <c r="D1734" s="1" t="s">
        <v>9</v>
      </c>
      <c r="E1734" s="2" t="s">
        <v>7</v>
      </c>
      <c r="F1734" s="9" t="s">
        <v>8</v>
      </c>
      <c r="H1734" t="str">
        <f>TRIM(SUBSTITUTE(PROPER(C1734)&amp;" "&amp;IF(OR(D1734="County",D1734="Township",D1734="Village",D1734="Charter Township"),D1734,"")&amp;IF(D1734="Township"," "&amp;"("&amp;VLOOKUP(A1734,counties,3,0)&amp;")",""),"  "," "))</f>
        <v>Austin Township (Mecosta County)</v>
      </c>
    </row>
    <row r="1735" spans="1:8" ht="15.75" thickBot="1" x14ac:dyDescent="0.3">
      <c r="A1735">
        <f t="shared" si="28"/>
        <v>54</v>
      </c>
      <c r="B1735" s="10">
        <v>2016</v>
      </c>
      <c r="C1735" s="3" t="s">
        <v>1525</v>
      </c>
      <c r="D1735" s="3" t="s">
        <v>21</v>
      </c>
      <c r="E1735" s="4" t="s">
        <v>7</v>
      </c>
      <c r="F1735" s="11" t="s">
        <v>8</v>
      </c>
      <c r="H1735" t="str">
        <f>TRIM(SUBSTITUTE(PROPER(C1735)&amp;" "&amp;IF(OR(D1735="County",D1735="Township",D1735="Village",D1735="Charter Township"),D1735,"")&amp;IF(D1735="Township"," "&amp;"("&amp;VLOOKUP(A1735,counties,3,0)&amp;")",""),"  "," "))</f>
        <v>Barryton Village</v>
      </c>
    </row>
    <row r="1736" spans="1:8" ht="15.75" thickBot="1" x14ac:dyDescent="0.3">
      <c r="A1736">
        <f t="shared" si="28"/>
        <v>54</v>
      </c>
      <c r="B1736" s="8">
        <v>2016</v>
      </c>
      <c r="C1736" s="1" t="s">
        <v>1526</v>
      </c>
      <c r="D1736" s="1" t="s">
        <v>15</v>
      </c>
      <c r="E1736" s="2" t="s">
        <v>7</v>
      </c>
      <c r="F1736" s="9" t="s">
        <v>8</v>
      </c>
      <c r="H1736" t="str">
        <f>TRIM(SUBSTITUTE(PROPER(C1736)&amp;" "&amp;IF(OR(D1736="County",D1736="Township",D1736="Village",D1736="Charter Township"),D1736,"")&amp;IF(D1736="Township"," "&amp;"("&amp;VLOOKUP(A1736,counties,3,0)&amp;")",""),"  "," "))</f>
        <v>Big Rapids</v>
      </c>
    </row>
    <row r="1737" spans="1:8" ht="15.75" thickBot="1" x14ac:dyDescent="0.3">
      <c r="A1737">
        <f t="shared" si="28"/>
        <v>54</v>
      </c>
      <c r="B1737" s="10">
        <v>2016</v>
      </c>
      <c r="C1737" s="3" t="s">
        <v>1527</v>
      </c>
      <c r="D1737" s="3" t="s">
        <v>9</v>
      </c>
      <c r="E1737" s="4" t="s">
        <v>7</v>
      </c>
      <c r="F1737" s="11" t="s">
        <v>8</v>
      </c>
      <c r="H1737" t="str">
        <f>TRIM(SUBSTITUTE(PROPER(C1737)&amp;" "&amp;IF(OR(D1737="County",D1737="Township",D1737="Village",D1737="Charter Township"),D1737,"")&amp;IF(D1737="Township"," "&amp;"("&amp;VLOOKUP(A1737,counties,3,0)&amp;")",""),"  "," "))</f>
        <v>Big Rapids Charter Township (Mecosta County)</v>
      </c>
    </row>
    <row r="1738" spans="1:8" ht="15.75" thickBot="1" x14ac:dyDescent="0.3">
      <c r="A1738">
        <f t="shared" si="28"/>
        <v>54</v>
      </c>
      <c r="B1738" s="8">
        <v>2016</v>
      </c>
      <c r="C1738" s="1" t="s">
        <v>1528</v>
      </c>
      <c r="D1738" s="1" t="s">
        <v>17</v>
      </c>
      <c r="E1738" s="2" t="s">
        <v>7</v>
      </c>
      <c r="F1738" s="9" t="s">
        <v>8</v>
      </c>
      <c r="H1738" t="str">
        <f>TRIM(SUBSTITUTE(PROPER(C1738)&amp;" "&amp;IF(OR(D1738="County",D1738="Township",D1738="Village",D1738="Charter Township"),D1738,"")&amp;IF(D1738="Township"," "&amp;"("&amp;VLOOKUP(A1738,counties,3,0)&amp;")",""),"  "," "))</f>
        <v>Big Rapids City Housing Commission</v>
      </c>
    </row>
    <row r="1739" spans="1:8" ht="15.75" thickBot="1" x14ac:dyDescent="0.3">
      <c r="A1739">
        <f t="shared" si="28"/>
        <v>54</v>
      </c>
      <c r="B1739" s="10">
        <v>2016</v>
      </c>
      <c r="C1739" s="3" t="s">
        <v>464</v>
      </c>
      <c r="D1739" s="3" t="s">
        <v>9</v>
      </c>
      <c r="E1739" s="4" t="s">
        <v>7</v>
      </c>
      <c r="F1739" s="11" t="s">
        <v>8</v>
      </c>
      <c r="H1739" t="str">
        <f>TRIM(SUBSTITUTE(PROPER(C1739)&amp;" "&amp;IF(OR(D1739="County",D1739="Township",D1739="Village",D1739="Charter Township"),D1739,"")&amp;IF(D1739="Township"," "&amp;"("&amp;VLOOKUP(A1739,counties,3,0)&amp;")",""),"  "," "))</f>
        <v>Chippewa Township (Mecosta County)</v>
      </c>
    </row>
    <row r="1740" spans="1:8" ht="15.75" thickBot="1" x14ac:dyDescent="0.3">
      <c r="A1740">
        <f t="shared" si="28"/>
        <v>54</v>
      </c>
      <c r="B1740" s="8">
        <v>2016</v>
      </c>
      <c r="C1740" s="1" t="s">
        <v>1529</v>
      </c>
      <c r="D1740" s="1" t="s">
        <v>17</v>
      </c>
      <c r="E1740" s="2" t="s">
        <v>7</v>
      </c>
      <c r="F1740" s="9" t="s">
        <v>8</v>
      </c>
      <c r="H1740" t="str">
        <f>TRIM(SUBSTITUTE(PROPER(C1740)&amp;" "&amp;IF(OR(D1740="County",D1740="Township",D1740="Village",D1740="Charter Township"),D1740,"")&amp;IF(D1740="Township"," "&amp;"("&amp;VLOOKUP(A1740,counties,3,0)&amp;")",""),"  "," "))</f>
        <v>Chippewa Martiny Fire Department</v>
      </c>
    </row>
    <row r="1741" spans="1:8" ht="15.75" thickBot="1" x14ac:dyDescent="0.3">
      <c r="A1741">
        <f t="shared" si="28"/>
        <v>54</v>
      </c>
      <c r="B1741" s="10">
        <v>2016</v>
      </c>
      <c r="C1741" s="3" t="s">
        <v>884</v>
      </c>
      <c r="D1741" s="3" t="s">
        <v>9</v>
      </c>
      <c r="E1741" s="4" t="s">
        <v>7</v>
      </c>
      <c r="F1741" s="11" t="s">
        <v>19</v>
      </c>
      <c r="H1741" t="str">
        <f>TRIM(SUBSTITUTE(PROPER(C1741)&amp;" "&amp;IF(OR(D1741="County",D1741="Township",D1741="Village",D1741="Charter Township"),D1741,"")&amp;IF(D1741="Township"," "&amp;"("&amp;VLOOKUP(A1741,counties,3,0)&amp;")",""),"  "," "))</f>
        <v>Colfax Township (Mecosta County)</v>
      </c>
    </row>
    <row r="1742" spans="1:8" ht="15.75" thickBot="1" x14ac:dyDescent="0.3">
      <c r="A1742">
        <f t="shared" si="28"/>
        <v>54</v>
      </c>
      <c r="B1742" s="8">
        <v>2016</v>
      </c>
      <c r="C1742" s="1" t="s">
        <v>1054</v>
      </c>
      <c r="D1742" s="1" t="s">
        <v>9</v>
      </c>
      <c r="E1742" s="2" t="s">
        <v>7</v>
      </c>
      <c r="F1742" s="9" t="s">
        <v>8</v>
      </c>
      <c r="H1742" t="str">
        <f>TRIM(SUBSTITUTE(PROPER(C1742)&amp;" "&amp;IF(OR(D1742="County",D1742="Township",D1742="Village",D1742="Charter Township"),D1742,"")&amp;IF(D1742="Township"," "&amp;"("&amp;VLOOKUP(A1742,counties,3,0)&amp;")",""),"  "," "))</f>
        <v>Deerfield Township (Mecosta County)</v>
      </c>
    </row>
    <row r="1743" spans="1:8" ht="15.75" thickBot="1" x14ac:dyDescent="0.3">
      <c r="A1743">
        <f t="shared" si="28"/>
        <v>54</v>
      </c>
      <c r="B1743" s="10">
        <v>2016</v>
      </c>
      <c r="C1743" s="3" t="s">
        <v>1530</v>
      </c>
      <c r="D1743" s="3" t="s">
        <v>9</v>
      </c>
      <c r="E1743" s="4" t="s">
        <v>7</v>
      </c>
      <c r="F1743" s="11" t="s">
        <v>8</v>
      </c>
      <c r="H1743" t="str">
        <f>TRIM(SUBSTITUTE(PROPER(C1743)&amp;" "&amp;IF(OR(D1743="County",D1743="Township",D1743="Village",D1743="Charter Township"),D1743,"")&amp;IF(D1743="Township"," "&amp;"("&amp;VLOOKUP(A1743,counties,3,0)&amp;")",""),"  "," "))</f>
        <v>Fork Township (Mecosta County)</v>
      </c>
    </row>
    <row r="1744" spans="1:8" ht="15.75" thickBot="1" x14ac:dyDescent="0.3">
      <c r="A1744">
        <f t="shared" si="28"/>
        <v>54</v>
      </c>
      <c r="B1744" s="8">
        <v>2016</v>
      </c>
      <c r="C1744" s="1" t="s">
        <v>1531</v>
      </c>
      <c r="D1744" s="1" t="s">
        <v>9</v>
      </c>
      <c r="E1744" s="2" t="s">
        <v>7</v>
      </c>
      <c r="F1744" s="9" t="s">
        <v>19</v>
      </c>
      <c r="H1744" t="str">
        <f>TRIM(SUBSTITUTE(PROPER(C1744)&amp;" "&amp;IF(OR(D1744="County",D1744="Township",D1744="Village",D1744="Charter Township"),D1744,"")&amp;IF(D1744="Township"," "&amp;"("&amp;VLOOKUP(A1744,counties,3,0)&amp;")",""),"  "," "))</f>
        <v>Green Charter Township (Mecosta County)</v>
      </c>
    </row>
    <row r="1745" spans="1:8" ht="21.75" thickBot="1" x14ac:dyDescent="0.3">
      <c r="A1745">
        <f t="shared" si="28"/>
        <v>54</v>
      </c>
      <c r="B1745" s="10">
        <v>2016</v>
      </c>
      <c r="C1745" s="3" t="s">
        <v>1532</v>
      </c>
      <c r="D1745" s="3" t="s">
        <v>17</v>
      </c>
      <c r="E1745" s="4" t="s">
        <v>7</v>
      </c>
      <c r="F1745" s="11" t="s">
        <v>8</v>
      </c>
      <c r="H1745" t="str">
        <f>TRIM(SUBSTITUTE(PROPER(C1745)&amp;" "&amp;IF(OR(D1745="County",D1745="Township",D1745="Village",D1745="Charter Township"),D1745,"")&amp;IF(D1745="Township"," "&amp;"("&amp;VLOOKUP(A1745,counties,3,0)&amp;")",""),"  "," "))</f>
        <v>Meceola Consolidated Central Dispatch Authority</v>
      </c>
    </row>
    <row r="1746" spans="1:8" ht="15.75" thickBot="1" x14ac:dyDescent="0.3">
      <c r="A1746">
        <f t="shared" si="28"/>
        <v>54</v>
      </c>
      <c r="B1746" s="8">
        <v>2016</v>
      </c>
      <c r="C1746" s="1" t="s">
        <v>1533</v>
      </c>
      <c r="D1746" s="1" t="s">
        <v>6</v>
      </c>
      <c r="E1746" s="2" t="s">
        <v>7</v>
      </c>
      <c r="F1746" s="9" t="s">
        <v>8</v>
      </c>
      <c r="H1746" t="str">
        <f>TRIM(SUBSTITUTE(PROPER(C1746)&amp;" "&amp;IF(OR(D1746="County",D1746="Township",D1746="Village",D1746="Charter Township"),D1746,"")&amp;IF(D1746="Township"," "&amp;"("&amp;VLOOKUP(A1746,counties,3,0)&amp;")",""),"  "," "))</f>
        <v>Mecosta County</v>
      </c>
    </row>
    <row r="1747" spans="1:8" ht="15.75" thickBot="1" x14ac:dyDescent="0.3">
      <c r="A1747">
        <f t="shared" si="28"/>
        <v>54</v>
      </c>
      <c r="B1747" s="10">
        <v>2016</v>
      </c>
      <c r="C1747" s="3" t="s">
        <v>1533</v>
      </c>
      <c r="D1747" s="3" t="s">
        <v>9</v>
      </c>
      <c r="E1747" s="4" t="s">
        <v>7</v>
      </c>
      <c r="F1747" s="11" t="s">
        <v>8</v>
      </c>
      <c r="H1747" t="str">
        <f>TRIM(SUBSTITUTE(PROPER(C1747)&amp;" "&amp;IF(OR(D1747="County",D1747="Township",D1747="Village",D1747="Charter Township"),D1747,"")&amp;IF(D1747="Township"," "&amp;"("&amp;VLOOKUP(A1747,counties,3,0)&amp;")",""),"  "," "))</f>
        <v>Mecosta Township (Mecosta County)</v>
      </c>
    </row>
    <row r="1748" spans="1:8" ht="15.75" thickBot="1" x14ac:dyDescent="0.3">
      <c r="A1748">
        <f t="shared" si="28"/>
        <v>54</v>
      </c>
      <c r="B1748" s="8">
        <v>2016</v>
      </c>
      <c r="C1748" s="1" t="s">
        <v>1533</v>
      </c>
      <c r="D1748" s="1" t="s">
        <v>21</v>
      </c>
      <c r="E1748" s="2" t="s">
        <v>7</v>
      </c>
      <c r="F1748" s="9" t="s">
        <v>8</v>
      </c>
      <c r="H1748" t="str">
        <f>TRIM(SUBSTITUTE(PROPER(C1748)&amp;" "&amp;IF(OR(D1748="County",D1748="Township",D1748="Village",D1748="Charter Township"),D1748,"")&amp;IF(D1748="Township"," "&amp;"("&amp;VLOOKUP(A1748,counties,3,0)&amp;")",""),"  "," "))</f>
        <v>Mecosta Village</v>
      </c>
    </row>
    <row r="1749" spans="1:8" ht="15.75" thickBot="1" x14ac:dyDescent="0.3">
      <c r="A1749">
        <f t="shared" si="28"/>
        <v>54</v>
      </c>
      <c r="B1749" s="10">
        <v>2016</v>
      </c>
      <c r="C1749" s="3" t="s">
        <v>1534</v>
      </c>
      <c r="D1749" s="3" t="s">
        <v>11</v>
      </c>
      <c r="E1749" s="4" t="s">
        <v>7</v>
      </c>
      <c r="F1749" s="11" t="s">
        <v>8</v>
      </c>
      <c r="H1749" t="str">
        <f>TRIM(SUBSTITUTE(PROPER(C1749)&amp;" "&amp;IF(OR(D1749="County",D1749="Township",D1749="Village",D1749="Charter Township"),D1749,"")&amp;IF(D1749="Township"," "&amp;"("&amp;VLOOKUP(A1749,counties,3,0)&amp;")",""),"  "," "))</f>
        <v>Mecosta County Road Commission</v>
      </c>
    </row>
    <row r="1750" spans="1:8" ht="15.75" thickBot="1" x14ac:dyDescent="0.3">
      <c r="A1750">
        <f t="shared" si="28"/>
        <v>54</v>
      </c>
      <c r="B1750" s="8">
        <v>2016</v>
      </c>
      <c r="C1750" s="1" t="s">
        <v>1535</v>
      </c>
      <c r="D1750" s="1" t="s">
        <v>17</v>
      </c>
      <c r="E1750" s="2" t="s">
        <v>7</v>
      </c>
      <c r="F1750" s="9" t="s">
        <v>8</v>
      </c>
      <c r="H1750" t="str">
        <f>TRIM(SUBSTITUTE(PROPER(C1750)&amp;" "&amp;IF(OR(D1750="County",D1750="Township",D1750="Village",D1750="Charter Township"),D1750,"")&amp;IF(D1750="Township"," "&amp;"("&amp;VLOOKUP(A1750,counties,3,0)&amp;")",""),"  "," "))</f>
        <v>Mecosta Osceola Transit Authority</v>
      </c>
    </row>
    <row r="1751" spans="1:8" ht="15.75" thickBot="1" x14ac:dyDescent="0.3">
      <c r="A1751">
        <f t="shared" si="28"/>
        <v>54</v>
      </c>
      <c r="B1751" s="10">
        <v>2016</v>
      </c>
      <c r="C1751" s="3" t="s">
        <v>1536</v>
      </c>
      <c r="D1751" s="3" t="s">
        <v>9</v>
      </c>
      <c r="E1751" s="4" t="s">
        <v>7</v>
      </c>
      <c r="F1751" s="11" t="s">
        <v>19</v>
      </c>
      <c r="H1751" t="str">
        <f>TRIM(SUBSTITUTE(PROPER(C1751)&amp;" "&amp;IF(OR(D1751="County",D1751="Township",D1751="Village",D1751="Charter Township"),D1751,"")&amp;IF(D1751="Township"," "&amp;"("&amp;VLOOKUP(A1751,counties,3,0)&amp;")",""),"  "," "))</f>
        <v>Millbrook Township (Mecosta County)</v>
      </c>
    </row>
    <row r="1752" spans="1:8" ht="15.75" thickBot="1" x14ac:dyDescent="0.3">
      <c r="A1752">
        <f t="shared" si="28"/>
        <v>54</v>
      </c>
      <c r="B1752" s="8">
        <v>2016</v>
      </c>
      <c r="C1752" s="1" t="s">
        <v>1537</v>
      </c>
      <c r="D1752" s="1" t="s">
        <v>17</v>
      </c>
      <c r="E1752" s="2" t="s">
        <v>7</v>
      </c>
      <c r="F1752" s="9" t="s">
        <v>8</v>
      </c>
      <c r="H1752" t="str">
        <f>TRIM(SUBSTITUTE(PROPER(C1752)&amp;" "&amp;IF(OR(D1752="County",D1752="Township",D1752="Village",D1752="Charter Township"),D1752,"")&amp;IF(D1752="Township"," "&amp;"("&amp;VLOOKUP(A1752,counties,3,0)&amp;")",""),"  "," "))</f>
        <v>Millbrook-Rolland Twps Fire Department</v>
      </c>
    </row>
    <row r="1753" spans="1:8" ht="15.75" thickBot="1" x14ac:dyDescent="0.3">
      <c r="A1753">
        <f t="shared" si="28"/>
        <v>54</v>
      </c>
      <c r="B1753" s="10">
        <v>2016</v>
      </c>
      <c r="C1753" s="3" t="s">
        <v>1538</v>
      </c>
      <c r="D1753" s="3" t="s">
        <v>17</v>
      </c>
      <c r="E1753" s="4" t="s">
        <v>7</v>
      </c>
      <c r="F1753" s="11" t="s">
        <v>8</v>
      </c>
      <c r="H1753" t="str">
        <f>TRIM(SUBSTITUTE(PROPER(C1753)&amp;" "&amp;IF(OR(D1753="County",D1753="Township",D1753="Village",D1753="Charter Township"),D1753,"")&amp;IF(D1753="Township"," "&amp;"("&amp;VLOOKUP(A1753,counties,3,0)&amp;")",""),"  "," "))</f>
        <v>Morley Area Fire Department</v>
      </c>
    </row>
    <row r="1754" spans="1:8" ht="15.75" thickBot="1" x14ac:dyDescent="0.3">
      <c r="A1754">
        <f t="shared" si="28"/>
        <v>54</v>
      </c>
      <c r="B1754" s="8">
        <v>2016</v>
      </c>
      <c r="C1754" s="1" t="s">
        <v>1539</v>
      </c>
      <c r="D1754" s="1" t="s">
        <v>9</v>
      </c>
      <c r="E1754" s="2" t="s">
        <v>7</v>
      </c>
      <c r="F1754" s="9" t="s">
        <v>8</v>
      </c>
      <c r="H1754" t="str">
        <f>TRIM(SUBSTITUTE(PROPER(C1754)&amp;" "&amp;IF(OR(D1754="County",D1754="Township",D1754="Village",D1754="Charter Township"),D1754,"")&amp;IF(D1754="Township"," "&amp;"("&amp;VLOOKUP(A1754,counties,3,0)&amp;")",""),"  "," "))</f>
        <v>Morton Township (Mecosta County)</v>
      </c>
    </row>
    <row r="1755" spans="1:8" ht="15.75" thickBot="1" x14ac:dyDescent="0.3">
      <c r="A1755">
        <f t="shared" si="28"/>
        <v>54</v>
      </c>
      <c r="B1755" s="10">
        <v>2016</v>
      </c>
      <c r="C1755" s="3" t="s">
        <v>374</v>
      </c>
      <c r="D1755" s="3" t="s">
        <v>9</v>
      </c>
      <c r="E1755" s="4" t="s">
        <v>7</v>
      </c>
      <c r="F1755" s="11" t="s">
        <v>8</v>
      </c>
      <c r="H1755" t="str">
        <f>TRIM(SUBSTITUTE(PROPER(C1755)&amp;" "&amp;IF(OR(D1755="County",D1755="Township",D1755="Village",D1755="Charter Township"),D1755,"")&amp;IF(D1755="Township"," "&amp;"("&amp;VLOOKUP(A1755,counties,3,0)&amp;")",""),"  "," "))</f>
        <v>Sheridan Township (Mecosta County)</v>
      </c>
    </row>
    <row r="1756" spans="1:8" ht="15.75" thickBot="1" x14ac:dyDescent="0.3">
      <c r="A1756">
        <f t="shared" si="28"/>
        <v>54</v>
      </c>
      <c r="B1756" s="8">
        <v>2016</v>
      </c>
      <c r="C1756" s="1" t="s">
        <v>1540</v>
      </c>
      <c r="D1756" s="1" t="s">
        <v>21</v>
      </c>
      <c r="E1756" s="2" t="s">
        <v>7</v>
      </c>
      <c r="F1756" s="9" t="s">
        <v>19</v>
      </c>
      <c r="H1756" t="str">
        <f>TRIM(SUBSTITUTE(PROPER(C1756)&amp;" "&amp;IF(OR(D1756="County",D1756="Township",D1756="Village",D1756="Charter Township"),D1756,"")&amp;IF(D1756="Township"," "&amp;"("&amp;VLOOKUP(A1756,counties,3,0)&amp;")",""),"  "," "))</f>
        <v>Stanwood Village</v>
      </c>
    </row>
    <row r="1757" spans="1:8" ht="21.75" thickBot="1" x14ac:dyDescent="0.3">
      <c r="A1757">
        <f t="shared" si="28"/>
        <v>54</v>
      </c>
      <c r="B1757" s="12">
        <v>2016</v>
      </c>
      <c r="C1757" s="13" t="s">
        <v>1541</v>
      </c>
      <c r="D1757" s="13" t="s">
        <v>17</v>
      </c>
      <c r="E1757" s="14" t="s">
        <v>7</v>
      </c>
      <c r="F1757" s="15" t="s">
        <v>8</v>
      </c>
      <c r="H1757" t="str">
        <f>TRIM(SUBSTITUTE(PROPER(C1757)&amp;" "&amp;IF(OR(D1757="County",D1757="Township",D1757="Village",D1757="Charter Township"),D1757,"")&amp;IF(D1757="Township"," "&amp;"("&amp;VLOOKUP(A1757,counties,3,0)&amp;")",""),"  "," "))</f>
        <v>West Central Mi Employment &amp; Training Consortium</v>
      </c>
    </row>
    <row r="1758" spans="1:8" ht="16.5" thickTop="1" thickBot="1" x14ac:dyDescent="0.3">
      <c r="A1758">
        <f t="shared" si="28"/>
        <v>55</v>
      </c>
      <c r="B1758" s="5" t="s">
        <v>0</v>
      </c>
      <c r="C1758" s="6" t="s">
        <v>1</v>
      </c>
      <c r="D1758" s="6" t="s">
        <v>2</v>
      </c>
      <c r="E1758" s="6" t="s">
        <v>3</v>
      </c>
      <c r="F1758" s="7" t="s">
        <v>4</v>
      </c>
      <c r="H1758" t="str">
        <f>TRIM(SUBSTITUTE(PROPER(C1758)&amp;" "&amp;IF(OR(D1758="County",D1758="Township",D1758="Village",D1758="Charter Township"),D1758,"")&amp;IF(D1758="Township"," "&amp;"("&amp;VLOOKUP(A1758,counties,3,0)&amp;")",""),"  "," "))</f>
        <v>Municipality</v>
      </c>
    </row>
    <row r="1759" spans="1:8" ht="15.75" thickBot="1" x14ac:dyDescent="0.3">
      <c r="A1759">
        <f t="shared" si="28"/>
        <v>55</v>
      </c>
      <c r="B1759" s="8">
        <v>2016</v>
      </c>
      <c r="C1759" s="1" t="s">
        <v>1542</v>
      </c>
      <c r="D1759" s="1" t="s">
        <v>9</v>
      </c>
      <c r="E1759" s="2" t="s">
        <v>7</v>
      </c>
      <c r="F1759" s="9" t="s">
        <v>8</v>
      </c>
      <c r="H1759" t="str">
        <f>TRIM(SUBSTITUTE(PROPER(C1759)&amp;" "&amp;IF(OR(D1759="County",D1759="Township",D1759="Village",D1759="Charter Township"),D1759,"")&amp;IF(D1759="Township"," "&amp;"("&amp;VLOOKUP(A1759,counties,3,0)&amp;")",""),"  "," "))</f>
        <v>Daggett Township (Menominee County)</v>
      </c>
    </row>
    <row r="1760" spans="1:8" ht="15.75" thickBot="1" x14ac:dyDescent="0.3">
      <c r="A1760">
        <f t="shared" si="28"/>
        <v>55</v>
      </c>
      <c r="B1760" s="10">
        <v>2016</v>
      </c>
      <c r="C1760" s="3" t="s">
        <v>1543</v>
      </c>
      <c r="D1760" s="3" t="s">
        <v>9</v>
      </c>
      <c r="E1760" s="4" t="s">
        <v>7</v>
      </c>
      <c r="F1760" s="11" t="s">
        <v>8</v>
      </c>
      <c r="H1760" t="str">
        <f>TRIM(SUBSTITUTE(PROPER(C1760)&amp;" "&amp;IF(OR(D1760="County",D1760="Township",D1760="Village",D1760="Charter Township"),D1760,"")&amp;IF(D1760="Township"," "&amp;"("&amp;VLOOKUP(A1760,counties,3,0)&amp;")",""),"  "," "))</f>
        <v>Gourley Township (Menominee County)</v>
      </c>
    </row>
    <row r="1761" spans="1:8" ht="15.75" thickBot="1" x14ac:dyDescent="0.3">
      <c r="A1761">
        <f t="shared" si="28"/>
        <v>55</v>
      </c>
      <c r="B1761" s="8">
        <v>2016</v>
      </c>
      <c r="C1761" s="1" t="s">
        <v>1544</v>
      </c>
      <c r="D1761" s="1" t="s">
        <v>9</v>
      </c>
      <c r="E1761" s="2" t="s">
        <v>7</v>
      </c>
      <c r="F1761" s="9" t="s">
        <v>8</v>
      </c>
      <c r="H1761" t="str">
        <f>TRIM(SUBSTITUTE(PROPER(C1761)&amp;" "&amp;IF(OR(D1761="County",D1761="Township",D1761="Village",D1761="Charter Township"),D1761,"")&amp;IF(D1761="Township"," "&amp;"("&amp;VLOOKUP(A1761,counties,3,0)&amp;")",""),"  "," "))</f>
        <v>Harris Township (Menominee County)</v>
      </c>
    </row>
    <row r="1762" spans="1:8" ht="15.75" thickBot="1" x14ac:dyDescent="0.3">
      <c r="A1762">
        <f t="shared" si="28"/>
        <v>55</v>
      </c>
      <c r="B1762" s="10">
        <v>2016</v>
      </c>
      <c r="C1762" s="3" t="s">
        <v>1545</v>
      </c>
      <c r="D1762" s="3" t="s">
        <v>17</v>
      </c>
      <c r="E1762" s="4" t="s">
        <v>7</v>
      </c>
      <c r="F1762" s="11" t="s">
        <v>8</v>
      </c>
      <c r="H1762" t="str">
        <f>TRIM(SUBSTITUTE(PROPER(C1762)&amp;" "&amp;IF(OR(D1762="County",D1762="Township",D1762="Village",D1762="Charter Township"),D1762,"")&amp;IF(D1762="Township"," "&amp;"("&amp;VLOOKUP(A1762,counties,3,0)&amp;")",""),"  "," "))</f>
        <v>Hermansville Housing Commission</v>
      </c>
    </row>
    <row r="1763" spans="1:8" ht="15.75" thickBot="1" x14ac:dyDescent="0.3">
      <c r="A1763">
        <f t="shared" si="28"/>
        <v>55</v>
      </c>
      <c r="B1763" s="8">
        <v>2016</v>
      </c>
      <c r="C1763" s="1" t="s">
        <v>1546</v>
      </c>
      <c r="D1763" s="1" t="s">
        <v>9</v>
      </c>
      <c r="E1763" s="2" t="s">
        <v>7</v>
      </c>
      <c r="F1763" s="9" t="s">
        <v>8</v>
      </c>
      <c r="H1763" t="str">
        <f>TRIM(SUBSTITUTE(PROPER(C1763)&amp;" "&amp;IF(OR(D1763="County",D1763="Township",D1763="Village",D1763="Charter Township"),D1763,"")&amp;IF(D1763="Township"," "&amp;"("&amp;VLOOKUP(A1763,counties,3,0)&amp;")",""),"  "," "))</f>
        <v>Holmes Township (Menominee County)</v>
      </c>
    </row>
    <row r="1764" spans="1:8" ht="15.75" thickBot="1" x14ac:dyDescent="0.3">
      <c r="A1764">
        <f t="shared" si="28"/>
        <v>55</v>
      </c>
      <c r="B1764" s="10">
        <v>2016</v>
      </c>
      <c r="C1764" s="3" t="s">
        <v>1547</v>
      </c>
      <c r="D1764" s="3" t="s">
        <v>9</v>
      </c>
      <c r="E1764" s="4" t="s">
        <v>7</v>
      </c>
      <c r="F1764" s="11" t="s">
        <v>19</v>
      </c>
      <c r="H1764" t="str">
        <f>TRIM(SUBSTITUTE(PROPER(C1764)&amp;" "&amp;IF(OR(D1764="County",D1764="Township",D1764="Village",D1764="Charter Township"),D1764,"")&amp;IF(D1764="Township"," "&amp;"("&amp;VLOOKUP(A1764,counties,3,0)&amp;")",""),"  "," "))</f>
        <v>Ingallston Township (Menominee County)</v>
      </c>
    </row>
    <row r="1765" spans="1:8" ht="15.75" thickBot="1" x14ac:dyDescent="0.3">
      <c r="A1765">
        <f t="shared" si="28"/>
        <v>55</v>
      </c>
      <c r="B1765" s="8">
        <v>2016</v>
      </c>
      <c r="C1765" s="1" t="s">
        <v>1548</v>
      </c>
      <c r="D1765" s="1" t="s">
        <v>15</v>
      </c>
      <c r="E1765" s="2" t="s">
        <v>7</v>
      </c>
      <c r="F1765" s="9" t="s">
        <v>8</v>
      </c>
      <c r="H1765" t="str">
        <f>TRIM(SUBSTITUTE(PROPER(C1765)&amp;" "&amp;IF(OR(D1765="County",D1765="Township",D1765="Village",D1765="Charter Township"),D1765,"")&amp;IF(D1765="Township"," "&amp;"("&amp;VLOOKUP(A1765,counties,3,0)&amp;")",""),"  "," "))</f>
        <v>Menominee</v>
      </c>
    </row>
    <row r="1766" spans="1:8" ht="15.75" thickBot="1" x14ac:dyDescent="0.3">
      <c r="A1766">
        <f t="shared" si="28"/>
        <v>55</v>
      </c>
      <c r="B1766" s="10">
        <v>2016</v>
      </c>
      <c r="C1766" s="3" t="s">
        <v>1548</v>
      </c>
      <c r="D1766" s="3" t="s">
        <v>6</v>
      </c>
      <c r="E1766" s="4" t="s">
        <v>7</v>
      </c>
      <c r="F1766" s="11" t="s">
        <v>8</v>
      </c>
      <c r="H1766" t="str">
        <f>TRIM(SUBSTITUTE(PROPER(C1766)&amp;" "&amp;IF(OR(D1766="County",D1766="Township",D1766="Village",D1766="Charter Township"),D1766,"")&amp;IF(D1766="Township"," "&amp;"("&amp;VLOOKUP(A1766,counties,3,0)&amp;")",""),"  "," "))</f>
        <v>Menominee County</v>
      </c>
    </row>
    <row r="1767" spans="1:8" ht="15.75" thickBot="1" x14ac:dyDescent="0.3">
      <c r="A1767">
        <f t="shared" si="28"/>
        <v>55</v>
      </c>
      <c r="B1767" s="8">
        <v>2016</v>
      </c>
      <c r="C1767" s="1" t="s">
        <v>1548</v>
      </c>
      <c r="D1767" s="1" t="s">
        <v>9</v>
      </c>
      <c r="E1767" s="2" t="s">
        <v>7</v>
      </c>
      <c r="F1767" s="9" t="s">
        <v>8</v>
      </c>
      <c r="H1767" t="str">
        <f>TRIM(SUBSTITUTE(PROPER(C1767)&amp;" "&amp;IF(OR(D1767="County",D1767="Township",D1767="Village",D1767="Charter Township"),D1767,"")&amp;IF(D1767="Township"," "&amp;"("&amp;VLOOKUP(A1767,counties,3,0)&amp;")",""),"  "," "))</f>
        <v>Menominee Township (Menominee County)</v>
      </c>
    </row>
    <row r="1768" spans="1:8" ht="15.75" thickBot="1" x14ac:dyDescent="0.3">
      <c r="A1768">
        <f t="shared" si="28"/>
        <v>55</v>
      </c>
      <c r="B1768" s="10">
        <v>2016</v>
      </c>
      <c r="C1768" s="3" t="s">
        <v>1549</v>
      </c>
      <c r="D1768" s="3" t="s">
        <v>17</v>
      </c>
      <c r="E1768" s="4" t="s">
        <v>7</v>
      </c>
      <c r="F1768" s="11" t="s">
        <v>8</v>
      </c>
      <c r="H1768" t="str">
        <f>TRIM(SUBSTITUTE(PROPER(C1768)&amp;" "&amp;IF(OR(D1768="County",D1768="Township",D1768="Village",D1768="Charter Township"),D1768,"")&amp;IF(D1768="Township"," "&amp;"("&amp;VLOOKUP(A1768,counties,3,0)&amp;")",""),"  "," "))</f>
        <v>Menominee &amp; Ingallston Twps Fire Department</v>
      </c>
    </row>
    <row r="1769" spans="1:8" ht="15.75" thickBot="1" x14ac:dyDescent="0.3">
      <c r="A1769">
        <f t="shared" si="28"/>
        <v>55</v>
      </c>
      <c r="B1769" s="8">
        <v>2016</v>
      </c>
      <c r="C1769" s="1" t="s">
        <v>1550</v>
      </c>
      <c r="D1769" s="1" t="s">
        <v>17</v>
      </c>
      <c r="E1769" s="2" t="s">
        <v>7</v>
      </c>
      <c r="F1769" s="9" t="s">
        <v>8</v>
      </c>
      <c r="H1769" t="str">
        <f>TRIM(SUBSTITUTE(PROPER(C1769)&amp;" "&amp;IF(OR(D1769="County",D1769="Township",D1769="Village",D1769="Charter Township"),D1769,"")&amp;IF(D1769="Township"," "&amp;"("&amp;VLOOKUP(A1769,counties,3,0)&amp;")",""),"  "," "))</f>
        <v>Menominee &amp; Ingallston Twps Transfer Station</v>
      </c>
    </row>
    <row r="1770" spans="1:8" ht="15.75" thickBot="1" x14ac:dyDescent="0.3">
      <c r="A1770">
        <f t="shared" si="28"/>
        <v>55</v>
      </c>
      <c r="B1770" s="10">
        <v>2016</v>
      </c>
      <c r="C1770" s="3" t="s">
        <v>1551</v>
      </c>
      <c r="D1770" s="3" t="s">
        <v>17</v>
      </c>
      <c r="E1770" s="4" t="s">
        <v>7</v>
      </c>
      <c r="F1770" s="11" t="s">
        <v>8</v>
      </c>
      <c r="H1770" t="str">
        <f>TRIM(SUBSTITUTE(PROPER(C1770)&amp;" "&amp;IF(OR(D1770="County",D1770="Township",D1770="Village",D1770="Charter Township"),D1770,"")&amp;IF(D1770="Township"," "&amp;"("&amp;VLOOKUP(A1770,counties,3,0)&amp;")",""),"  "," "))</f>
        <v>Menominee City Housing Commission</v>
      </c>
    </row>
    <row r="1771" spans="1:8" ht="15.75" thickBot="1" x14ac:dyDescent="0.3">
      <c r="A1771">
        <f t="shared" si="28"/>
        <v>55</v>
      </c>
      <c r="B1771" s="8">
        <v>2016</v>
      </c>
      <c r="C1771" s="1" t="s">
        <v>1552</v>
      </c>
      <c r="D1771" s="1" t="s">
        <v>11</v>
      </c>
      <c r="E1771" s="2" t="s">
        <v>7</v>
      </c>
      <c r="F1771" s="9" t="s">
        <v>8</v>
      </c>
      <c r="H1771" t="str">
        <f>TRIM(SUBSTITUTE(PROPER(C1771)&amp;" "&amp;IF(OR(D1771="County",D1771="Township",D1771="Village",D1771="Charter Township"),D1771,"")&amp;IF(D1771="Township"," "&amp;"("&amp;VLOOKUP(A1771,counties,3,0)&amp;")",""),"  "," "))</f>
        <v>Menominee County Road Commission</v>
      </c>
    </row>
    <row r="1772" spans="1:8" ht="15.75" thickBot="1" x14ac:dyDescent="0.3">
      <c r="A1772">
        <f t="shared" si="28"/>
        <v>55</v>
      </c>
      <c r="B1772" s="10">
        <v>2016</v>
      </c>
      <c r="C1772" s="3" t="s">
        <v>1553</v>
      </c>
      <c r="D1772" s="3" t="s">
        <v>9</v>
      </c>
      <c r="E1772" s="4" t="s">
        <v>7</v>
      </c>
      <c r="F1772" s="11" t="s">
        <v>8</v>
      </c>
      <c r="H1772" t="str">
        <f>TRIM(SUBSTITUTE(PROPER(C1772)&amp;" "&amp;IF(OR(D1772="County",D1772="Township",D1772="Village",D1772="Charter Township"),D1772,"")&amp;IF(D1772="Township"," "&amp;"("&amp;VLOOKUP(A1772,counties,3,0)&amp;")",""),"  "," "))</f>
        <v>Meyer Township (Menominee County)</v>
      </c>
    </row>
    <row r="1773" spans="1:8" ht="15.75" thickBot="1" x14ac:dyDescent="0.3">
      <c r="A1773">
        <f t="shared" si="28"/>
        <v>55</v>
      </c>
      <c r="B1773" s="8">
        <v>2016</v>
      </c>
      <c r="C1773" s="1" t="s">
        <v>1554</v>
      </c>
      <c r="D1773" s="1" t="s">
        <v>9</v>
      </c>
      <c r="E1773" s="2" t="s">
        <v>7</v>
      </c>
      <c r="F1773" s="9" t="s">
        <v>8</v>
      </c>
      <c r="H1773" t="str">
        <f>TRIM(SUBSTITUTE(PROPER(C1773)&amp;" "&amp;IF(OR(D1773="County",D1773="Township",D1773="Village",D1773="Charter Township"),D1773,"")&amp;IF(D1773="Township"," "&amp;"("&amp;VLOOKUP(A1773,counties,3,0)&amp;")",""),"  "," "))</f>
        <v>Nadeau Township (Menominee County)</v>
      </c>
    </row>
    <row r="1774" spans="1:8" ht="15.75" thickBot="1" x14ac:dyDescent="0.3">
      <c r="A1774">
        <f t="shared" si="28"/>
        <v>55</v>
      </c>
      <c r="B1774" s="10">
        <v>2016</v>
      </c>
      <c r="C1774" s="3" t="s">
        <v>1555</v>
      </c>
      <c r="D1774" s="3" t="s">
        <v>17</v>
      </c>
      <c r="E1774" s="4" t="s">
        <v>7</v>
      </c>
      <c r="F1774" s="11" t="s">
        <v>8</v>
      </c>
      <c r="H1774" t="str">
        <f>TRIM(SUBSTITUTE(PROPER(C1774)&amp;" "&amp;IF(OR(D1774="County",D1774="Township",D1774="Village",D1774="Charter Township"),D1774,"")&amp;IF(D1774="Township"," "&amp;"("&amp;VLOOKUP(A1774,counties,3,0)&amp;")",""),"  "," "))</f>
        <v>Pinecrest Medical Care Facility</v>
      </c>
    </row>
    <row r="1775" spans="1:8" ht="15.75" thickBot="1" x14ac:dyDescent="0.3">
      <c r="A1775">
        <f t="shared" si="28"/>
        <v>55</v>
      </c>
      <c r="B1775" s="8">
        <v>2016</v>
      </c>
      <c r="C1775" s="1" t="s">
        <v>1556</v>
      </c>
      <c r="D1775" s="1" t="s">
        <v>21</v>
      </c>
      <c r="E1775" s="2" t="s">
        <v>7</v>
      </c>
      <c r="F1775" s="9" t="s">
        <v>19</v>
      </c>
      <c r="H1775" t="str">
        <f>TRIM(SUBSTITUTE(PROPER(C1775)&amp;" "&amp;IF(OR(D1775="County",D1775="Township",D1775="Village",D1775="Charter Township"),D1775,"")&amp;IF(D1775="Township"," "&amp;"("&amp;VLOOKUP(A1775,counties,3,0)&amp;")",""),"  "," "))</f>
        <v>Powers Village</v>
      </c>
    </row>
    <row r="1776" spans="1:8" ht="15.75" thickBot="1" x14ac:dyDescent="0.3">
      <c r="A1776">
        <f t="shared" si="28"/>
        <v>55</v>
      </c>
      <c r="B1776" s="10">
        <v>2016</v>
      </c>
      <c r="C1776" s="3" t="s">
        <v>1557</v>
      </c>
      <c r="D1776" s="3" t="s">
        <v>17</v>
      </c>
      <c r="E1776" s="4" t="s">
        <v>7</v>
      </c>
      <c r="F1776" s="11" t="s">
        <v>19</v>
      </c>
      <c r="H1776" t="str">
        <f>TRIM(SUBSTITUTE(PROPER(C1776)&amp;" "&amp;IF(OR(D1776="County",D1776="Township",D1776="Village",D1776="Charter Township"),D1776,"")&amp;IF(D1776="Township"," "&amp;"("&amp;VLOOKUP(A1776,counties,3,0)&amp;")",""),"  "," "))</f>
        <v>Powers-Spalding Water Authority</v>
      </c>
    </row>
    <row r="1777" spans="1:8" ht="15.75" thickBot="1" x14ac:dyDescent="0.3">
      <c r="A1777">
        <f t="shared" si="28"/>
        <v>55</v>
      </c>
      <c r="B1777" s="8">
        <v>2016</v>
      </c>
      <c r="C1777" s="1" t="s">
        <v>1558</v>
      </c>
      <c r="D1777" s="1" t="s">
        <v>9</v>
      </c>
      <c r="E1777" s="2" t="s">
        <v>7</v>
      </c>
      <c r="F1777" s="9" t="s">
        <v>19</v>
      </c>
      <c r="H1777" t="str">
        <f>TRIM(SUBSTITUTE(PROPER(C1777)&amp;" "&amp;IF(OR(D1777="County",D1777="Township",D1777="Village",D1777="Charter Township"),D1777,"")&amp;IF(D1777="Township"," "&amp;"("&amp;VLOOKUP(A1777,counties,3,0)&amp;")",""),"  "," "))</f>
        <v>Spalding Township (Menominee County)</v>
      </c>
    </row>
    <row r="1778" spans="1:8" ht="15.75" thickBot="1" x14ac:dyDescent="0.3">
      <c r="A1778">
        <f t="shared" si="28"/>
        <v>55</v>
      </c>
      <c r="B1778" s="12">
        <v>2016</v>
      </c>
      <c r="C1778" s="13" t="s">
        <v>1559</v>
      </c>
      <c r="D1778" s="13" t="s">
        <v>15</v>
      </c>
      <c r="E1778" s="14" t="s">
        <v>7</v>
      </c>
      <c r="F1778" s="15" t="s">
        <v>8</v>
      </c>
      <c r="H1778" t="str">
        <f>TRIM(SUBSTITUTE(PROPER(C1778)&amp;" "&amp;IF(OR(D1778="County",D1778="Township",D1778="Village",D1778="Charter Township"),D1778,"")&amp;IF(D1778="Township"," "&amp;"("&amp;VLOOKUP(A1778,counties,3,0)&amp;")",""),"  "," "))</f>
        <v>Stephenson</v>
      </c>
    </row>
    <row r="1779" spans="1:8" ht="16.5" thickTop="1" thickBot="1" x14ac:dyDescent="0.3">
      <c r="A1779">
        <f t="shared" si="28"/>
        <v>56</v>
      </c>
      <c r="B1779" s="5" t="s">
        <v>0</v>
      </c>
      <c r="C1779" s="6" t="s">
        <v>1</v>
      </c>
      <c r="D1779" s="6" t="s">
        <v>2</v>
      </c>
      <c r="E1779" s="6" t="s">
        <v>3</v>
      </c>
      <c r="F1779" s="7" t="s">
        <v>4</v>
      </c>
      <c r="H1779" t="str">
        <f>TRIM(SUBSTITUTE(PROPER(C1779)&amp;" "&amp;IF(OR(D1779="County",D1779="Township",D1779="Village",D1779="Charter Township"),D1779,"")&amp;IF(D1779="Township"," "&amp;"("&amp;VLOOKUP(A1779,counties,3,0)&amp;")",""),"  "," "))</f>
        <v>Municipality</v>
      </c>
    </row>
    <row r="1780" spans="1:8" ht="15.75" thickBot="1" x14ac:dyDescent="0.3">
      <c r="A1780">
        <f t="shared" si="28"/>
        <v>56</v>
      </c>
      <c r="B1780" s="8">
        <v>2016</v>
      </c>
      <c r="C1780" s="1" t="s">
        <v>1560</v>
      </c>
      <c r="D1780" s="1" t="s">
        <v>15</v>
      </c>
      <c r="E1780" s="2" t="s">
        <v>7</v>
      </c>
      <c r="F1780" s="9" t="s">
        <v>8</v>
      </c>
      <c r="H1780" t="str">
        <f>TRIM(SUBSTITUTE(PROPER(C1780)&amp;" "&amp;IF(OR(D1780="County",D1780="Township",D1780="Village",D1780="Charter Township"),D1780,"")&amp;IF(D1780="Township"," "&amp;"("&amp;VLOOKUP(A1780,counties,3,0)&amp;")",""),"  "," "))</f>
        <v>Coleman</v>
      </c>
    </row>
    <row r="1781" spans="1:8" ht="15.75" thickBot="1" x14ac:dyDescent="0.3">
      <c r="A1781">
        <f t="shared" si="28"/>
        <v>56</v>
      </c>
      <c r="B1781" s="10">
        <v>2016</v>
      </c>
      <c r="C1781" s="3" t="s">
        <v>1561</v>
      </c>
      <c r="D1781" s="3" t="s">
        <v>17</v>
      </c>
      <c r="E1781" s="4" t="s">
        <v>7</v>
      </c>
      <c r="F1781" s="11" t="s">
        <v>8</v>
      </c>
      <c r="H1781" t="str">
        <f>TRIM(SUBSTITUTE(PROPER(C1781)&amp;" "&amp;IF(OR(D1781="County",D1781="Township",D1781="Village",D1781="Charter Township"),D1781,"")&amp;IF(D1781="Township"," "&amp;"("&amp;VLOOKUP(A1781,counties,3,0)&amp;")",""),"  "," "))</f>
        <v>Coleman Area Fire Protection Board</v>
      </c>
    </row>
    <row r="1782" spans="1:8" ht="15.75" thickBot="1" x14ac:dyDescent="0.3">
      <c r="A1782">
        <f t="shared" si="28"/>
        <v>56</v>
      </c>
      <c r="B1782" s="8">
        <v>2016</v>
      </c>
      <c r="C1782" s="1" t="s">
        <v>1562</v>
      </c>
      <c r="D1782" s="1" t="s">
        <v>42</v>
      </c>
      <c r="E1782" s="2" t="s">
        <v>7</v>
      </c>
      <c r="F1782" s="9" t="s">
        <v>8</v>
      </c>
      <c r="H1782" t="str">
        <f>TRIM(SUBSTITUTE(PROPER(C1782)&amp;" "&amp;IF(OR(D1782="County",D1782="Township",D1782="Village",D1782="Charter Township"),D1782,"")&amp;IF(D1782="Township"," "&amp;"("&amp;VLOOKUP(A1782,counties,3,0)&amp;")",""),"  "," "))</f>
        <v>Coleman Area Library</v>
      </c>
    </row>
    <row r="1783" spans="1:8" ht="15.75" thickBot="1" x14ac:dyDescent="0.3">
      <c r="A1783">
        <f t="shared" si="28"/>
        <v>56</v>
      </c>
      <c r="B1783" s="10">
        <v>2016</v>
      </c>
      <c r="C1783" s="3" t="s">
        <v>1563</v>
      </c>
      <c r="D1783" s="3" t="s">
        <v>9</v>
      </c>
      <c r="E1783" s="4" t="s">
        <v>7</v>
      </c>
      <c r="F1783" s="11" t="s">
        <v>8</v>
      </c>
      <c r="H1783" t="str">
        <f>TRIM(SUBSTITUTE(PROPER(C1783)&amp;" "&amp;IF(OR(D1783="County",D1783="Township",D1783="Village",D1783="Charter Township"),D1783,"")&amp;IF(D1783="Township"," "&amp;"("&amp;VLOOKUP(A1783,counties,3,0)&amp;")",""),"  "," "))</f>
        <v>Edenville Township (Midland County)</v>
      </c>
    </row>
    <row r="1784" spans="1:8" ht="15.75" thickBot="1" x14ac:dyDescent="0.3">
      <c r="A1784">
        <f t="shared" si="28"/>
        <v>56</v>
      </c>
      <c r="B1784" s="8">
        <v>2016</v>
      </c>
      <c r="C1784" s="1" t="s">
        <v>1564</v>
      </c>
      <c r="D1784" s="1" t="s">
        <v>9</v>
      </c>
      <c r="E1784" s="2" t="s">
        <v>7</v>
      </c>
      <c r="F1784" s="9" t="s">
        <v>19</v>
      </c>
      <c r="H1784" t="str">
        <f>TRIM(SUBSTITUTE(PROPER(C1784)&amp;" "&amp;IF(OR(D1784="County",D1784="Township",D1784="Village",D1784="Charter Township"),D1784,"")&amp;IF(D1784="Township"," "&amp;"("&amp;VLOOKUP(A1784,counties,3,0)&amp;")",""),"  "," "))</f>
        <v>Geneva Township (Midland County)</v>
      </c>
    </row>
    <row r="1785" spans="1:8" ht="15.75" thickBot="1" x14ac:dyDescent="0.3">
      <c r="A1785">
        <f t="shared" si="28"/>
        <v>56</v>
      </c>
      <c r="B1785" s="10">
        <v>2016</v>
      </c>
      <c r="C1785" s="3" t="s">
        <v>1565</v>
      </c>
      <c r="D1785" s="3" t="s">
        <v>9</v>
      </c>
      <c r="E1785" s="4" t="s">
        <v>7</v>
      </c>
      <c r="F1785" s="11" t="s">
        <v>19</v>
      </c>
      <c r="H1785" t="str">
        <f>TRIM(SUBSTITUTE(PROPER(C1785)&amp;" "&amp;IF(OR(D1785="County",D1785="Township",D1785="Village",D1785="Charter Township"),D1785,"")&amp;IF(D1785="Township"," "&amp;"("&amp;VLOOKUP(A1785,counties,3,0)&amp;")",""),"  "," "))</f>
        <v>Greendale Township (Midland County)</v>
      </c>
    </row>
    <row r="1786" spans="1:8" ht="15.75" thickBot="1" x14ac:dyDescent="0.3">
      <c r="A1786">
        <f t="shared" si="28"/>
        <v>56</v>
      </c>
      <c r="B1786" s="8">
        <v>2016</v>
      </c>
      <c r="C1786" s="1" t="s">
        <v>1566</v>
      </c>
      <c r="D1786" s="1" t="s">
        <v>9</v>
      </c>
      <c r="E1786" s="2" t="s">
        <v>7</v>
      </c>
      <c r="F1786" s="9" t="s">
        <v>8</v>
      </c>
      <c r="H1786" t="str">
        <f>TRIM(SUBSTITUTE(PROPER(C1786)&amp;" "&amp;IF(OR(D1786="County",D1786="Township",D1786="Village",D1786="Charter Township"),D1786,"")&amp;IF(D1786="Township"," "&amp;"("&amp;VLOOKUP(A1786,counties,3,0)&amp;")",""),"  "," "))</f>
        <v>Homer Township (Midland County)</v>
      </c>
    </row>
    <row r="1787" spans="1:8" ht="15.75" thickBot="1" x14ac:dyDescent="0.3">
      <c r="A1787">
        <f t="shared" si="28"/>
        <v>56</v>
      </c>
      <c r="B1787" s="10">
        <v>2016</v>
      </c>
      <c r="C1787" s="3" t="s">
        <v>1567</v>
      </c>
      <c r="D1787" s="3" t="s">
        <v>9</v>
      </c>
      <c r="E1787" s="4" t="s">
        <v>7</v>
      </c>
      <c r="F1787" s="11" t="s">
        <v>8</v>
      </c>
      <c r="H1787" t="str">
        <f>TRIM(SUBSTITUTE(PROPER(C1787)&amp;" "&amp;IF(OR(D1787="County",D1787="Township",D1787="Village",D1787="Charter Township"),D1787,"")&amp;IF(D1787="Township"," "&amp;"("&amp;VLOOKUP(A1787,counties,3,0)&amp;")",""),"  "," "))</f>
        <v>Ingersoll Township (Midland County)</v>
      </c>
    </row>
    <row r="1788" spans="1:8" ht="15.75" thickBot="1" x14ac:dyDescent="0.3">
      <c r="A1788">
        <f t="shared" si="28"/>
        <v>56</v>
      </c>
      <c r="B1788" s="8">
        <v>2016</v>
      </c>
      <c r="C1788" s="1" t="s">
        <v>1568</v>
      </c>
      <c r="D1788" s="1" t="s">
        <v>9</v>
      </c>
      <c r="E1788" s="2" t="s">
        <v>7</v>
      </c>
      <c r="F1788" s="9" t="s">
        <v>8</v>
      </c>
      <c r="H1788" t="str">
        <f>TRIM(SUBSTITUTE(PROPER(C1788)&amp;" "&amp;IF(OR(D1788="County",D1788="Township",D1788="Village",D1788="Charter Township"),D1788,"")&amp;IF(D1788="Township"," "&amp;"("&amp;VLOOKUP(A1788,counties,3,0)&amp;")",""),"  "," "))</f>
        <v>Jasper Township (Midland County)</v>
      </c>
    </row>
    <row r="1789" spans="1:8" ht="15.75" thickBot="1" x14ac:dyDescent="0.3">
      <c r="A1789">
        <f t="shared" si="28"/>
        <v>56</v>
      </c>
      <c r="B1789" s="10">
        <v>2016</v>
      </c>
      <c r="C1789" s="3" t="s">
        <v>1569</v>
      </c>
      <c r="D1789" s="3" t="s">
        <v>9</v>
      </c>
      <c r="E1789" s="4" t="s">
        <v>7</v>
      </c>
      <c r="F1789" s="11" t="s">
        <v>8</v>
      </c>
      <c r="H1789" t="str">
        <f>TRIM(SUBSTITUTE(PROPER(C1789)&amp;" "&amp;IF(OR(D1789="County",D1789="Township",D1789="Village",D1789="Charter Township"),D1789,"")&amp;IF(D1789="Township"," "&amp;"("&amp;VLOOKUP(A1789,counties,3,0)&amp;")",""),"  "," "))</f>
        <v>Jerome Township (Midland County)</v>
      </c>
    </row>
    <row r="1790" spans="1:8" ht="15.75" thickBot="1" x14ac:dyDescent="0.3">
      <c r="A1790">
        <f t="shared" si="28"/>
        <v>56</v>
      </c>
      <c r="B1790" s="8">
        <v>2016</v>
      </c>
      <c r="C1790" s="1" t="s">
        <v>1570</v>
      </c>
      <c r="D1790" s="1" t="s">
        <v>9</v>
      </c>
      <c r="E1790" s="2" t="s">
        <v>7</v>
      </c>
      <c r="F1790" s="9" t="s">
        <v>8</v>
      </c>
      <c r="H1790" t="str">
        <f>TRIM(SUBSTITUTE(PROPER(C1790)&amp;" "&amp;IF(OR(D1790="County",D1790="Township",D1790="Village",D1790="Charter Township"),D1790,"")&amp;IF(D1790="Township"," "&amp;"("&amp;VLOOKUP(A1790,counties,3,0)&amp;")",""),"  "," "))</f>
        <v>Larkin Charter Township (Midland County)</v>
      </c>
    </row>
    <row r="1791" spans="1:8" ht="15.75" thickBot="1" x14ac:dyDescent="0.3">
      <c r="A1791">
        <f t="shared" si="28"/>
        <v>56</v>
      </c>
      <c r="B1791" s="10">
        <v>2016</v>
      </c>
      <c r="C1791" s="3" t="s">
        <v>67</v>
      </c>
      <c r="D1791" s="3" t="s">
        <v>9</v>
      </c>
      <c r="E1791" s="4" t="s">
        <v>7</v>
      </c>
      <c r="F1791" s="11" t="s">
        <v>8</v>
      </c>
      <c r="H1791" t="str">
        <f>TRIM(SUBSTITUTE(PROPER(C1791)&amp;" "&amp;IF(OR(D1791="County",D1791="Township",D1791="Village",D1791="Charter Township"),D1791,"")&amp;IF(D1791="Township"," "&amp;"("&amp;VLOOKUP(A1791,counties,3,0)&amp;")",""),"  "," "))</f>
        <v>Lee Township (Midland County)</v>
      </c>
    </row>
    <row r="1792" spans="1:8" ht="15.75" thickBot="1" x14ac:dyDescent="0.3">
      <c r="A1792">
        <f t="shared" si="28"/>
        <v>56</v>
      </c>
      <c r="B1792" s="8">
        <v>2016</v>
      </c>
      <c r="C1792" s="1" t="s">
        <v>20</v>
      </c>
      <c r="D1792" s="1" t="s">
        <v>9</v>
      </c>
      <c r="E1792" s="2" t="s">
        <v>7</v>
      </c>
      <c r="F1792" s="9" t="s">
        <v>19</v>
      </c>
      <c r="H1792" t="str">
        <f>TRIM(SUBSTITUTE(PROPER(C1792)&amp;" "&amp;IF(OR(D1792="County",D1792="Township",D1792="Village",D1792="Charter Township"),D1792,"")&amp;IF(D1792="Township"," "&amp;"("&amp;VLOOKUP(A1792,counties,3,0)&amp;")",""),"  "," "))</f>
        <v>Lincoln Township (Midland County)</v>
      </c>
    </row>
    <row r="1793" spans="1:8" ht="15.75" thickBot="1" x14ac:dyDescent="0.3">
      <c r="A1793">
        <f t="shared" si="28"/>
        <v>56</v>
      </c>
      <c r="B1793" s="10">
        <v>2016</v>
      </c>
      <c r="C1793" s="3" t="s">
        <v>1571</v>
      </c>
      <c r="D1793" s="3" t="s">
        <v>15</v>
      </c>
      <c r="E1793" s="4" t="s">
        <v>7</v>
      </c>
      <c r="F1793" s="11" t="s">
        <v>8</v>
      </c>
      <c r="H1793" t="str">
        <f>TRIM(SUBSTITUTE(PROPER(C1793)&amp;" "&amp;IF(OR(D1793="County",D1793="Township",D1793="Village",D1793="Charter Township"),D1793,"")&amp;IF(D1793="Township"," "&amp;"("&amp;VLOOKUP(A1793,counties,3,0)&amp;")",""),"  "," "))</f>
        <v>Midland</v>
      </c>
    </row>
    <row r="1794" spans="1:8" ht="15.75" thickBot="1" x14ac:dyDescent="0.3">
      <c r="A1794">
        <f t="shared" si="28"/>
        <v>56</v>
      </c>
      <c r="B1794" s="8">
        <v>2016</v>
      </c>
      <c r="C1794" s="1" t="s">
        <v>1571</v>
      </c>
      <c r="D1794" s="1" t="s">
        <v>6</v>
      </c>
      <c r="E1794" s="2" t="s">
        <v>7</v>
      </c>
      <c r="F1794" s="9" t="s">
        <v>8</v>
      </c>
      <c r="H1794" t="str">
        <f>TRIM(SUBSTITUTE(PROPER(C1794)&amp;" "&amp;IF(OR(D1794="County",D1794="Township",D1794="Village",D1794="Charter Township"),D1794,"")&amp;IF(D1794="Township"," "&amp;"("&amp;VLOOKUP(A1794,counties,3,0)&amp;")",""),"  "," "))</f>
        <v>Midland County</v>
      </c>
    </row>
    <row r="1795" spans="1:8" ht="15.75" thickBot="1" x14ac:dyDescent="0.3">
      <c r="A1795">
        <f t="shared" ref="A1795:A1858" si="29">IF(B1795="Year",A1794+1,A1794)</f>
        <v>56</v>
      </c>
      <c r="B1795" s="10">
        <v>2016</v>
      </c>
      <c r="C1795" s="3" t="s">
        <v>1572</v>
      </c>
      <c r="D1795" s="3" t="s">
        <v>17</v>
      </c>
      <c r="E1795" s="4" t="s">
        <v>7</v>
      </c>
      <c r="F1795" s="11" t="s">
        <v>8</v>
      </c>
      <c r="H1795" t="str">
        <f>TRIM(SUBSTITUTE(PROPER(C1795)&amp;" "&amp;IF(OR(D1795="County",D1795="Township",D1795="Village",D1795="Charter Township"),D1795,"")&amp;IF(D1795="Township"," "&amp;"("&amp;VLOOKUP(A1795,counties,3,0)&amp;")",""),"  "," "))</f>
        <v>Midland Area Transportation Study</v>
      </c>
    </row>
    <row r="1796" spans="1:8" ht="15.75" thickBot="1" x14ac:dyDescent="0.3">
      <c r="A1796">
        <f t="shared" si="29"/>
        <v>56</v>
      </c>
      <c r="B1796" s="8">
        <v>2016</v>
      </c>
      <c r="C1796" s="1" t="s">
        <v>1573</v>
      </c>
      <c r="D1796" s="1" t="s">
        <v>17</v>
      </c>
      <c r="E1796" s="2" t="s">
        <v>7</v>
      </c>
      <c r="F1796" s="9" t="s">
        <v>8</v>
      </c>
      <c r="H1796" t="str">
        <f>TRIM(SUBSTITUTE(PROPER(C1796)&amp;" "&amp;IF(OR(D1796="County",D1796="Township",D1796="Village",D1796="Charter Township"),D1796,"")&amp;IF(D1796="Township"," "&amp;"("&amp;VLOOKUP(A1796,counties,3,0)&amp;")",""),"  "," "))</f>
        <v>Midland City &amp; County Joint Building Authority</v>
      </c>
    </row>
    <row r="1797" spans="1:8" ht="15.75" thickBot="1" x14ac:dyDescent="0.3">
      <c r="A1797">
        <f t="shared" si="29"/>
        <v>56</v>
      </c>
      <c r="B1797" s="10">
        <v>2016</v>
      </c>
      <c r="C1797" s="3" t="s">
        <v>1574</v>
      </c>
      <c r="D1797" s="3" t="s">
        <v>17</v>
      </c>
      <c r="E1797" s="4" t="s">
        <v>7</v>
      </c>
      <c r="F1797" s="11" t="s">
        <v>8</v>
      </c>
      <c r="H1797" t="str">
        <f>TRIM(SUBSTITUTE(PROPER(C1797)&amp;" "&amp;IF(OR(D1797="County",D1797="Township",D1797="Village",D1797="Charter Township"),D1797,"")&amp;IF(D1797="Township"," "&amp;"("&amp;VLOOKUP(A1797,counties,3,0)&amp;")",""),"  "," "))</f>
        <v>Midland Co Central Dispatch Authority</v>
      </c>
    </row>
    <row r="1798" spans="1:8" ht="15.75" thickBot="1" x14ac:dyDescent="0.3">
      <c r="A1798">
        <f t="shared" si="29"/>
        <v>56</v>
      </c>
      <c r="B1798" s="8">
        <v>2016</v>
      </c>
      <c r="C1798" s="1" t="s">
        <v>1575</v>
      </c>
      <c r="D1798" s="1" t="s">
        <v>17</v>
      </c>
      <c r="E1798" s="2" t="s">
        <v>7</v>
      </c>
      <c r="F1798" s="9" t="s">
        <v>8</v>
      </c>
      <c r="H1798" t="str">
        <f>TRIM(SUBSTITUTE(PROPER(C1798)&amp;" "&amp;IF(OR(D1798="County",D1798="Township",D1798="Village",D1798="Charter Township"),D1798,"")&amp;IF(D1798="Township"," "&amp;"("&amp;VLOOKUP(A1798,counties,3,0)&amp;")",""),"  "," "))</f>
        <v>Midland Co Edc</v>
      </c>
    </row>
    <row r="1799" spans="1:8" ht="15.75" thickBot="1" x14ac:dyDescent="0.3">
      <c r="A1799">
        <f t="shared" si="29"/>
        <v>56</v>
      </c>
      <c r="B1799" s="10">
        <v>2016</v>
      </c>
      <c r="C1799" s="3" t="s">
        <v>1576</v>
      </c>
      <c r="D1799" s="3" t="s">
        <v>11</v>
      </c>
      <c r="E1799" s="4" t="s">
        <v>7</v>
      </c>
      <c r="F1799" s="11" t="s">
        <v>8</v>
      </c>
      <c r="H1799" t="str">
        <f>TRIM(SUBSTITUTE(PROPER(C1799)&amp;" "&amp;IF(OR(D1799="County",D1799="Township",D1799="Village",D1799="Charter Township"),D1799,"")&amp;IF(D1799="Township"," "&amp;"("&amp;VLOOKUP(A1799,counties,3,0)&amp;")",""),"  "," "))</f>
        <v>Midland Co Road Commission</v>
      </c>
    </row>
    <row r="1800" spans="1:8" ht="15.75" thickBot="1" x14ac:dyDescent="0.3">
      <c r="A1800">
        <f t="shared" si="29"/>
        <v>56</v>
      </c>
      <c r="B1800" s="8">
        <v>2016</v>
      </c>
      <c r="C1800" s="1" t="s">
        <v>1577</v>
      </c>
      <c r="D1800" s="1" t="s">
        <v>9</v>
      </c>
      <c r="E1800" s="2" t="s">
        <v>7</v>
      </c>
      <c r="F1800" s="9" t="s">
        <v>8</v>
      </c>
      <c r="H1800" t="str">
        <f>TRIM(SUBSTITUTE(PROPER(C1800)&amp;" "&amp;IF(OR(D1800="County",D1800="Township",D1800="Village",D1800="Charter Township"),D1800,"")&amp;IF(D1800="Township"," "&amp;"("&amp;VLOOKUP(A1800,counties,3,0)&amp;")",""),"  "," "))</f>
        <v>Mills Township (Midland County)</v>
      </c>
    </row>
    <row r="1801" spans="1:8" ht="15.75" thickBot="1" x14ac:dyDescent="0.3">
      <c r="A1801">
        <f t="shared" si="29"/>
        <v>56</v>
      </c>
      <c r="B1801" s="10">
        <v>2016</v>
      </c>
      <c r="C1801" s="3" t="s">
        <v>1578</v>
      </c>
      <c r="D1801" s="3" t="s">
        <v>9</v>
      </c>
      <c r="E1801" s="4" t="s">
        <v>7</v>
      </c>
      <c r="F1801" s="11" t="s">
        <v>8</v>
      </c>
      <c r="H1801" t="str">
        <f>TRIM(SUBSTITUTE(PROPER(C1801)&amp;" "&amp;IF(OR(D1801="County",D1801="Township",D1801="Village",D1801="Charter Township"),D1801,"")&amp;IF(D1801="Township"," "&amp;"("&amp;VLOOKUP(A1801,counties,3,0)&amp;")",""),"  "," "))</f>
        <v>Mt Haley Township (Midland County)</v>
      </c>
    </row>
    <row r="1802" spans="1:8" ht="15.75" thickBot="1" x14ac:dyDescent="0.3">
      <c r="A1802">
        <f t="shared" si="29"/>
        <v>56</v>
      </c>
      <c r="B1802" s="8">
        <v>2016</v>
      </c>
      <c r="C1802" s="1" t="s">
        <v>404</v>
      </c>
      <c r="D1802" s="1" t="s">
        <v>9</v>
      </c>
      <c r="E1802" s="2" t="s">
        <v>7</v>
      </c>
      <c r="F1802" s="9" t="s">
        <v>8</v>
      </c>
      <c r="H1802" t="str">
        <f>TRIM(SUBSTITUTE(PROPER(C1802)&amp;" "&amp;IF(OR(D1802="County",D1802="Township",D1802="Village",D1802="Charter Township"),D1802,"")&amp;IF(D1802="Township"," "&amp;"("&amp;VLOOKUP(A1802,counties,3,0)&amp;")",""),"  "," "))</f>
        <v>Porter Township (Midland County)</v>
      </c>
    </row>
    <row r="1803" spans="1:8" ht="15.75" thickBot="1" x14ac:dyDescent="0.3">
      <c r="A1803">
        <f t="shared" si="29"/>
        <v>56</v>
      </c>
      <c r="B1803" s="10">
        <v>2016</v>
      </c>
      <c r="C1803" s="3" t="s">
        <v>1579</v>
      </c>
      <c r="D1803" s="3" t="s">
        <v>21</v>
      </c>
      <c r="E1803" s="4" t="s">
        <v>7</v>
      </c>
      <c r="F1803" s="11" t="s">
        <v>8</v>
      </c>
      <c r="H1803" t="str">
        <f>TRIM(SUBSTITUTE(PROPER(C1803)&amp;" "&amp;IF(OR(D1803="County",D1803="Township",D1803="Village",D1803="Charter Township"),D1803,"")&amp;IF(D1803="Township"," "&amp;"("&amp;VLOOKUP(A1803,counties,3,0)&amp;")",""),"  "," "))</f>
        <v>Sanford Village</v>
      </c>
    </row>
    <row r="1804" spans="1:8" ht="15.75" thickBot="1" x14ac:dyDescent="0.3">
      <c r="A1804">
        <f t="shared" si="29"/>
        <v>56</v>
      </c>
      <c r="B1804" s="8">
        <v>2016</v>
      </c>
      <c r="C1804" s="1" t="s">
        <v>1580</v>
      </c>
      <c r="D1804" s="1" t="s">
        <v>17</v>
      </c>
      <c r="E1804" s="2" t="s">
        <v>7</v>
      </c>
      <c r="F1804" s="9" t="s">
        <v>19</v>
      </c>
      <c r="H1804" t="str">
        <f>TRIM(SUBSTITUTE(PROPER(C1804)&amp;" "&amp;IF(OR(D1804="County",D1804="Township",D1804="Village",D1804="Charter Township"),D1804,"")&amp;IF(D1804="Township"," "&amp;"("&amp;VLOOKUP(A1804,counties,3,0)&amp;")",""),"  "," "))</f>
        <v>Township Code Authority Of Midland County</v>
      </c>
    </row>
    <row r="1805" spans="1:8" ht="15.75" thickBot="1" x14ac:dyDescent="0.3">
      <c r="A1805">
        <f t="shared" si="29"/>
        <v>56</v>
      </c>
      <c r="B1805" s="12">
        <v>2016</v>
      </c>
      <c r="C1805" s="13" t="s">
        <v>1581</v>
      </c>
      <c r="D1805" s="13" t="s">
        <v>17</v>
      </c>
      <c r="E1805" s="14" t="s">
        <v>7</v>
      </c>
      <c r="F1805" s="15" t="s">
        <v>8</v>
      </c>
      <c r="H1805" t="str">
        <f>TRIM(SUBSTITUTE(PROPER(C1805)&amp;" "&amp;IF(OR(D1805="County",D1805="Township",D1805="Village",D1805="Charter Township"),D1805,"")&amp;IF(D1805="Township"," "&amp;"("&amp;VLOOKUP(A1805,counties,3,0)&amp;")",""),"  "," "))</f>
        <v>Water District No. 1 Of Midland County</v>
      </c>
    </row>
    <row r="1806" spans="1:8" ht="16.5" thickTop="1" thickBot="1" x14ac:dyDescent="0.3">
      <c r="A1806">
        <f t="shared" si="29"/>
        <v>57</v>
      </c>
      <c r="B1806" s="5" t="s">
        <v>0</v>
      </c>
      <c r="C1806" s="6" t="s">
        <v>1</v>
      </c>
      <c r="D1806" s="6" t="s">
        <v>2</v>
      </c>
      <c r="E1806" s="6" t="s">
        <v>3</v>
      </c>
      <c r="F1806" s="7" t="s">
        <v>4</v>
      </c>
      <c r="H1806" t="str">
        <f>TRIM(SUBSTITUTE(PROPER(C1806)&amp;" "&amp;IF(OR(D1806="County",D1806="Township",D1806="Village",D1806="Charter Township"),D1806,"")&amp;IF(D1806="Township"," "&amp;"("&amp;VLOOKUP(A1806,counties,3,0)&amp;")",""),"  "," "))</f>
        <v>Municipality</v>
      </c>
    </row>
    <row r="1807" spans="1:8" ht="15.75" thickBot="1" x14ac:dyDescent="0.3">
      <c r="A1807">
        <f t="shared" si="29"/>
        <v>57</v>
      </c>
      <c r="B1807" s="8">
        <v>2016</v>
      </c>
      <c r="C1807" s="1" t="s">
        <v>1582</v>
      </c>
      <c r="D1807" s="1" t="s">
        <v>9</v>
      </c>
      <c r="E1807" s="2" t="s">
        <v>7</v>
      </c>
      <c r="F1807" s="9" t="s">
        <v>19</v>
      </c>
      <c r="H1807" t="str">
        <f>TRIM(SUBSTITUTE(PROPER(C1807)&amp;" "&amp;IF(OR(D1807="County",D1807="Township",D1807="Village",D1807="Charter Township"),D1807,"")&amp;IF(D1807="Township"," "&amp;"("&amp;VLOOKUP(A1807,counties,3,0)&amp;")",""),"  "," "))</f>
        <v>Bloomfield Township (Missaukee County)</v>
      </c>
    </row>
    <row r="1808" spans="1:8" ht="15.75" thickBot="1" x14ac:dyDescent="0.3">
      <c r="A1808">
        <f t="shared" si="29"/>
        <v>57</v>
      </c>
      <c r="B1808" s="10">
        <v>2016</v>
      </c>
      <c r="C1808" s="3" t="s">
        <v>1583</v>
      </c>
      <c r="D1808" s="3" t="s">
        <v>9</v>
      </c>
      <c r="E1808" s="4" t="s">
        <v>7</v>
      </c>
      <c r="F1808" s="11" t="s">
        <v>19</v>
      </c>
      <c r="H1808" t="str">
        <f>TRIM(SUBSTITUTE(PROPER(C1808)&amp;" "&amp;IF(OR(D1808="County",D1808="Township",D1808="Village",D1808="Charter Township"),D1808,"")&amp;IF(D1808="Township"," "&amp;"("&amp;VLOOKUP(A1808,counties,3,0)&amp;")",""),"  "," "))</f>
        <v>Butterfield Township (Missaukee County)</v>
      </c>
    </row>
    <row r="1809" spans="1:8" ht="15.75" thickBot="1" x14ac:dyDescent="0.3">
      <c r="A1809">
        <f t="shared" si="29"/>
        <v>57</v>
      </c>
      <c r="B1809" s="8">
        <v>2016</v>
      </c>
      <c r="C1809" s="1" t="s">
        <v>1584</v>
      </c>
      <c r="D1809" s="1" t="s">
        <v>9</v>
      </c>
      <c r="E1809" s="2" t="s">
        <v>7</v>
      </c>
      <c r="F1809" s="9" t="s">
        <v>19</v>
      </c>
      <c r="H1809" t="str">
        <f>TRIM(SUBSTITUTE(PROPER(C1809)&amp;" "&amp;IF(OR(D1809="County",D1809="Township",D1809="Village",D1809="Charter Township"),D1809,"")&amp;IF(D1809="Township"," "&amp;"("&amp;VLOOKUP(A1809,counties,3,0)&amp;")",""),"  "," "))</f>
        <v>Clam Union Township (Missaukee County)</v>
      </c>
    </row>
    <row r="1810" spans="1:8" ht="15.75" thickBot="1" x14ac:dyDescent="0.3">
      <c r="A1810">
        <f t="shared" si="29"/>
        <v>57</v>
      </c>
      <c r="B1810" s="10">
        <v>2016</v>
      </c>
      <c r="C1810" s="3" t="s">
        <v>1585</v>
      </c>
      <c r="D1810" s="3" t="s">
        <v>17</v>
      </c>
      <c r="E1810" s="4" t="s">
        <v>7</v>
      </c>
      <c r="F1810" s="11" t="s">
        <v>8</v>
      </c>
      <c r="H1810" t="str">
        <f>TRIM(SUBSTITUTE(PROPER(C1810)&amp;" "&amp;IF(OR(D1810="County",D1810="Township",D1810="Village",D1810="Charter Township"),D1810,"")&amp;IF(D1810="Township"," "&amp;"("&amp;VLOOKUP(A1810,counties,3,0)&amp;")",""),"  "," "))</f>
        <v>District Health Dept No 10-White Cloud</v>
      </c>
    </row>
    <row r="1811" spans="1:8" ht="15.75" thickBot="1" x14ac:dyDescent="0.3">
      <c r="A1811">
        <f t="shared" si="29"/>
        <v>57</v>
      </c>
      <c r="B1811" s="8">
        <v>2016</v>
      </c>
      <c r="C1811" s="1" t="s">
        <v>1586</v>
      </c>
      <c r="D1811" s="1" t="s">
        <v>9</v>
      </c>
      <c r="E1811" s="2" t="s">
        <v>7</v>
      </c>
      <c r="F1811" s="9" t="s">
        <v>8</v>
      </c>
      <c r="H1811" t="str">
        <f>TRIM(SUBSTITUTE(PROPER(C1811)&amp;" "&amp;IF(OR(D1811="County",D1811="Township",D1811="Village",D1811="Charter Township"),D1811,"")&amp;IF(D1811="Township"," "&amp;"("&amp;VLOOKUP(A1811,counties,3,0)&amp;")",""),"  "," "))</f>
        <v>Enterprise Township (Missaukee County)</v>
      </c>
    </row>
    <row r="1812" spans="1:8" ht="15.75" thickBot="1" x14ac:dyDescent="0.3">
      <c r="A1812">
        <f t="shared" si="29"/>
        <v>57</v>
      </c>
      <c r="B1812" s="10">
        <v>2016</v>
      </c>
      <c r="C1812" s="3" t="s">
        <v>1587</v>
      </c>
      <c r="D1812" s="3" t="s">
        <v>9</v>
      </c>
      <c r="E1812" s="4" t="s">
        <v>7</v>
      </c>
      <c r="F1812" s="11" t="s">
        <v>19</v>
      </c>
      <c r="H1812" t="str">
        <f>TRIM(SUBSTITUTE(PROPER(C1812)&amp;" "&amp;IF(OR(D1812="County",D1812="Township",D1812="Village",D1812="Charter Township"),D1812,"")&amp;IF(D1812="Township"," "&amp;"("&amp;VLOOKUP(A1812,counties,3,0)&amp;")",""),"  "," "))</f>
        <v>Holland Township (Missaukee County)</v>
      </c>
    </row>
    <row r="1813" spans="1:8" ht="15.75" thickBot="1" x14ac:dyDescent="0.3">
      <c r="A1813">
        <f t="shared" si="29"/>
        <v>57</v>
      </c>
      <c r="B1813" s="8">
        <v>2016</v>
      </c>
      <c r="C1813" s="1" t="s">
        <v>240</v>
      </c>
      <c r="D1813" s="1" t="s">
        <v>9</v>
      </c>
      <c r="E1813" s="2" t="s">
        <v>7</v>
      </c>
      <c r="F1813" s="9" t="s">
        <v>19</v>
      </c>
      <c r="H1813" t="str">
        <f>TRIM(SUBSTITUTE(PROPER(C1813)&amp;" "&amp;IF(OR(D1813="County",D1813="Township",D1813="Village",D1813="Charter Township"),D1813,"")&amp;IF(D1813="Township"," "&amp;"("&amp;VLOOKUP(A1813,counties,3,0)&amp;")",""),"  "," "))</f>
        <v>Lake Township (Missaukee County)</v>
      </c>
    </row>
    <row r="1814" spans="1:8" ht="15.75" thickBot="1" x14ac:dyDescent="0.3">
      <c r="A1814">
        <f t="shared" si="29"/>
        <v>57</v>
      </c>
      <c r="B1814" s="10">
        <v>2016</v>
      </c>
      <c r="C1814" s="3" t="s">
        <v>1588</v>
      </c>
      <c r="D1814" s="3" t="s">
        <v>15</v>
      </c>
      <c r="E1814" s="4" t="s">
        <v>7</v>
      </c>
      <c r="F1814" s="11" t="s">
        <v>19</v>
      </c>
      <c r="H1814" t="str">
        <f>TRIM(SUBSTITUTE(PROPER(C1814)&amp;" "&amp;IF(OR(D1814="County",D1814="Township",D1814="Village",D1814="Charter Township"),D1814,"")&amp;IF(D1814="Township"," "&amp;"("&amp;VLOOKUP(A1814,counties,3,0)&amp;")",""),"  "," "))</f>
        <v>Lake City</v>
      </c>
    </row>
    <row r="1815" spans="1:8" ht="15.75" thickBot="1" x14ac:dyDescent="0.3">
      <c r="A1815">
        <f t="shared" si="29"/>
        <v>57</v>
      </c>
      <c r="B1815" s="8">
        <v>2016</v>
      </c>
      <c r="C1815" s="1" t="s">
        <v>1589</v>
      </c>
      <c r="D1815" s="1" t="s">
        <v>17</v>
      </c>
      <c r="E1815" s="2" t="s">
        <v>7</v>
      </c>
      <c r="F1815" s="9" t="s">
        <v>19</v>
      </c>
      <c r="H1815" t="str">
        <f>TRIM(SUBSTITUTE(PROPER(C1815)&amp;" "&amp;IF(OR(D1815="County",D1815="Township",D1815="Village",D1815="Charter Township"),D1815,"")&amp;IF(D1815="Township"," "&amp;"("&amp;VLOOKUP(A1815,counties,3,0)&amp;")",""),"  "," "))</f>
        <v>Lake Missaukee Area Fire Authority</v>
      </c>
    </row>
    <row r="1816" spans="1:8" ht="15.75" thickBot="1" x14ac:dyDescent="0.3">
      <c r="A1816">
        <f t="shared" si="29"/>
        <v>57</v>
      </c>
      <c r="B1816" s="10">
        <v>2016</v>
      </c>
      <c r="C1816" s="3" t="s">
        <v>1590</v>
      </c>
      <c r="D1816" s="3" t="s">
        <v>15</v>
      </c>
      <c r="E1816" s="4" t="s">
        <v>7</v>
      </c>
      <c r="F1816" s="11" t="s">
        <v>8</v>
      </c>
      <c r="H1816" t="str">
        <f>TRIM(SUBSTITUTE(PROPER(C1816)&amp;" "&amp;IF(OR(D1816="County",D1816="Township",D1816="Village",D1816="Charter Township"),D1816,"")&amp;IF(D1816="Township"," "&amp;"("&amp;VLOOKUP(A1816,counties,3,0)&amp;")",""),"  "," "))</f>
        <v>Mcbain</v>
      </c>
    </row>
    <row r="1817" spans="1:8" ht="15.75" thickBot="1" x14ac:dyDescent="0.3">
      <c r="A1817">
        <f t="shared" si="29"/>
        <v>57</v>
      </c>
      <c r="B1817" s="8">
        <v>2016</v>
      </c>
      <c r="C1817" s="1" t="s">
        <v>1591</v>
      </c>
      <c r="D1817" s="1" t="s">
        <v>17</v>
      </c>
      <c r="E1817" s="2" t="s">
        <v>7</v>
      </c>
      <c r="F1817" s="9" t="s">
        <v>8</v>
      </c>
      <c r="H1817" t="str">
        <f>TRIM(SUBSTITUTE(PROPER(C1817)&amp;" "&amp;IF(OR(D1817="County",D1817="Township",D1817="Village",D1817="Charter Township"),D1817,"")&amp;IF(D1817="Township"," "&amp;"("&amp;VLOOKUP(A1817,counties,3,0)&amp;")",""),"  "," "))</f>
        <v>Merritt Area Fire Department</v>
      </c>
    </row>
    <row r="1818" spans="1:8" ht="15.75" thickBot="1" x14ac:dyDescent="0.3">
      <c r="A1818">
        <f t="shared" si="29"/>
        <v>57</v>
      </c>
      <c r="B1818" s="10">
        <v>2016</v>
      </c>
      <c r="C1818" s="3" t="s">
        <v>1592</v>
      </c>
      <c r="D1818" s="3" t="s">
        <v>6</v>
      </c>
      <c r="E1818" s="4" t="s">
        <v>7</v>
      </c>
      <c r="F1818" s="11" t="s">
        <v>8</v>
      </c>
      <c r="H1818" t="str">
        <f>TRIM(SUBSTITUTE(PROPER(C1818)&amp;" "&amp;IF(OR(D1818="County",D1818="Township",D1818="Village",D1818="Charter Township"),D1818,"")&amp;IF(D1818="Township"," "&amp;"("&amp;VLOOKUP(A1818,counties,3,0)&amp;")",""),"  "," "))</f>
        <v>Missaukee County</v>
      </c>
    </row>
    <row r="1819" spans="1:8" ht="15.75" thickBot="1" x14ac:dyDescent="0.3">
      <c r="A1819">
        <f t="shared" si="29"/>
        <v>57</v>
      </c>
      <c r="B1819" s="8">
        <v>2016</v>
      </c>
      <c r="C1819" s="1" t="s">
        <v>1593</v>
      </c>
      <c r="D1819" s="1" t="s">
        <v>11</v>
      </c>
      <c r="E1819" s="2" t="s">
        <v>7</v>
      </c>
      <c r="F1819" s="9" t="s">
        <v>8</v>
      </c>
      <c r="H1819" t="str">
        <f>TRIM(SUBSTITUTE(PROPER(C1819)&amp;" "&amp;IF(OR(D1819="County",D1819="Township",D1819="Village",D1819="Charter Township"),D1819,"")&amp;IF(D1819="Township"," "&amp;"("&amp;VLOOKUP(A1819,counties,3,0)&amp;")",""),"  "," "))</f>
        <v>Missaukee Co Road Commission</v>
      </c>
    </row>
    <row r="1820" spans="1:8" ht="15.75" thickBot="1" x14ac:dyDescent="0.3">
      <c r="A1820">
        <f t="shared" si="29"/>
        <v>57</v>
      </c>
      <c r="B1820" s="10">
        <v>2016</v>
      </c>
      <c r="C1820" s="3" t="s">
        <v>1594</v>
      </c>
      <c r="D1820" s="3" t="s">
        <v>42</v>
      </c>
      <c r="E1820" s="4" t="s">
        <v>7</v>
      </c>
      <c r="F1820" s="11" t="s">
        <v>8</v>
      </c>
      <c r="H1820" t="str">
        <f>TRIM(SUBSTITUTE(PROPER(C1820)&amp;" "&amp;IF(OR(D1820="County",D1820="Township",D1820="Village",D1820="Charter Township"),D1820,"")&amp;IF(D1820="Township"," "&amp;"("&amp;VLOOKUP(A1820,counties,3,0)&amp;")",""),"  "," "))</f>
        <v>Missaukee District Library</v>
      </c>
    </row>
    <row r="1821" spans="1:8" ht="15.75" thickBot="1" x14ac:dyDescent="0.3">
      <c r="A1821">
        <f t="shared" si="29"/>
        <v>57</v>
      </c>
      <c r="B1821" s="8">
        <v>2016</v>
      </c>
      <c r="C1821" s="1" t="s">
        <v>1595</v>
      </c>
      <c r="D1821" s="1" t="s">
        <v>9</v>
      </c>
      <c r="E1821" s="2" t="s">
        <v>7</v>
      </c>
      <c r="F1821" s="9" t="s">
        <v>8</v>
      </c>
      <c r="H1821" t="str">
        <f>TRIM(SUBSTITUTE(PROPER(C1821)&amp;" "&amp;IF(OR(D1821="County",D1821="Township",D1821="Village",D1821="Charter Township"),D1821,"")&amp;IF(D1821="Township"," "&amp;"("&amp;VLOOKUP(A1821,counties,3,0)&amp;")",""),"  "," "))</f>
        <v>Norwich Township (Missaukee County)</v>
      </c>
    </row>
    <row r="1822" spans="1:8" ht="15.75" thickBot="1" x14ac:dyDescent="0.3">
      <c r="A1822">
        <f t="shared" si="29"/>
        <v>57</v>
      </c>
      <c r="B1822" s="10">
        <v>2016</v>
      </c>
      <c r="C1822" s="3" t="s">
        <v>1596</v>
      </c>
      <c r="D1822" s="3" t="s">
        <v>9</v>
      </c>
      <c r="E1822" s="4" t="s">
        <v>7</v>
      </c>
      <c r="F1822" s="11" t="s">
        <v>8</v>
      </c>
      <c r="H1822" t="str">
        <f>TRIM(SUBSTITUTE(PROPER(C1822)&amp;" "&amp;IF(OR(D1822="County",D1822="Township",D1822="Village",D1822="Charter Township"),D1822,"")&amp;IF(D1822="Township"," "&amp;"("&amp;VLOOKUP(A1822,counties,3,0)&amp;")",""),"  "," "))</f>
        <v>Pioneer Township (Missaukee County)</v>
      </c>
    </row>
    <row r="1823" spans="1:8" ht="15.75" thickBot="1" x14ac:dyDescent="0.3">
      <c r="A1823">
        <f t="shared" si="29"/>
        <v>57</v>
      </c>
      <c r="B1823" s="8">
        <v>2016</v>
      </c>
      <c r="C1823" s="1" t="s">
        <v>1597</v>
      </c>
      <c r="D1823" s="1" t="s">
        <v>9</v>
      </c>
      <c r="E1823" s="2" t="s">
        <v>7</v>
      </c>
      <c r="F1823" s="9" t="s">
        <v>19</v>
      </c>
      <c r="H1823" t="str">
        <f>TRIM(SUBSTITUTE(PROPER(C1823)&amp;" "&amp;IF(OR(D1823="County",D1823="Township",D1823="Village",D1823="Charter Township"),D1823,"")&amp;IF(D1823="Township"," "&amp;"("&amp;VLOOKUP(A1823,counties,3,0)&amp;")",""),"  "," "))</f>
        <v>Reeder Township (Missaukee County)</v>
      </c>
    </row>
    <row r="1824" spans="1:8" ht="15.75" thickBot="1" x14ac:dyDescent="0.3">
      <c r="A1824">
        <f t="shared" si="29"/>
        <v>57</v>
      </c>
      <c r="B1824" s="10">
        <v>2016</v>
      </c>
      <c r="C1824" s="3" t="s">
        <v>1150</v>
      </c>
      <c r="D1824" s="3" t="s">
        <v>9</v>
      </c>
      <c r="E1824" s="4" t="s">
        <v>7</v>
      </c>
      <c r="F1824" s="11" t="s">
        <v>19</v>
      </c>
      <c r="H1824" t="str">
        <f>TRIM(SUBSTITUTE(PROPER(C1824)&amp;" "&amp;IF(OR(D1824="County",D1824="Township",D1824="Village",D1824="Charter Township"),D1824,"")&amp;IF(D1824="Township"," "&amp;"("&amp;VLOOKUP(A1824,counties,3,0)&amp;")",""),"  "," "))</f>
        <v>Richland Township (Missaukee County)</v>
      </c>
    </row>
    <row r="1825" spans="1:8" ht="15.75" thickBot="1" x14ac:dyDescent="0.3">
      <c r="A1825">
        <f t="shared" si="29"/>
        <v>57</v>
      </c>
      <c r="B1825" s="8">
        <v>2016</v>
      </c>
      <c r="C1825" s="1" t="s">
        <v>1598</v>
      </c>
      <c r="D1825" s="1" t="s">
        <v>9</v>
      </c>
      <c r="E1825" s="2" t="s">
        <v>7</v>
      </c>
      <c r="F1825" s="9" t="s">
        <v>19</v>
      </c>
      <c r="H1825" t="str">
        <f>TRIM(SUBSTITUTE(PROPER(C1825)&amp;" "&amp;IF(OR(D1825="County",D1825="Township",D1825="Village",D1825="Charter Township"),D1825,"")&amp;IF(D1825="Township"," "&amp;"("&amp;VLOOKUP(A1825,counties,3,0)&amp;")",""),"  "," "))</f>
        <v>Riverside Township (Missaukee County)</v>
      </c>
    </row>
    <row r="1826" spans="1:8" ht="15.75" thickBot="1" x14ac:dyDescent="0.3">
      <c r="A1826">
        <f t="shared" si="29"/>
        <v>57</v>
      </c>
      <c r="B1826" s="12">
        <v>2016</v>
      </c>
      <c r="C1826" s="13" t="s">
        <v>1599</v>
      </c>
      <c r="D1826" s="13" t="s">
        <v>9</v>
      </c>
      <c r="E1826" s="14" t="s">
        <v>7</v>
      </c>
      <c r="F1826" s="15" t="s">
        <v>19</v>
      </c>
      <c r="H1826" t="str">
        <f>TRIM(SUBSTITUTE(PROPER(C1826)&amp;" "&amp;IF(OR(D1826="County",D1826="Township",D1826="Village",D1826="Charter Township"),D1826,"")&amp;IF(D1826="Township"," "&amp;"("&amp;VLOOKUP(A1826,counties,3,0)&amp;")",""),"  "," "))</f>
        <v>West Branch Township (Missaukee County)</v>
      </c>
    </row>
    <row r="1827" spans="1:8" ht="16.5" thickTop="1" thickBot="1" x14ac:dyDescent="0.3">
      <c r="A1827">
        <f t="shared" si="29"/>
        <v>58</v>
      </c>
      <c r="B1827" s="5" t="s">
        <v>0</v>
      </c>
      <c r="C1827" s="6" t="s">
        <v>1</v>
      </c>
      <c r="D1827" s="6" t="s">
        <v>2</v>
      </c>
      <c r="E1827" s="6" t="s">
        <v>3</v>
      </c>
      <c r="F1827" s="7" t="s">
        <v>4</v>
      </c>
      <c r="H1827" t="str">
        <f>TRIM(SUBSTITUTE(PROPER(C1827)&amp;" "&amp;IF(OR(D1827="County",D1827="Township",D1827="Village",D1827="Charter Township"),D1827,"")&amp;IF(D1827="Township"," "&amp;"("&amp;VLOOKUP(A1827,counties,3,0)&amp;")",""),"  "," "))</f>
        <v>Municipality</v>
      </c>
    </row>
    <row r="1828" spans="1:8" ht="15.75" thickBot="1" x14ac:dyDescent="0.3">
      <c r="A1828">
        <f t="shared" si="29"/>
        <v>58</v>
      </c>
      <c r="B1828" s="8">
        <v>2016</v>
      </c>
      <c r="C1828" s="1" t="s">
        <v>1600</v>
      </c>
      <c r="D1828" s="1" t="s">
        <v>9</v>
      </c>
      <c r="E1828" s="2" t="s">
        <v>7</v>
      </c>
      <c r="F1828" s="9" t="s">
        <v>19</v>
      </c>
      <c r="H1828" t="str">
        <f>TRIM(SUBSTITUTE(PROPER(C1828)&amp;" "&amp;IF(OR(D1828="County",D1828="Township",D1828="Village",D1828="Charter Township"),D1828,"")&amp;IF(D1828="Township"," "&amp;"("&amp;VLOOKUP(A1828,counties,3,0)&amp;")",""),"  "," "))</f>
        <v>Ash Township (Monroe County)</v>
      </c>
    </row>
    <row r="1829" spans="1:8" ht="15.75" thickBot="1" x14ac:dyDescent="0.3">
      <c r="A1829">
        <f t="shared" si="29"/>
        <v>58</v>
      </c>
      <c r="B1829" s="10">
        <v>2016</v>
      </c>
      <c r="C1829" s="3" t="s">
        <v>1601</v>
      </c>
      <c r="D1829" s="3" t="s">
        <v>9</v>
      </c>
      <c r="E1829" s="4" t="s">
        <v>7</v>
      </c>
      <c r="F1829" s="11" t="s">
        <v>8</v>
      </c>
      <c r="H1829" t="str">
        <f>TRIM(SUBSTITUTE(PROPER(C1829)&amp;" "&amp;IF(OR(D1829="County",D1829="Township",D1829="Village",D1829="Charter Township"),D1829,"")&amp;IF(D1829="Township"," "&amp;"("&amp;VLOOKUP(A1829,counties,3,0)&amp;")",""),"  "," "))</f>
        <v>Bedford Township (Monroe County)</v>
      </c>
    </row>
    <row r="1830" spans="1:8" ht="15.75" thickBot="1" x14ac:dyDescent="0.3">
      <c r="A1830">
        <f t="shared" si="29"/>
        <v>58</v>
      </c>
      <c r="B1830" s="8">
        <v>2016</v>
      </c>
      <c r="C1830" s="1" t="s">
        <v>1602</v>
      </c>
      <c r="D1830" s="1" t="s">
        <v>17</v>
      </c>
      <c r="E1830" s="2" t="s">
        <v>7</v>
      </c>
      <c r="F1830" s="9" t="s">
        <v>8</v>
      </c>
      <c r="H1830" t="str">
        <f>TRIM(SUBSTITUTE(PROPER(C1830)&amp;" "&amp;IF(OR(D1830="County",D1830="Township",D1830="Village",D1830="Charter Township"),D1830,"")&amp;IF(D1830="Township"," "&amp;"("&amp;VLOOKUP(A1830,counties,3,0)&amp;")",""),"  "," "))</f>
        <v>Bedford Township Housing Commission</v>
      </c>
    </row>
    <row r="1831" spans="1:8" ht="15.75" thickBot="1" x14ac:dyDescent="0.3">
      <c r="A1831">
        <f t="shared" si="29"/>
        <v>58</v>
      </c>
      <c r="B1831" s="10">
        <v>2016</v>
      </c>
      <c r="C1831" s="3" t="s">
        <v>1603</v>
      </c>
      <c r="D1831" s="3" t="s">
        <v>9</v>
      </c>
      <c r="E1831" s="4" t="s">
        <v>7</v>
      </c>
      <c r="F1831" s="11" t="s">
        <v>8</v>
      </c>
      <c r="H1831" t="str">
        <f>TRIM(SUBSTITUTE(PROPER(C1831)&amp;" "&amp;IF(OR(D1831="County",D1831="Township",D1831="Village",D1831="Charter Township"),D1831,"")&amp;IF(D1831="Township"," "&amp;"("&amp;VLOOKUP(A1831,counties,3,0)&amp;")",""),"  "," "))</f>
        <v>Berlin Charter Township (Monroe County)</v>
      </c>
    </row>
    <row r="1832" spans="1:8" ht="15.75" thickBot="1" x14ac:dyDescent="0.3">
      <c r="A1832">
        <f t="shared" si="29"/>
        <v>58</v>
      </c>
      <c r="B1832" s="8">
        <v>2016</v>
      </c>
      <c r="C1832" s="1" t="s">
        <v>1604</v>
      </c>
      <c r="D1832" s="1" t="s">
        <v>21</v>
      </c>
      <c r="E1832" s="2" t="s">
        <v>7</v>
      </c>
      <c r="F1832" s="9" t="s">
        <v>19</v>
      </c>
      <c r="H1832" t="str">
        <f>TRIM(SUBSTITUTE(PROPER(C1832)&amp;" "&amp;IF(OR(D1832="County",D1832="Township",D1832="Village",D1832="Charter Township"),D1832,"")&amp;IF(D1832="Township"," "&amp;"("&amp;VLOOKUP(A1832,counties,3,0)&amp;")",""),"  "," "))</f>
        <v>Carleton Village</v>
      </c>
    </row>
    <row r="1833" spans="1:8" ht="15.75" thickBot="1" x14ac:dyDescent="0.3">
      <c r="A1833">
        <f t="shared" si="29"/>
        <v>58</v>
      </c>
      <c r="B1833" s="10">
        <v>2016</v>
      </c>
      <c r="C1833" s="3" t="s">
        <v>1605</v>
      </c>
      <c r="D1833" s="3" t="s">
        <v>9</v>
      </c>
      <c r="E1833" s="4" t="s">
        <v>7</v>
      </c>
      <c r="F1833" s="11" t="s">
        <v>19</v>
      </c>
      <c r="H1833" t="str">
        <f>TRIM(SUBSTITUTE(PROPER(C1833)&amp;" "&amp;IF(OR(D1833="County",D1833="Township",D1833="Village",D1833="Charter Township"),D1833,"")&amp;IF(D1833="Township"," "&amp;"("&amp;VLOOKUP(A1833,counties,3,0)&amp;")",""),"  "," "))</f>
        <v>Dundee Township (Monroe County)</v>
      </c>
    </row>
    <row r="1834" spans="1:8" ht="15.75" thickBot="1" x14ac:dyDescent="0.3">
      <c r="A1834">
        <f t="shared" si="29"/>
        <v>58</v>
      </c>
      <c r="B1834" s="8">
        <v>2016</v>
      </c>
      <c r="C1834" s="1" t="s">
        <v>1605</v>
      </c>
      <c r="D1834" s="1" t="s">
        <v>21</v>
      </c>
      <c r="E1834" s="2" t="s">
        <v>7</v>
      </c>
      <c r="F1834" s="9" t="s">
        <v>19</v>
      </c>
      <c r="H1834" t="str">
        <f>TRIM(SUBSTITUTE(PROPER(C1834)&amp;" "&amp;IF(OR(D1834="County",D1834="Township",D1834="Village",D1834="Charter Township"),D1834,"")&amp;IF(D1834="Township"," "&amp;"("&amp;VLOOKUP(A1834,counties,3,0)&amp;")",""),"  "," "))</f>
        <v>Dundee Village</v>
      </c>
    </row>
    <row r="1835" spans="1:8" ht="15.75" thickBot="1" x14ac:dyDescent="0.3">
      <c r="A1835">
        <f t="shared" si="29"/>
        <v>58</v>
      </c>
      <c r="B1835" s="10">
        <v>2016</v>
      </c>
      <c r="C1835" s="3" t="s">
        <v>1606</v>
      </c>
      <c r="D1835" s="3" t="s">
        <v>17</v>
      </c>
      <c r="E1835" s="4" t="s">
        <v>7</v>
      </c>
      <c r="F1835" s="11" t="s">
        <v>8</v>
      </c>
      <c r="H1835" t="str">
        <f>TRIM(SUBSTITUTE(PROPER(C1835)&amp;" "&amp;IF(OR(D1835="County",D1835="Township",D1835="Village",D1835="Charter Township"),D1835,"")&amp;IF(D1835="Township"," "&amp;"("&amp;VLOOKUP(A1835,counties,3,0)&amp;")",""),"  "," "))</f>
        <v>Dundee Village Housing Commission</v>
      </c>
    </row>
    <row r="1836" spans="1:8" ht="15.75" thickBot="1" x14ac:dyDescent="0.3">
      <c r="A1836">
        <f t="shared" si="29"/>
        <v>58</v>
      </c>
      <c r="B1836" s="8">
        <v>2016</v>
      </c>
      <c r="C1836" s="1" t="s">
        <v>1607</v>
      </c>
      <c r="D1836" s="1" t="s">
        <v>9</v>
      </c>
      <c r="E1836" s="2" t="s">
        <v>7</v>
      </c>
      <c r="F1836" s="9" t="s">
        <v>8</v>
      </c>
      <c r="H1836" t="str">
        <f>TRIM(SUBSTITUTE(PROPER(C1836)&amp;" "&amp;IF(OR(D1836="County",D1836="Township",D1836="Village",D1836="Charter Township"),D1836,"")&amp;IF(D1836="Township"," "&amp;"("&amp;VLOOKUP(A1836,counties,3,0)&amp;")",""),"  "," "))</f>
        <v>Erie Township (Monroe County)</v>
      </c>
    </row>
    <row r="1837" spans="1:8" ht="15.75" thickBot="1" x14ac:dyDescent="0.3">
      <c r="A1837">
        <f t="shared" si="29"/>
        <v>58</v>
      </c>
      <c r="B1837" s="10">
        <v>2016</v>
      </c>
      <c r="C1837" s="3" t="s">
        <v>1608</v>
      </c>
      <c r="D1837" s="3" t="s">
        <v>21</v>
      </c>
      <c r="E1837" s="4" t="s">
        <v>7</v>
      </c>
      <c r="F1837" s="11" t="s">
        <v>8</v>
      </c>
      <c r="H1837" t="str">
        <f>TRIM(SUBSTITUTE(PROPER(C1837)&amp;" "&amp;IF(OR(D1837="County",D1837="Township",D1837="Village",D1837="Charter Township"),D1837,"")&amp;IF(D1837="Township"," "&amp;"("&amp;VLOOKUP(A1837,counties,3,0)&amp;")",""),"  "," "))</f>
        <v>Estral Beach Village Village</v>
      </c>
    </row>
    <row r="1838" spans="1:8" ht="15.75" thickBot="1" x14ac:dyDescent="0.3">
      <c r="A1838">
        <f t="shared" si="29"/>
        <v>58</v>
      </c>
      <c r="B1838" s="8">
        <v>2016</v>
      </c>
      <c r="C1838" s="1" t="s">
        <v>1609</v>
      </c>
      <c r="D1838" s="1" t="s">
        <v>9</v>
      </c>
      <c r="E1838" s="2" t="s">
        <v>7</v>
      </c>
      <c r="F1838" s="9" t="s">
        <v>8</v>
      </c>
      <c r="H1838" t="str">
        <f>TRIM(SUBSTITUTE(PROPER(C1838)&amp;" "&amp;IF(OR(D1838="County",D1838="Township",D1838="Village",D1838="Charter Township"),D1838,"")&amp;IF(D1838="Township"," "&amp;"("&amp;VLOOKUP(A1838,counties,3,0)&amp;")",""),"  "," "))</f>
        <v>Exeter Township (Monroe County)</v>
      </c>
    </row>
    <row r="1839" spans="1:8" ht="15.75" thickBot="1" x14ac:dyDescent="0.3">
      <c r="A1839">
        <f t="shared" si="29"/>
        <v>58</v>
      </c>
      <c r="B1839" s="10">
        <v>2016</v>
      </c>
      <c r="C1839" s="3" t="s">
        <v>1610</v>
      </c>
      <c r="D1839" s="3" t="s">
        <v>17</v>
      </c>
      <c r="E1839" s="4" t="s">
        <v>7</v>
      </c>
      <c r="F1839" s="11" t="s">
        <v>8</v>
      </c>
      <c r="H1839" t="str">
        <f>TRIM(SUBSTITUTE(PROPER(C1839)&amp;" "&amp;IF(OR(D1839="County",D1839="Township",D1839="Village",D1839="Charter Township"),D1839,"")&amp;IF(D1839="Township"," "&amp;"("&amp;VLOOKUP(A1839,counties,3,0)&amp;")",""),"  "," "))</f>
        <v>Frenchtown Ch Twp Resort District Auth</v>
      </c>
    </row>
    <row r="1840" spans="1:8" ht="15.75" thickBot="1" x14ac:dyDescent="0.3">
      <c r="A1840">
        <f t="shared" si="29"/>
        <v>58</v>
      </c>
      <c r="B1840" s="8">
        <v>2016</v>
      </c>
      <c r="C1840" s="1" t="s">
        <v>1611</v>
      </c>
      <c r="D1840" s="1" t="s">
        <v>9</v>
      </c>
      <c r="E1840" s="2" t="s">
        <v>7</v>
      </c>
      <c r="F1840" s="9" t="s">
        <v>8</v>
      </c>
      <c r="H1840" t="str">
        <f>TRIM(SUBSTITUTE(PROPER(C1840)&amp;" "&amp;IF(OR(D1840="County",D1840="Township",D1840="Village",D1840="Charter Township"),D1840,"")&amp;IF(D1840="Township"," "&amp;"("&amp;VLOOKUP(A1840,counties,3,0)&amp;")",""),"  "," "))</f>
        <v>Frenchtown Charter Township (Monroe County)</v>
      </c>
    </row>
    <row r="1841" spans="1:8" ht="15.75" thickBot="1" x14ac:dyDescent="0.3">
      <c r="A1841">
        <f t="shared" si="29"/>
        <v>58</v>
      </c>
      <c r="B1841" s="10">
        <v>2016</v>
      </c>
      <c r="C1841" s="3" t="s">
        <v>1612</v>
      </c>
      <c r="D1841" s="3" t="s">
        <v>9</v>
      </c>
      <c r="E1841" s="4" t="s">
        <v>7</v>
      </c>
      <c r="F1841" s="11" t="s">
        <v>8</v>
      </c>
      <c r="H1841" t="str">
        <f>TRIM(SUBSTITUTE(PROPER(C1841)&amp;" "&amp;IF(OR(D1841="County",D1841="Township",D1841="Village",D1841="Charter Township"),D1841,"")&amp;IF(D1841="Township"," "&amp;"("&amp;VLOOKUP(A1841,counties,3,0)&amp;")",""),"  "," "))</f>
        <v>Ida Township (Monroe County)</v>
      </c>
    </row>
    <row r="1842" spans="1:8" ht="15.75" thickBot="1" x14ac:dyDescent="0.3">
      <c r="A1842">
        <f t="shared" si="29"/>
        <v>58</v>
      </c>
      <c r="B1842" s="8">
        <v>2016</v>
      </c>
      <c r="C1842" s="1" t="s">
        <v>1613</v>
      </c>
      <c r="D1842" s="1" t="s">
        <v>17</v>
      </c>
      <c r="E1842" s="2" t="s">
        <v>7</v>
      </c>
      <c r="F1842" s="9" t="s">
        <v>8</v>
      </c>
      <c r="H1842" t="str">
        <f>TRIM(SUBSTITUTE(PROPER(C1842)&amp;" "&amp;IF(OR(D1842="County",D1842="Township",D1842="Village",D1842="Charter Township"),D1842,"")&amp;IF(D1842="Township"," "&amp;"("&amp;VLOOKUP(A1842,counties,3,0)&amp;")",""),"  "," "))</f>
        <v>Lake Erie Transportation Commission</v>
      </c>
    </row>
    <row r="1843" spans="1:8" ht="15.75" thickBot="1" x14ac:dyDescent="0.3">
      <c r="A1843">
        <f t="shared" si="29"/>
        <v>58</v>
      </c>
      <c r="B1843" s="10">
        <v>2016</v>
      </c>
      <c r="C1843" s="3" t="s">
        <v>1614</v>
      </c>
      <c r="D1843" s="3" t="s">
        <v>9</v>
      </c>
      <c r="E1843" s="4" t="s">
        <v>7</v>
      </c>
      <c r="F1843" s="11" t="s">
        <v>19</v>
      </c>
      <c r="H1843" t="str">
        <f>TRIM(SUBSTITUTE(PROPER(C1843)&amp;" "&amp;IF(OR(D1843="County",D1843="Township",D1843="Village",D1843="Charter Township"),D1843,"")&amp;IF(D1843="Township"," "&amp;"("&amp;VLOOKUP(A1843,counties,3,0)&amp;")",""),"  "," "))</f>
        <v>Lasalle Township (Monroe County)</v>
      </c>
    </row>
    <row r="1844" spans="1:8" ht="15.75" thickBot="1" x14ac:dyDescent="0.3">
      <c r="A1844">
        <f t="shared" si="29"/>
        <v>58</v>
      </c>
      <c r="B1844" s="8">
        <v>2016</v>
      </c>
      <c r="C1844" s="1" t="s">
        <v>1615</v>
      </c>
      <c r="D1844" s="1" t="s">
        <v>9</v>
      </c>
      <c r="E1844" s="2" t="s">
        <v>7</v>
      </c>
      <c r="F1844" s="9" t="s">
        <v>8</v>
      </c>
      <c r="H1844" t="str">
        <f>TRIM(SUBSTITUTE(PROPER(C1844)&amp;" "&amp;IF(OR(D1844="County",D1844="Township",D1844="Village",D1844="Charter Township"),D1844,"")&amp;IF(D1844="Township"," "&amp;"("&amp;VLOOKUP(A1844,counties,3,0)&amp;")",""),"  "," "))</f>
        <v>London Township (Monroe County)</v>
      </c>
    </row>
    <row r="1845" spans="1:8" ht="15.75" thickBot="1" x14ac:dyDescent="0.3">
      <c r="A1845">
        <f t="shared" si="29"/>
        <v>58</v>
      </c>
      <c r="B1845" s="10">
        <v>2016</v>
      </c>
      <c r="C1845" s="3" t="s">
        <v>1616</v>
      </c>
      <c r="D1845" s="3" t="s">
        <v>17</v>
      </c>
      <c r="E1845" s="4" t="s">
        <v>7</v>
      </c>
      <c r="F1845" s="11" t="s">
        <v>8</v>
      </c>
      <c r="H1845" t="str">
        <f>TRIM(SUBSTITUTE(PROPER(C1845)&amp;" "&amp;IF(OR(D1845="County",D1845="Township",D1845="Village",D1845="Charter Township"),D1845,"")&amp;IF(D1845="Township"," "&amp;"("&amp;VLOOKUP(A1845,counties,3,0)&amp;")",""),"  "," "))</f>
        <v>London-Maybee-Raisinville Fire Department</v>
      </c>
    </row>
    <row r="1846" spans="1:8" ht="15.75" thickBot="1" x14ac:dyDescent="0.3">
      <c r="A1846">
        <f t="shared" si="29"/>
        <v>58</v>
      </c>
      <c r="B1846" s="8">
        <v>2016</v>
      </c>
      <c r="C1846" s="1" t="s">
        <v>1617</v>
      </c>
      <c r="D1846" s="1" t="s">
        <v>17</v>
      </c>
      <c r="E1846" s="2" t="s">
        <v>7</v>
      </c>
      <c r="F1846" s="9" t="s">
        <v>8</v>
      </c>
      <c r="H1846" t="str">
        <f>TRIM(SUBSTITUTE(PROPER(C1846)&amp;" "&amp;IF(OR(D1846="County",D1846="Township",D1846="Village",D1846="Charter Township"),D1846,"")&amp;IF(D1846="Township"," "&amp;"("&amp;VLOOKUP(A1846,counties,3,0)&amp;")",""),"  "," "))</f>
        <v>Luna Pier City Housing Commission</v>
      </c>
    </row>
    <row r="1847" spans="1:8" ht="15.75" thickBot="1" x14ac:dyDescent="0.3">
      <c r="A1847">
        <f t="shared" si="29"/>
        <v>58</v>
      </c>
      <c r="B1847" s="10">
        <v>2016</v>
      </c>
      <c r="C1847" s="3" t="s">
        <v>1618</v>
      </c>
      <c r="D1847" s="3" t="s">
        <v>9</v>
      </c>
      <c r="E1847" s="4" t="s">
        <v>7</v>
      </c>
      <c r="F1847" s="11" t="s">
        <v>8</v>
      </c>
      <c r="H1847" t="str">
        <f>TRIM(SUBSTITUTE(PROPER(C1847)&amp;" "&amp;IF(OR(D1847="County",D1847="Township",D1847="Village",D1847="Charter Township"),D1847,"")&amp;IF(D1847="Township"," "&amp;"("&amp;VLOOKUP(A1847,counties,3,0)&amp;")",""),"  "," "))</f>
        <v>Milan Township (Monroe County)</v>
      </c>
    </row>
    <row r="1848" spans="1:8" ht="15.75" thickBot="1" x14ac:dyDescent="0.3">
      <c r="A1848">
        <f t="shared" si="29"/>
        <v>58</v>
      </c>
      <c r="B1848" s="8">
        <v>2016</v>
      </c>
      <c r="C1848" s="1" t="s">
        <v>1619</v>
      </c>
      <c r="D1848" s="1" t="s">
        <v>15</v>
      </c>
      <c r="E1848" s="2" t="s">
        <v>7</v>
      </c>
      <c r="F1848" s="9" t="s">
        <v>8</v>
      </c>
      <c r="H1848" t="str">
        <f>TRIM(SUBSTITUTE(PROPER(C1848)&amp;" "&amp;IF(OR(D1848="County",D1848="Township",D1848="Village",D1848="Charter Township"),D1848,"")&amp;IF(D1848="Township"," "&amp;"("&amp;VLOOKUP(A1848,counties,3,0)&amp;")",""),"  "," "))</f>
        <v>Monroe</v>
      </c>
    </row>
    <row r="1849" spans="1:8" ht="15.75" thickBot="1" x14ac:dyDescent="0.3">
      <c r="A1849">
        <f t="shared" si="29"/>
        <v>58</v>
      </c>
      <c r="B1849" s="10">
        <v>2016</v>
      </c>
      <c r="C1849" s="3" t="s">
        <v>1619</v>
      </c>
      <c r="D1849" s="3" t="s">
        <v>6</v>
      </c>
      <c r="E1849" s="4" t="s">
        <v>7</v>
      </c>
      <c r="F1849" s="11" t="s">
        <v>8</v>
      </c>
      <c r="H1849" t="str">
        <f>TRIM(SUBSTITUTE(PROPER(C1849)&amp;" "&amp;IF(OR(D1849="County",D1849="Township",D1849="Village",D1849="Charter Township"),D1849,"")&amp;IF(D1849="Township"," "&amp;"("&amp;VLOOKUP(A1849,counties,3,0)&amp;")",""),"  "," "))</f>
        <v>Monroe County</v>
      </c>
    </row>
    <row r="1850" spans="1:8" ht="15.75" thickBot="1" x14ac:dyDescent="0.3">
      <c r="A1850">
        <f t="shared" si="29"/>
        <v>58</v>
      </c>
      <c r="B1850" s="8">
        <v>2016</v>
      </c>
      <c r="C1850" s="1" t="s">
        <v>1620</v>
      </c>
      <c r="D1850" s="1" t="s">
        <v>9</v>
      </c>
      <c r="E1850" s="2" t="s">
        <v>7</v>
      </c>
      <c r="F1850" s="9" t="s">
        <v>8</v>
      </c>
      <c r="H1850" t="str">
        <f>TRIM(SUBSTITUTE(PROPER(C1850)&amp;" "&amp;IF(OR(D1850="County",D1850="Township",D1850="Village",D1850="Charter Township"),D1850,"")&amp;IF(D1850="Township"," "&amp;"("&amp;VLOOKUP(A1850,counties,3,0)&amp;")",""),"  "," "))</f>
        <v>Monroe Charter Township (Monroe County)</v>
      </c>
    </row>
    <row r="1851" spans="1:8" ht="15.75" thickBot="1" x14ac:dyDescent="0.3">
      <c r="A1851">
        <f t="shared" si="29"/>
        <v>58</v>
      </c>
      <c r="B1851" s="10">
        <v>2016</v>
      </c>
      <c r="C1851" s="3" t="s">
        <v>1621</v>
      </c>
      <c r="D1851" s="3" t="s">
        <v>17</v>
      </c>
      <c r="E1851" s="4" t="s">
        <v>7</v>
      </c>
      <c r="F1851" s="11" t="s">
        <v>8</v>
      </c>
      <c r="H1851" t="str">
        <f>TRIM(SUBSTITUTE(PROPER(C1851)&amp;" "&amp;IF(OR(D1851="County",D1851="Township",D1851="Village",D1851="Charter Township"),D1851,"")&amp;IF(D1851="Township"," "&amp;"("&amp;VLOOKUP(A1851,counties,3,0)&amp;")",""),"  "," "))</f>
        <v>Monroe City Brownfield Redevelopment Authority</v>
      </c>
    </row>
    <row r="1852" spans="1:8" ht="15.75" thickBot="1" x14ac:dyDescent="0.3">
      <c r="A1852">
        <f t="shared" si="29"/>
        <v>58</v>
      </c>
      <c r="B1852" s="8">
        <v>2016</v>
      </c>
      <c r="C1852" s="1" t="s">
        <v>1622</v>
      </c>
      <c r="D1852" s="1" t="s">
        <v>17</v>
      </c>
      <c r="E1852" s="2" t="s">
        <v>7</v>
      </c>
      <c r="F1852" s="9" t="s">
        <v>8</v>
      </c>
      <c r="H1852" t="str">
        <f>TRIM(SUBSTITUTE(PROPER(C1852)&amp;" "&amp;IF(OR(D1852="County",D1852="Township",D1852="Village",D1852="Charter Township"),D1852,"")&amp;IF(D1852="Township"," "&amp;"("&amp;VLOOKUP(A1852,counties,3,0)&amp;")",""),"  "," "))</f>
        <v>Monroe City Downtown Development Authority</v>
      </c>
    </row>
    <row r="1853" spans="1:8" ht="15.75" thickBot="1" x14ac:dyDescent="0.3">
      <c r="A1853">
        <f t="shared" si="29"/>
        <v>58</v>
      </c>
      <c r="B1853" s="10">
        <v>2016</v>
      </c>
      <c r="C1853" s="3" t="s">
        <v>1623</v>
      </c>
      <c r="D1853" s="3" t="s">
        <v>17</v>
      </c>
      <c r="E1853" s="4" t="s">
        <v>7</v>
      </c>
      <c r="F1853" s="11" t="s">
        <v>8</v>
      </c>
      <c r="H1853" t="str">
        <f>TRIM(SUBSTITUTE(PROPER(C1853)&amp;" "&amp;IF(OR(D1853="County",D1853="Township",D1853="Village",D1853="Charter Township"),D1853,"")&amp;IF(D1853="Township"," "&amp;"("&amp;VLOOKUP(A1853,counties,3,0)&amp;")",""),"  "," "))</f>
        <v>Monroe Co Employees Retirement System</v>
      </c>
    </row>
    <row r="1854" spans="1:8" ht="15.75" thickBot="1" x14ac:dyDescent="0.3">
      <c r="A1854">
        <f t="shared" si="29"/>
        <v>58</v>
      </c>
      <c r="B1854" s="8">
        <v>2016</v>
      </c>
      <c r="C1854" s="1" t="s">
        <v>1624</v>
      </c>
      <c r="D1854" s="1" t="s">
        <v>17</v>
      </c>
      <c r="E1854" s="2" t="s">
        <v>7</v>
      </c>
      <c r="F1854" s="9" t="s">
        <v>8</v>
      </c>
      <c r="H1854" t="str">
        <f>TRIM(SUBSTITUTE(PROPER(C1854)&amp;" "&amp;IF(OR(D1854="County",D1854="Township",D1854="Village",D1854="Charter Township"),D1854,"")&amp;IF(D1854="Township"," "&amp;"("&amp;VLOOKUP(A1854,counties,3,0)&amp;")",""),"  "," "))</f>
        <v>Monroe Co.Land Bank Fast Track Authority</v>
      </c>
    </row>
    <row r="1855" spans="1:8" ht="15.75" thickBot="1" x14ac:dyDescent="0.3">
      <c r="A1855">
        <f t="shared" si="29"/>
        <v>58</v>
      </c>
      <c r="B1855" s="10">
        <v>2016</v>
      </c>
      <c r="C1855" s="3" t="s">
        <v>1625</v>
      </c>
      <c r="D1855" s="3" t="s">
        <v>17</v>
      </c>
      <c r="E1855" s="4" t="s">
        <v>7</v>
      </c>
      <c r="F1855" s="11" t="s">
        <v>8</v>
      </c>
      <c r="H1855" t="str">
        <f>TRIM(SUBSTITUTE(PROPER(C1855)&amp;" "&amp;IF(OR(D1855="County",D1855="Township",D1855="Village",D1855="Charter Township"),D1855,"")&amp;IF(D1855="Township"," "&amp;"("&amp;VLOOKUP(A1855,counties,3,0)&amp;")",""),"  "," "))</f>
        <v>Monroe Community Mental Health Authority</v>
      </c>
    </row>
    <row r="1856" spans="1:8" ht="15.75" thickBot="1" x14ac:dyDescent="0.3">
      <c r="A1856">
        <f t="shared" si="29"/>
        <v>58</v>
      </c>
      <c r="B1856" s="8">
        <v>2016</v>
      </c>
      <c r="C1856" s="1" t="s">
        <v>1626</v>
      </c>
      <c r="D1856" s="1" t="s">
        <v>17</v>
      </c>
      <c r="E1856" s="2" t="s">
        <v>7</v>
      </c>
      <c r="F1856" s="9" t="s">
        <v>8</v>
      </c>
      <c r="H1856" t="str">
        <f>TRIM(SUBSTITUTE(PROPER(C1856)&amp;" "&amp;IF(OR(D1856="County",D1856="Township",D1856="Village",D1856="Charter Township"),D1856,"")&amp;IF(D1856="Township"," "&amp;"("&amp;VLOOKUP(A1856,counties,3,0)&amp;")",""),"  "," "))</f>
        <v>Monroe County Agency</v>
      </c>
    </row>
    <row r="1857" spans="1:8" ht="15.75" thickBot="1" x14ac:dyDescent="0.3">
      <c r="A1857">
        <f t="shared" si="29"/>
        <v>58</v>
      </c>
      <c r="B1857" s="10">
        <v>2016</v>
      </c>
      <c r="C1857" s="3" t="s">
        <v>1627</v>
      </c>
      <c r="D1857" s="3" t="s">
        <v>17</v>
      </c>
      <c r="E1857" s="4" t="s">
        <v>7</v>
      </c>
      <c r="F1857" s="11" t="s">
        <v>8</v>
      </c>
      <c r="H1857" t="str">
        <f>TRIM(SUBSTITUTE(PROPER(C1857)&amp;" "&amp;IF(OR(D1857="County",D1857="Township",D1857="Village",D1857="Charter Township"),D1857,"")&amp;IF(D1857="Township"," "&amp;"("&amp;VLOOKUP(A1857,counties,3,0)&amp;")",""),"  "," "))</f>
        <v>Monroe County Building Authority</v>
      </c>
    </row>
    <row r="1858" spans="1:8" ht="15.75" thickBot="1" x14ac:dyDescent="0.3">
      <c r="A1858">
        <f t="shared" si="29"/>
        <v>58</v>
      </c>
      <c r="B1858" s="8">
        <v>2016</v>
      </c>
      <c r="C1858" s="1" t="s">
        <v>1628</v>
      </c>
      <c r="D1858" s="1" t="s">
        <v>88</v>
      </c>
      <c r="E1858" s="2" t="s">
        <v>7</v>
      </c>
      <c r="F1858" s="9" t="s">
        <v>8</v>
      </c>
      <c r="H1858" t="str">
        <f>TRIM(SUBSTITUTE(PROPER(C1858)&amp;" "&amp;IF(OR(D1858="County",D1858="Township",D1858="Village",D1858="Charter Township"),D1858,"")&amp;IF(D1858="Township"," "&amp;"("&amp;VLOOKUP(A1858,counties,3,0)&amp;")",""),"  "," "))</f>
        <v>Monroe County Community College</v>
      </c>
    </row>
    <row r="1859" spans="1:8" ht="15.75" thickBot="1" x14ac:dyDescent="0.3">
      <c r="A1859">
        <f t="shared" ref="A1859:A1922" si="30">IF(B1859="Year",A1858+1,A1858)</f>
        <v>58</v>
      </c>
      <c r="B1859" s="10">
        <v>2016</v>
      </c>
      <c r="C1859" s="3" t="s">
        <v>1629</v>
      </c>
      <c r="D1859" s="3" t="s">
        <v>42</v>
      </c>
      <c r="E1859" s="4" t="s">
        <v>7</v>
      </c>
      <c r="F1859" s="11" t="s">
        <v>8</v>
      </c>
      <c r="H1859" t="str">
        <f>TRIM(SUBSTITUTE(PROPER(C1859)&amp;" "&amp;IF(OR(D1859="County",D1859="Township",D1859="Village",D1859="Charter Township"),D1859,"")&amp;IF(D1859="Township"," "&amp;"("&amp;VLOOKUP(A1859,counties,3,0)&amp;")",""),"  "," "))</f>
        <v>Monroe County Library System</v>
      </c>
    </row>
    <row r="1860" spans="1:8" ht="15.75" thickBot="1" x14ac:dyDescent="0.3">
      <c r="A1860">
        <f t="shared" si="30"/>
        <v>58</v>
      </c>
      <c r="B1860" s="8">
        <v>2016</v>
      </c>
      <c r="C1860" s="1" t="s">
        <v>1630</v>
      </c>
      <c r="D1860" s="1" t="s">
        <v>11</v>
      </c>
      <c r="E1860" s="2" t="s">
        <v>7</v>
      </c>
      <c r="F1860" s="9" t="s">
        <v>8</v>
      </c>
      <c r="H1860" t="str">
        <f>TRIM(SUBSTITUTE(PROPER(C1860)&amp;" "&amp;IF(OR(D1860="County",D1860="Township",D1860="Village",D1860="Charter Township"),D1860,"")&amp;IF(D1860="Township"," "&amp;"("&amp;VLOOKUP(A1860,counties,3,0)&amp;")",""),"  "," "))</f>
        <v>Monroe County Road Commission</v>
      </c>
    </row>
    <row r="1861" spans="1:8" ht="15.75" thickBot="1" x14ac:dyDescent="0.3">
      <c r="A1861">
        <f t="shared" si="30"/>
        <v>58</v>
      </c>
      <c r="B1861" s="10">
        <v>2016</v>
      </c>
      <c r="C1861" s="3" t="s">
        <v>1631</v>
      </c>
      <c r="D1861" s="3" t="s">
        <v>17</v>
      </c>
      <c r="E1861" s="4" t="s">
        <v>7</v>
      </c>
      <c r="F1861" s="11" t="s">
        <v>8</v>
      </c>
      <c r="H1861" t="str">
        <f>TRIM(SUBSTITUTE(PROPER(C1861)&amp;" "&amp;IF(OR(D1861="County",D1861="Township",D1861="Village",D1861="Charter Township"),D1861,"")&amp;IF(D1861="Township"," "&amp;"("&amp;VLOOKUP(A1861,counties,3,0)&amp;")",""),"  "," "))</f>
        <v>Monroe Housing Commission</v>
      </c>
    </row>
    <row r="1862" spans="1:8" ht="21.75" thickBot="1" x14ac:dyDescent="0.3">
      <c r="A1862">
        <f t="shared" si="30"/>
        <v>58</v>
      </c>
      <c r="B1862" s="8">
        <v>2016</v>
      </c>
      <c r="C1862" s="1" t="s">
        <v>1632</v>
      </c>
      <c r="D1862" s="1" t="s">
        <v>17</v>
      </c>
      <c r="E1862" s="2" t="s">
        <v>7</v>
      </c>
      <c r="F1862" s="9" t="s">
        <v>8</v>
      </c>
      <c r="H1862" t="str">
        <f>TRIM(SUBSTITUTE(PROPER(C1862)&amp;" "&amp;IF(OR(D1862="County",D1862="Township",D1862="Village",D1862="Charter Township"),D1862,"")&amp;IF(D1862="Township"," "&amp;"("&amp;VLOOKUP(A1862,counties,3,0)&amp;")",""),"  "," "))</f>
        <v>Monroe Metropolitan Water Pollution Control System</v>
      </c>
    </row>
    <row r="1863" spans="1:8" ht="15.75" thickBot="1" x14ac:dyDescent="0.3">
      <c r="A1863">
        <f t="shared" si="30"/>
        <v>58</v>
      </c>
      <c r="B1863" s="10">
        <v>2016</v>
      </c>
      <c r="C1863" s="3" t="s">
        <v>1633</v>
      </c>
      <c r="D1863" s="3" t="s">
        <v>17</v>
      </c>
      <c r="E1863" s="4" t="s">
        <v>7</v>
      </c>
      <c r="F1863" s="11" t="s">
        <v>8</v>
      </c>
      <c r="H1863" t="str">
        <f>TRIM(SUBSTITUTE(PROPER(C1863)&amp;" "&amp;IF(OR(D1863="County",D1863="Township",D1863="Village",D1863="Charter Township"),D1863,"")&amp;IF(D1863="Township"," "&amp;"("&amp;VLOOKUP(A1863,counties,3,0)&amp;")",""),"  "," "))</f>
        <v>Monroe Raw Water Intake Partnership</v>
      </c>
    </row>
    <row r="1864" spans="1:8" ht="15.75" thickBot="1" x14ac:dyDescent="0.3">
      <c r="A1864">
        <f t="shared" si="30"/>
        <v>58</v>
      </c>
      <c r="B1864" s="8">
        <v>2016</v>
      </c>
      <c r="C1864" s="1" t="s">
        <v>1634</v>
      </c>
      <c r="D1864" s="1" t="s">
        <v>15</v>
      </c>
      <c r="E1864" s="2" t="s">
        <v>7</v>
      </c>
      <c r="F1864" s="9" t="s">
        <v>8</v>
      </c>
      <c r="H1864" t="str">
        <f>TRIM(SUBSTITUTE(PROPER(C1864)&amp;" "&amp;IF(OR(D1864="County",D1864="Township",D1864="Village",D1864="Charter Township"),D1864,"")&amp;IF(D1864="Township"," "&amp;"("&amp;VLOOKUP(A1864,counties,3,0)&amp;")",""),"  "," "))</f>
        <v>Petersburg</v>
      </c>
    </row>
    <row r="1865" spans="1:8" ht="15.75" thickBot="1" x14ac:dyDescent="0.3">
      <c r="A1865">
        <f t="shared" si="30"/>
        <v>58</v>
      </c>
      <c r="B1865" s="10">
        <v>2016</v>
      </c>
      <c r="C1865" s="3" t="s">
        <v>1635</v>
      </c>
      <c r="D1865" s="3" t="s">
        <v>17</v>
      </c>
      <c r="E1865" s="4" t="s">
        <v>7</v>
      </c>
      <c r="F1865" s="11" t="s">
        <v>8</v>
      </c>
      <c r="H1865" t="str">
        <f>TRIM(SUBSTITUTE(PROPER(C1865)&amp;" "&amp;IF(OR(D1865="County",D1865="Township",D1865="Village",D1865="Charter Township"),D1865,"")&amp;IF(D1865="Township"," "&amp;"("&amp;VLOOKUP(A1865,counties,3,0)&amp;")",""),"  "," "))</f>
        <v>Port Of Monroe</v>
      </c>
    </row>
    <row r="1866" spans="1:8" ht="15.75" thickBot="1" x14ac:dyDescent="0.3">
      <c r="A1866">
        <f t="shared" si="30"/>
        <v>58</v>
      </c>
      <c r="B1866" s="8">
        <v>2016</v>
      </c>
      <c r="C1866" s="1" t="s">
        <v>1636</v>
      </c>
      <c r="D1866" s="1" t="s">
        <v>9</v>
      </c>
      <c r="E1866" s="2" t="s">
        <v>7</v>
      </c>
      <c r="F1866" s="9" t="s">
        <v>8</v>
      </c>
      <c r="H1866" t="str">
        <f>TRIM(SUBSTITUTE(PROPER(C1866)&amp;" "&amp;IF(OR(D1866="County",D1866="Township",D1866="Village",D1866="Charter Township"),D1866,"")&amp;IF(D1866="Township"," "&amp;"("&amp;VLOOKUP(A1866,counties,3,0)&amp;")",""),"  "," "))</f>
        <v>Raisinville Township (Monroe County)</v>
      </c>
    </row>
    <row r="1867" spans="1:8" ht="15.75" thickBot="1" x14ac:dyDescent="0.3">
      <c r="A1867">
        <f t="shared" si="30"/>
        <v>58</v>
      </c>
      <c r="B1867" s="10">
        <v>2016</v>
      </c>
      <c r="C1867" s="3" t="s">
        <v>1637</v>
      </c>
      <c r="D1867" s="3" t="s">
        <v>21</v>
      </c>
      <c r="E1867" s="4" t="s">
        <v>7</v>
      </c>
      <c r="F1867" s="11" t="s">
        <v>8</v>
      </c>
      <c r="H1867" t="str">
        <f>TRIM(SUBSTITUTE(PROPER(C1867)&amp;" "&amp;IF(OR(D1867="County",D1867="Township",D1867="Village",D1867="Charter Township"),D1867,"")&amp;IF(D1867="Township"," "&amp;"("&amp;VLOOKUP(A1867,counties,3,0)&amp;")",""),"  "," "))</f>
        <v>South Rockwood Village</v>
      </c>
    </row>
    <row r="1868" spans="1:8" ht="15.75" thickBot="1" x14ac:dyDescent="0.3">
      <c r="A1868">
        <f t="shared" si="30"/>
        <v>58</v>
      </c>
      <c r="B1868" s="8">
        <v>2016</v>
      </c>
      <c r="C1868" s="1" t="s">
        <v>501</v>
      </c>
      <c r="D1868" s="1" t="s">
        <v>9</v>
      </c>
      <c r="E1868" s="2" t="s">
        <v>7</v>
      </c>
      <c r="F1868" s="9" t="s">
        <v>8</v>
      </c>
      <c r="H1868" t="str">
        <f>TRIM(SUBSTITUTE(PROPER(C1868)&amp;" "&amp;IF(OR(D1868="County",D1868="Township",D1868="Village",D1868="Charter Township"),D1868,"")&amp;IF(D1868="Township"," "&amp;"("&amp;VLOOKUP(A1868,counties,3,0)&amp;")",""),"  "," "))</f>
        <v>Summerfield Township (Monroe County)</v>
      </c>
    </row>
    <row r="1869" spans="1:8" ht="15.75" thickBot="1" x14ac:dyDescent="0.3">
      <c r="A1869">
        <f t="shared" si="30"/>
        <v>58</v>
      </c>
      <c r="B1869" s="12">
        <v>2016</v>
      </c>
      <c r="C1869" s="13" t="s">
        <v>1638</v>
      </c>
      <c r="D1869" s="13" t="s">
        <v>9</v>
      </c>
      <c r="E1869" s="14" t="s">
        <v>7</v>
      </c>
      <c r="F1869" s="15" t="s">
        <v>8</v>
      </c>
      <c r="H1869" t="str">
        <f>TRIM(SUBSTITUTE(PROPER(C1869)&amp;" "&amp;IF(OR(D1869="County",D1869="Township",D1869="Village",D1869="Charter Township"),D1869,"")&amp;IF(D1869="Township"," "&amp;"("&amp;VLOOKUP(A1869,counties,3,0)&amp;")",""),"  "," "))</f>
        <v>Whiteford Township (Monroe County)</v>
      </c>
    </row>
    <row r="1870" spans="1:8" ht="16.5" thickTop="1" thickBot="1" x14ac:dyDescent="0.3">
      <c r="A1870">
        <f t="shared" si="30"/>
        <v>59</v>
      </c>
      <c r="B1870" s="5" t="s">
        <v>0</v>
      </c>
      <c r="C1870" s="6" t="s">
        <v>1</v>
      </c>
      <c r="D1870" s="6" t="s">
        <v>2</v>
      </c>
      <c r="E1870" s="6" t="s">
        <v>3</v>
      </c>
      <c r="F1870" s="7" t="s">
        <v>4</v>
      </c>
      <c r="H1870" t="str">
        <f>TRIM(SUBSTITUTE(PROPER(C1870)&amp;" "&amp;IF(OR(D1870="County",D1870="Township",D1870="Village",D1870="Charter Township"),D1870,"")&amp;IF(D1870="Township"," "&amp;"("&amp;VLOOKUP(A1870,counties,3,0)&amp;")",""),"  "," "))</f>
        <v>Municipality</v>
      </c>
    </row>
    <row r="1871" spans="1:8" ht="15.75" thickBot="1" x14ac:dyDescent="0.3">
      <c r="A1871">
        <f t="shared" si="30"/>
        <v>59</v>
      </c>
      <c r="B1871" s="8">
        <v>2016</v>
      </c>
      <c r="C1871" s="1" t="s">
        <v>1639</v>
      </c>
      <c r="D1871" s="1" t="s">
        <v>9</v>
      </c>
      <c r="E1871" s="2" t="s">
        <v>7</v>
      </c>
      <c r="F1871" s="9" t="s">
        <v>8</v>
      </c>
      <c r="H1871" t="str">
        <f>TRIM(SUBSTITUTE(PROPER(C1871)&amp;" "&amp;IF(OR(D1871="County",D1871="Township",D1871="Village",D1871="Charter Township"),D1871,"")&amp;IF(D1871="Township"," "&amp;"("&amp;VLOOKUP(A1871,counties,3,0)&amp;")",""),"  "," "))</f>
        <v>Belvidere Township (Montcalm County)</v>
      </c>
    </row>
    <row r="1872" spans="1:8" ht="15.75" thickBot="1" x14ac:dyDescent="0.3">
      <c r="A1872">
        <f t="shared" si="30"/>
        <v>59</v>
      </c>
      <c r="B1872" s="10">
        <v>2016</v>
      </c>
      <c r="C1872" s="3" t="s">
        <v>1640</v>
      </c>
      <c r="D1872" s="3" t="s">
        <v>9</v>
      </c>
      <c r="E1872" s="4" t="s">
        <v>7</v>
      </c>
      <c r="F1872" s="11" t="s">
        <v>8</v>
      </c>
      <c r="H1872" t="str">
        <f>TRIM(SUBSTITUTE(PROPER(C1872)&amp;" "&amp;IF(OR(D1872="County",D1872="Township",D1872="Village",D1872="Charter Township"),D1872,"")&amp;IF(D1872="Township"," "&amp;"("&amp;VLOOKUP(A1872,counties,3,0)&amp;")",""),"  "," "))</f>
        <v>Bloomer Township (Montcalm County)</v>
      </c>
    </row>
    <row r="1873" spans="1:8" ht="15.75" thickBot="1" x14ac:dyDescent="0.3">
      <c r="A1873">
        <f t="shared" si="30"/>
        <v>59</v>
      </c>
      <c r="B1873" s="8">
        <v>2016</v>
      </c>
      <c r="C1873" s="1" t="s">
        <v>1641</v>
      </c>
      <c r="D1873" s="1" t="s">
        <v>15</v>
      </c>
      <c r="E1873" s="2" t="s">
        <v>7</v>
      </c>
      <c r="F1873" s="9" t="s">
        <v>8</v>
      </c>
      <c r="H1873" t="str">
        <f>TRIM(SUBSTITUTE(PROPER(C1873)&amp;" "&amp;IF(OR(D1873="County",D1873="Township",D1873="Village",D1873="Charter Township"),D1873,"")&amp;IF(D1873="Township"," "&amp;"("&amp;VLOOKUP(A1873,counties,3,0)&amp;")",""),"  "," "))</f>
        <v>Carson City</v>
      </c>
    </row>
    <row r="1874" spans="1:8" ht="15.75" thickBot="1" x14ac:dyDescent="0.3">
      <c r="A1874">
        <f t="shared" si="30"/>
        <v>59</v>
      </c>
      <c r="B1874" s="10">
        <v>2016</v>
      </c>
      <c r="C1874" s="3" t="s">
        <v>1642</v>
      </c>
      <c r="D1874" s="3" t="s">
        <v>9</v>
      </c>
      <c r="E1874" s="4" t="s">
        <v>7</v>
      </c>
      <c r="F1874" s="11" t="s">
        <v>8</v>
      </c>
      <c r="H1874" t="str">
        <f>TRIM(SUBSTITUTE(PROPER(C1874)&amp;" "&amp;IF(OR(D1874="County",D1874="Township",D1874="Village",D1874="Charter Township"),D1874,"")&amp;IF(D1874="Township"," "&amp;"("&amp;VLOOKUP(A1874,counties,3,0)&amp;")",""),"  "," "))</f>
        <v>Cato Township (Montcalm County)</v>
      </c>
    </row>
    <row r="1875" spans="1:8" ht="15.75" thickBot="1" x14ac:dyDescent="0.3">
      <c r="A1875">
        <f t="shared" si="30"/>
        <v>59</v>
      </c>
      <c r="B1875" s="8">
        <v>2016</v>
      </c>
      <c r="C1875" s="1" t="s">
        <v>1643</v>
      </c>
      <c r="D1875" s="1" t="s">
        <v>17</v>
      </c>
      <c r="E1875" s="2" t="s">
        <v>7</v>
      </c>
      <c r="F1875" s="9" t="s">
        <v>19</v>
      </c>
      <c r="H1875" t="str">
        <f>TRIM(SUBSTITUTE(PROPER(C1875)&amp;" "&amp;IF(OR(D1875="County",D1875="Township",D1875="Village",D1875="Charter Township"),D1875,"")&amp;IF(D1875="Township"," "&amp;"("&amp;VLOOKUP(A1875,counties,3,0)&amp;")",""),"  "," "))</f>
        <v>Central Area Michigan Works! Consortium</v>
      </c>
    </row>
    <row r="1876" spans="1:8" ht="15.75" thickBot="1" x14ac:dyDescent="0.3">
      <c r="A1876">
        <f t="shared" si="30"/>
        <v>59</v>
      </c>
      <c r="B1876" s="10">
        <v>2016</v>
      </c>
      <c r="C1876" s="3" t="s">
        <v>1644</v>
      </c>
      <c r="D1876" s="3" t="s">
        <v>17</v>
      </c>
      <c r="E1876" s="4" t="s">
        <v>7</v>
      </c>
      <c r="F1876" s="11" t="s">
        <v>8</v>
      </c>
      <c r="H1876" t="str">
        <f>TRIM(SUBSTITUTE(PROPER(C1876)&amp;" "&amp;IF(OR(D1876="County",D1876="Township",D1876="Village",D1876="Charter Township"),D1876,"")&amp;IF(D1876="Township"," "&amp;"("&amp;VLOOKUP(A1876,counties,3,0)&amp;")",""),"  "," "))</f>
        <v>Community Fire Association</v>
      </c>
    </row>
    <row r="1877" spans="1:8" ht="15.75" thickBot="1" x14ac:dyDescent="0.3">
      <c r="A1877">
        <f t="shared" si="30"/>
        <v>59</v>
      </c>
      <c r="B1877" s="8">
        <v>2016</v>
      </c>
      <c r="C1877" s="1" t="s">
        <v>1645</v>
      </c>
      <c r="D1877" s="1" t="s">
        <v>9</v>
      </c>
      <c r="E1877" s="2" t="s">
        <v>7</v>
      </c>
      <c r="F1877" s="9" t="s">
        <v>8</v>
      </c>
      <c r="H1877" t="str">
        <f>TRIM(SUBSTITUTE(PROPER(C1877)&amp;" "&amp;IF(OR(D1877="County",D1877="Township",D1877="Village",D1877="Charter Township"),D1877,"")&amp;IF(D1877="Township"," "&amp;"("&amp;VLOOKUP(A1877,counties,3,0)&amp;")",""),"  "," "))</f>
        <v>Crystal Township (Montcalm County)</v>
      </c>
    </row>
    <row r="1878" spans="1:8" ht="15.75" thickBot="1" x14ac:dyDescent="0.3">
      <c r="A1878">
        <f t="shared" si="30"/>
        <v>59</v>
      </c>
      <c r="B1878" s="10">
        <v>2016</v>
      </c>
      <c r="C1878" s="3" t="s">
        <v>1646</v>
      </c>
      <c r="D1878" s="3" t="s">
        <v>21</v>
      </c>
      <c r="E1878" s="4" t="s">
        <v>7</v>
      </c>
      <c r="F1878" s="11" t="s">
        <v>8</v>
      </c>
      <c r="H1878" t="str">
        <f>TRIM(SUBSTITUTE(PROPER(C1878)&amp;" "&amp;IF(OR(D1878="County",D1878="Township",D1878="Village",D1878="Charter Township"),D1878,"")&amp;IF(D1878="Township"," "&amp;"("&amp;VLOOKUP(A1878,counties,3,0)&amp;")",""),"  "," "))</f>
        <v>Edmore Village</v>
      </c>
    </row>
    <row r="1879" spans="1:8" ht="15.75" thickBot="1" x14ac:dyDescent="0.3">
      <c r="A1879">
        <f t="shared" si="30"/>
        <v>59</v>
      </c>
      <c r="B1879" s="8">
        <v>2016</v>
      </c>
      <c r="C1879" s="1" t="s">
        <v>1647</v>
      </c>
      <c r="D1879" s="1" t="s">
        <v>9</v>
      </c>
      <c r="E1879" s="2" t="s">
        <v>7</v>
      </c>
      <c r="F1879" s="9" t="s">
        <v>8</v>
      </c>
      <c r="H1879" t="str">
        <f>TRIM(SUBSTITUTE(PROPER(C1879)&amp;" "&amp;IF(OR(D1879="County",D1879="Township",D1879="Village",D1879="Charter Township"),D1879,"")&amp;IF(D1879="Township"," "&amp;"("&amp;VLOOKUP(A1879,counties,3,0)&amp;")",""),"  "," "))</f>
        <v>Eureka Charter Township (Montcalm County)</v>
      </c>
    </row>
    <row r="1880" spans="1:8" ht="15.75" thickBot="1" x14ac:dyDescent="0.3">
      <c r="A1880">
        <f t="shared" si="30"/>
        <v>59</v>
      </c>
      <c r="B1880" s="10">
        <v>2016</v>
      </c>
      <c r="C1880" s="3" t="s">
        <v>1648</v>
      </c>
      <c r="D1880" s="3" t="s">
        <v>9</v>
      </c>
      <c r="E1880" s="4" t="s">
        <v>7</v>
      </c>
      <c r="F1880" s="11" t="s">
        <v>8</v>
      </c>
      <c r="H1880" t="str">
        <f>TRIM(SUBSTITUTE(PROPER(C1880)&amp;" "&amp;IF(OR(D1880="County",D1880="Township",D1880="Village",D1880="Charter Township"),D1880,"")&amp;IF(D1880="Township"," "&amp;"("&amp;VLOOKUP(A1880,counties,3,0)&amp;")",""),"  "," "))</f>
        <v>Evergreen Township (Montcalm County)</v>
      </c>
    </row>
    <row r="1881" spans="1:8" ht="15.75" thickBot="1" x14ac:dyDescent="0.3">
      <c r="A1881">
        <f t="shared" si="30"/>
        <v>59</v>
      </c>
      <c r="B1881" s="8">
        <v>2016</v>
      </c>
      <c r="C1881" s="1" t="s">
        <v>1649</v>
      </c>
      <c r="D1881" s="1" t="s">
        <v>9</v>
      </c>
      <c r="E1881" s="2" t="s">
        <v>7</v>
      </c>
      <c r="F1881" s="9" t="s">
        <v>8</v>
      </c>
      <c r="H1881" t="str">
        <f>TRIM(SUBSTITUTE(PROPER(C1881)&amp;" "&amp;IF(OR(D1881="County",D1881="Township",D1881="Village",D1881="Charter Township"),D1881,"")&amp;IF(D1881="Township"," "&amp;"("&amp;VLOOKUP(A1881,counties,3,0)&amp;")",""),"  "," "))</f>
        <v>Fairplain Township (Montcalm County)</v>
      </c>
    </row>
    <row r="1882" spans="1:8" ht="15.75" thickBot="1" x14ac:dyDescent="0.3">
      <c r="A1882">
        <f t="shared" si="30"/>
        <v>59</v>
      </c>
      <c r="B1882" s="10">
        <v>2016</v>
      </c>
      <c r="C1882" s="3" t="s">
        <v>1650</v>
      </c>
      <c r="D1882" s="3" t="s">
        <v>9</v>
      </c>
      <c r="E1882" s="4" t="s">
        <v>7</v>
      </c>
      <c r="F1882" s="11" t="s">
        <v>8</v>
      </c>
      <c r="H1882" t="str">
        <f>TRIM(SUBSTITUTE(PROPER(C1882)&amp;" "&amp;IF(OR(D1882="County",D1882="Township",D1882="Village",D1882="Charter Township"),D1882,"")&amp;IF(D1882="Township"," "&amp;"("&amp;VLOOKUP(A1882,counties,3,0)&amp;")",""),"  "," "))</f>
        <v>Ferris Township (Montcalm County)</v>
      </c>
    </row>
    <row r="1883" spans="1:8" ht="15.75" thickBot="1" x14ac:dyDescent="0.3">
      <c r="A1883">
        <f t="shared" si="30"/>
        <v>59</v>
      </c>
      <c r="B1883" s="8">
        <v>2016</v>
      </c>
      <c r="C1883" s="1" t="s">
        <v>1651</v>
      </c>
      <c r="D1883" s="1" t="s">
        <v>42</v>
      </c>
      <c r="E1883" s="2" t="s">
        <v>7</v>
      </c>
      <c r="F1883" s="9" t="s">
        <v>8</v>
      </c>
      <c r="H1883" t="str">
        <f>TRIM(SUBSTITUTE(PROPER(C1883)&amp;" "&amp;IF(OR(D1883="County",D1883="Township",D1883="Village",D1883="Charter Township"),D1883,"")&amp;IF(D1883="Township"," "&amp;"("&amp;VLOOKUP(A1883,counties,3,0)&amp;")",""),"  "," "))</f>
        <v>Flat River Community Library</v>
      </c>
    </row>
    <row r="1884" spans="1:8" ht="15.75" thickBot="1" x14ac:dyDescent="0.3">
      <c r="A1884">
        <f t="shared" si="30"/>
        <v>59</v>
      </c>
      <c r="B1884" s="10">
        <v>2016</v>
      </c>
      <c r="C1884" s="3" t="s">
        <v>1652</v>
      </c>
      <c r="D1884" s="3" t="s">
        <v>15</v>
      </c>
      <c r="E1884" s="4" t="s">
        <v>7</v>
      </c>
      <c r="F1884" s="11" t="s">
        <v>8</v>
      </c>
      <c r="H1884" t="str">
        <f>TRIM(SUBSTITUTE(PROPER(C1884)&amp;" "&amp;IF(OR(D1884="County",D1884="Township",D1884="Village",D1884="Charter Township"),D1884,"")&amp;IF(D1884="Township"," "&amp;"("&amp;VLOOKUP(A1884,counties,3,0)&amp;")",""),"  "," "))</f>
        <v>Greenville</v>
      </c>
    </row>
    <row r="1885" spans="1:8" ht="15.75" thickBot="1" x14ac:dyDescent="0.3">
      <c r="A1885">
        <f t="shared" si="30"/>
        <v>59</v>
      </c>
      <c r="B1885" s="8">
        <v>2016</v>
      </c>
      <c r="C1885" s="1" t="s">
        <v>1653</v>
      </c>
      <c r="D1885" s="1" t="s">
        <v>17</v>
      </c>
      <c r="E1885" s="2" t="s">
        <v>7</v>
      </c>
      <c r="F1885" s="9" t="s">
        <v>8</v>
      </c>
      <c r="H1885" t="str">
        <f>TRIM(SUBSTITUTE(PROPER(C1885)&amp;" "&amp;IF(OR(D1885="County",D1885="Township",D1885="Village",D1885="Charter Township"),D1885,"")&amp;IF(D1885="Township"," "&amp;"("&amp;VLOOKUP(A1885,counties,3,0)&amp;")",""),"  "," "))</f>
        <v>Greenville City Housing Commission</v>
      </c>
    </row>
    <row r="1886" spans="1:8" ht="15.75" thickBot="1" x14ac:dyDescent="0.3">
      <c r="A1886">
        <f t="shared" si="30"/>
        <v>59</v>
      </c>
      <c r="B1886" s="10">
        <v>2016</v>
      </c>
      <c r="C1886" s="3" t="s">
        <v>1654</v>
      </c>
      <c r="D1886" s="3" t="s">
        <v>9</v>
      </c>
      <c r="E1886" s="4" t="s">
        <v>7</v>
      </c>
      <c r="F1886" s="11" t="s">
        <v>8</v>
      </c>
      <c r="H1886" t="str">
        <f>TRIM(SUBSTITUTE(PROPER(C1886)&amp;" "&amp;IF(OR(D1886="County",D1886="Township",D1886="Village",D1886="Charter Township"),D1886,"")&amp;IF(D1886="Township"," "&amp;"("&amp;VLOOKUP(A1886,counties,3,0)&amp;")",""),"  "," "))</f>
        <v>Home Township (Montcalm County)</v>
      </c>
    </row>
    <row r="1887" spans="1:8" ht="15.75" thickBot="1" x14ac:dyDescent="0.3">
      <c r="A1887">
        <f t="shared" si="30"/>
        <v>59</v>
      </c>
      <c r="B1887" s="8">
        <v>2016</v>
      </c>
      <c r="C1887" s="1" t="s">
        <v>1655</v>
      </c>
      <c r="D1887" s="1" t="s">
        <v>42</v>
      </c>
      <c r="E1887" s="2" t="s">
        <v>7</v>
      </c>
      <c r="F1887" s="9" t="s">
        <v>8</v>
      </c>
      <c r="H1887" t="str">
        <f>TRIM(SUBSTITUTE(PROPER(C1887)&amp;" "&amp;IF(OR(D1887="County",D1887="Township",D1887="Village",D1887="Charter Township"),D1887,"")&amp;IF(D1887="Township"," "&amp;"("&amp;VLOOKUP(A1887,counties,3,0)&amp;")",""),"  "," "))</f>
        <v>Home Township Library</v>
      </c>
    </row>
    <row r="1888" spans="1:8" ht="15.75" thickBot="1" x14ac:dyDescent="0.3">
      <c r="A1888">
        <f t="shared" si="30"/>
        <v>59</v>
      </c>
      <c r="B1888" s="10">
        <v>2016</v>
      </c>
      <c r="C1888" s="3" t="s">
        <v>1656</v>
      </c>
      <c r="D1888" s="3" t="s">
        <v>21</v>
      </c>
      <c r="E1888" s="4" t="s">
        <v>7</v>
      </c>
      <c r="F1888" s="11" t="s">
        <v>8</v>
      </c>
      <c r="H1888" t="str">
        <f>TRIM(SUBSTITUTE(PROPER(C1888)&amp;" "&amp;IF(OR(D1888="County",D1888="Township",D1888="Village",D1888="Charter Township"),D1888,"")&amp;IF(D1888="Township"," "&amp;"("&amp;VLOOKUP(A1888,counties,3,0)&amp;")",""),"  "," "))</f>
        <v>Howard City Village</v>
      </c>
    </row>
    <row r="1889" spans="1:8" ht="15.75" thickBot="1" x14ac:dyDescent="0.3">
      <c r="A1889">
        <f t="shared" si="30"/>
        <v>59</v>
      </c>
      <c r="B1889" s="8">
        <v>2016</v>
      </c>
      <c r="C1889" s="1" t="s">
        <v>1657</v>
      </c>
      <c r="D1889" s="1" t="s">
        <v>21</v>
      </c>
      <c r="E1889" s="2" t="s">
        <v>7</v>
      </c>
      <c r="F1889" s="9" t="s">
        <v>19</v>
      </c>
      <c r="H1889" t="str">
        <f>TRIM(SUBSTITUTE(PROPER(C1889)&amp;" "&amp;IF(OR(D1889="County",D1889="Township",D1889="Village",D1889="Charter Township"),D1889,"")&amp;IF(D1889="Township"," "&amp;"("&amp;VLOOKUP(A1889,counties,3,0)&amp;")",""),"  "," "))</f>
        <v>Lakeview Village</v>
      </c>
    </row>
    <row r="1890" spans="1:8" ht="15.75" thickBot="1" x14ac:dyDescent="0.3">
      <c r="A1890">
        <f t="shared" si="30"/>
        <v>59</v>
      </c>
      <c r="B1890" s="10">
        <v>2016</v>
      </c>
      <c r="C1890" s="3" t="s">
        <v>1658</v>
      </c>
      <c r="D1890" s="3" t="s">
        <v>17</v>
      </c>
      <c r="E1890" s="4" t="s">
        <v>7</v>
      </c>
      <c r="F1890" s="11" t="s">
        <v>8</v>
      </c>
      <c r="H1890" t="str">
        <f>TRIM(SUBSTITUTE(PROPER(C1890)&amp;" "&amp;IF(OR(D1890="County",D1890="Township",D1890="Village",D1890="Charter Township"),D1890,"")&amp;IF(D1890="Township"," "&amp;"("&amp;VLOOKUP(A1890,counties,3,0)&amp;")",""),"  "," "))</f>
        <v>Lakeview District Fire Department</v>
      </c>
    </row>
    <row r="1891" spans="1:8" ht="15.75" thickBot="1" x14ac:dyDescent="0.3">
      <c r="A1891">
        <f t="shared" si="30"/>
        <v>59</v>
      </c>
      <c r="B1891" s="8">
        <v>2016</v>
      </c>
      <c r="C1891" s="1" t="s">
        <v>1659</v>
      </c>
      <c r="D1891" s="1" t="s">
        <v>17</v>
      </c>
      <c r="E1891" s="2" t="s">
        <v>7</v>
      </c>
      <c r="F1891" s="9" t="s">
        <v>8</v>
      </c>
      <c r="H1891" t="str">
        <f>TRIM(SUBSTITUTE(PROPER(C1891)&amp;" "&amp;IF(OR(D1891="County",D1891="Township",D1891="Village",D1891="Charter Township"),D1891,"")&amp;IF(D1891="Township"," "&amp;"("&amp;VLOOKUP(A1891,counties,3,0)&amp;")",""),"  "," "))</f>
        <v>Mid-Michigan District Health Department</v>
      </c>
    </row>
    <row r="1892" spans="1:8" ht="15.75" thickBot="1" x14ac:dyDescent="0.3">
      <c r="A1892">
        <f t="shared" si="30"/>
        <v>59</v>
      </c>
      <c r="B1892" s="10">
        <v>2016</v>
      </c>
      <c r="C1892" s="3" t="s">
        <v>1660</v>
      </c>
      <c r="D1892" s="3" t="s">
        <v>6</v>
      </c>
      <c r="E1892" s="4" t="s">
        <v>7</v>
      </c>
      <c r="F1892" s="11" t="s">
        <v>8</v>
      </c>
      <c r="H1892" t="str">
        <f>TRIM(SUBSTITUTE(PROPER(C1892)&amp;" "&amp;IF(OR(D1892="County",D1892="Township",D1892="Village",D1892="Charter Township"),D1892,"")&amp;IF(D1892="Township"," "&amp;"("&amp;VLOOKUP(A1892,counties,3,0)&amp;")",""),"  "," "))</f>
        <v>Montcalm County</v>
      </c>
    </row>
    <row r="1893" spans="1:8" ht="15.75" thickBot="1" x14ac:dyDescent="0.3">
      <c r="A1893">
        <f t="shared" si="30"/>
        <v>59</v>
      </c>
      <c r="B1893" s="8">
        <v>2016</v>
      </c>
      <c r="C1893" s="1" t="s">
        <v>1661</v>
      </c>
      <c r="D1893" s="1" t="s">
        <v>17</v>
      </c>
      <c r="E1893" s="2" t="s">
        <v>7</v>
      </c>
      <c r="F1893" s="9" t="s">
        <v>8</v>
      </c>
      <c r="H1893" t="str">
        <f>TRIM(SUBSTITUTE(PROPER(C1893)&amp;" "&amp;IF(OR(D1893="County",D1893="Township",D1893="Village",D1893="Charter Township"),D1893,"")&amp;IF(D1893="Township"," "&amp;"("&amp;VLOOKUP(A1893,counties,3,0)&amp;")",""),"  "," "))</f>
        <v>Montcalm Care Network</v>
      </c>
    </row>
    <row r="1894" spans="1:8" ht="15.75" thickBot="1" x14ac:dyDescent="0.3">
      <c r="A1894">
        <f t="shared" si="30"/>
        <v>59</v>
      </c>
      <c r="B1894" s="10">
        <v>2016</v>
      </c>
      <c r="C1894" s="3" t="s">
        <v>1662</v>
      </c>
      <c r="D1894" s="3" t="s">
        <v>17</v>
      </c>
      <c r="E1894" s="4" t="s">
        <v>7</v>
      </c>
      <c r="F1894" s="11" t="s">
        <v>8</v>
      </c>
      <c r="H1894" t="str">
        <f>TRIM(SUBSTITUTE(PROPER(C1894)&amp;" "&amp;IF(OR(D1894="County",D1894="Township",D1894="Village",D1894="Charter Township"),D1894,"")&amp;IF(D1894="Township"," "&amp;"("&amp;VLOOKUP(A1894,counties,3,0)&amp;")",""),"  "," "))</f>
        <v>Montcalm Co Housing Commission</v>
      </c>
    </row>
    <row r="1895" spans="1:8" ht="15.75" thickBot="1" x14ac:dyDescent="0.3">
      <c r="A1895">
        <f t="shared" si="30"/>
        <v>59</v>
      </c>
      <c r="B1895" s="8">
        <v>2016</v>
      </c>
      <c r="C1895" s="1" t="s">
        <v>1663</v>
      </c>
      <c r="D1895" s="1" t="s">
        <v>88</v>
      </c>
      <c r="E1895" s="2" t="s">
        <v>7</v>
      </c>
      <c r="F1895" s="9" t="s">
        <v>8</v>
      </c>
      <c r="H1895" t="str">
        <f>TRIM(SUBSTITUTE(PROPER(C1895)&amp;" "&amp;IF(OR(D1895="County",D1895="Township",D1895="Village",D1895="Charter Township"),D1895,"")&amp;IF(D1895="Township"," "&amp;"("&amp;VLOOKUP(A1895,counties,3,0)&amp;")",""),"  "," "))</f>
        <v>Montcalm Community College</v>
      </c>
    </row>
    <row r="1896" spans="1:8" ht="15.75" thickBot="1" x14ac:dyDescent="0.3">
      <c r="A1896">
        <f t="shared" si="30"/>
        <v>59</v>
      </c>
      <c r="B1896" s="10">
        <v>2016</v>
      </c>
      <c r="C1896" s="3" t="s">
        <v>1664</v>
      </c>
      <c r="D1896" s="3" t="s">
        <v>11</v>
      </c>
      <c r="E1896" s="4" t="s">
        <v>7</v>
      </c>
      <c r="F1896" s="11" t="s">
        <v>8</v>
      </c>
      <c r="H1896" t="str">
        <f>TRIM(SUBSTITUTE(PROPER(C1896)&amp;" "&amp;IF(OR(D1896="County",D1896="Township",D1896="Village",D1896="Charter Township"),D1896,"")&amp;IF(D1896="Township"," "&amp;"("&amp;VLOOKUP(A1896,counties,3,0)&amp;")",""),"  "," "))</f>
        <v>Montcalm County Road Commission</v>
      </c>
    </row>
    <row r="1897" spans="1:8" ht="15.75" thickBot="1" x14ac:dyDescent="0.3">
      <c r="A1897">
        <f t="shared" si="30"/>
        <v>59</v>
      </c>
      <c r="B1897" s="8">
        <v>2016</v>
      </c>
      <c r="C1897" s="1" t="s">
        <v>1665</v>
      </c>
      <c r="D1897" s="1" t="s">
        <v>9</v>
      </c>
      <c r="E1897" s="2" t="s">
        <v>7</v>
      </c>
      <c r="F1897" s="9" t="s">
        <v>19</v>
      </c>
      <c r="H1897" t="str">
        <f>TRIM(SUBSTITUTE(PROPER(C1897)&amp;" "&amp;IF(OR(D1897="County",D1897="Township",D1897="Village",D1897="Charter Township"),D1897,"")&amp;IF(D1897="Township"," "&amp;"("&amp;VLOOKUP(A1897,counties,3,0)&amp;")",""),"  "," "))</f>
        <v>Pierson Township (Montcalm County)</v>
      </c>
    </row>
    <row r="1898" spans="1:8" ht="15.75" thickBot="1" x14ac:dyDescent="0.3">
      <c r="A1898">
        <f t="shared" si="30"/>
        <v>59</v>
      </c>
      <c r="B1898" s="10">
        <v>2016</v>
      </c>
      <c r="C1898" s="3" t="s">
        <v>1666</v>
      </c>
      <c r="D1898" s="3" t="s">
        <v>9</v>
      </c>
      <c r="E1898" s="4" t="s">
        <v>7</v>
      </c>
      <c r="F1898" s="11" t="s">
        <v>8</v>
      </c>
      <c r="H1898" t="str">
        <f>TRIM(SUBSTITUTE(PROPER(C1898)&amp;" "&amp;IF(OR(D1898="County",D1898="Township",D1898="Village",D1898="Charter Township"),D1898,"")&amp;IF(D1898="Township"," "&amp;"("&amp;VLOOKUP(A1898,counties,3,0)&amp;")",""),"  "," "))</f>
        <v>Pine Township (Montcalm County)</v>
      </c>
    </row>
    <row r="1899" spans="1:8" ht="15.75" thickBot="1" x14ac:dyDescent="0.3">
      <c r="A1899">
        <f t="shared" si="30"/>
        <v>59</v>
      </c>
      <c r="B1899" s="8">
        <v>2016</v>
      </c>
      <c r="C1899" s="1" t="s">
        <v>1667</v>
      </c>
      <c r="D1899" s="1" t="s">
        <v>9</v>
      </c>
      <c r="E1899" s="2" t="s">
        <v>7</v>
      </c>
      <c r="F1899" s="9" t="s">
        <v>19</v>
      </c>
      <c r="H1899" t="str">
        <f>TRIM(SUBSTITUTE(PROPER(C1899)&amp;" "&amp;IF(OR(D1899="County",D1899="Township",D1899="Village",D1899="Charter Township"),D1899,"")&amp;IF(D1899="Township"," "&amp;"("&amp;VLOOKUP(A1899,counties,3,0)&amp;")",""),"  "," "))</f>
        <v>Reynolds Township (Montcalm County)</v>
      </c>
    </row>
    <row r="1900" spans="1:8" ht="15.75" thickBot="1" x14ac:dyDescent="0.3">
      <c r="A1900">
        <f t="shared" si="30"/>
        <v>59</v>
      </c>
      <c r="B1900" s="10">
        <v>2016</v>
      </c>
      <c r="C1900" s="3" t="s">
        <v>1150</v>
      </c>
      <c r="D1900" s="3" t="s">
        <v>9</v>
      </c>
      <c r="E1900" s="4" t="s">
        <v>7</v>
      </c>
      <c r="F1900" s="11" t="s">
        <v>8</v>
      </c>
      <c r="H1900" t="str">
        <f>TRIM(SUBSTITUTE(PROPER(C1900)&amp;" "&amp;IF(OR(D1900="County",D1900="Township",D1900="Village",D1900="Charter Township"),D1900,"")&amp;IF(D1900="Township"," "&amp;"("&amp;VLOOKUP(A1900,counties,3,0)&amp;")",""),"  "," "))</f>
        <v>Richland Township (Montcalm County)</v>
      </c>
    </row>
    <row r="1901" spans="1:8" ht="15.75" thickBot="1" x14ac:dyDescent="0.3">
      <c r="A1901">
        <f t="shared" si="30"/>
        <v>59</v>
      </c>
      <c r="B1901" s="8">
        <v>2016</v>
      </c>
      <c r="C1901" s="1" t="s">
        <v>374</v>
      </c>
      <c r="D1901" s="1" t="s">
        <v>21</v>
      </c>
      <c r="E1901" s="2" t="s">
        <v>7</v>
      </c>
      <c r="F1901" s="9" t="s">
        <v>19</v>
      </c>
      <c r="H1901" t="str">
        <f>TRIM(SUBSTITUTE(PROPER(C1901)&amp;" "&amp;IF(OR(D1901="County",D1901="Township",D1901="Village",D1901="Charter Township"),D1901,"")&amp;IF(D1901="Township"," "&amp;"("&amp;VLOOKUP(A1901,counties,3,0)&amp;")",""),"  "," "))</f>
        <v>Sheridan Village</v>
      </c>
    </row>
    <row r="1902" spans="1:8" ht="15.75" thickBot="1" x14ac:dyDescent="0.3">
      <c r="A1902">
        <f t="shared" si="30"/>
        <v>59</v>
      </c>
      <c r="B1902" s="10">
        <v>2016</v>
      </c>
      <c r="C1902" s="3" t="s">
        <v>1668</v>
      </c>
      <c r="D1902" s="3" t="s">
        <v>9</v>
      </c>
      <c r="E1902" s="4" t="s">
        <v>7</v>
      </c>
      <c r="F1902" s="11" t="s">
        <v>8</v>
      </c>
      <c r="H1902" t="str">
        <f>TRIM(SUBSTITUTE(PROPER(C1902)&amp;" "&amp;IF(OR(D1902="County",D1902="Township",D1902="Village",D1902="Charter Township"),D1902,"")&amp;IF(D1902="Township"," "&amp;"("&amp;VLOOKUP(A1902,counties,3,0)&amp;")",""),"  "," "))</f>
        <v>Sidney Township (Montcalm County)</v>
      </c>
    </row>
    <row r="1903" spans="1:8" ht="15.75" thickBot="1" x14ac:dyDescent="0.3">
      <c r="A1903">
        <f t="shared" si="30"/>
        <v>59</v>
      </c>
      <c r="B1903" s="8">
        <v>2016</v>
      </c>
      <c r="C1903" s="1" t="s">
        <v>872</v>
      </c>
      <c r="D1903" s="1" t="s">
        <v>15</v>
      </c>
      <c r="E1903" s="2" t="s">
        <v>7</v>
      </c>
      <c r="F1903" s="9" t="s">
        <v>8</v>
      </c>
      <c r="H1903" t="str">
        <f>TRIM(SUBSTITUTE(PROPER(C1903)&amp;" "&amp;IF(OR(D1903="County",D1903="Township",D1903="Village",D1903="Charter Township"),D1903,"")&amp;IF(D1903="Township"," "&amp;"("&amp;VLOOKUP(A1903,counties,3,0)&amp;")",""),"  "," "))</f>
        <v>Stanton</v>
      </c>
    </row>
    <row r="1904" spans="1:8" ht="15.75" thickBot="1" x14ac:dyDescent="0.3">
      <c r="A1904">
        <f t="shared" si="30"/>
        <v>59</v>
      </c>
      <c r="B1904" s="10">
        <v>2016</v>
      </c>
      <c r="C1904" s="3" t="s">
        <v>1669</v>
      </c>
      <c r="D1904" s="3" t="s">
        <v>42</v>
      </c>
      <c r="E1904" s="4" t="s">
        <v>7</v>
      </c>
      <c r="F1904" s="11" t="s">
        <v>8</v>
      </c>
      <c r="H1904" t="str">
        <f>TRIM(SUBSTITUTE(PROPER(C1904)&amp;" "&amp;IF(OR(D1904="County",D1904="Township",D1904="Village",D1904="Charter Township"),D1904,"")&amp;IF(D1904="Township"," "&amp;"("&amp;VLOOKUP(A1904,counties,3,0)&amp;")",""),"  "," "))</f>
        <v>Tamarack District Library</v>
      </c>
    </row>
    <row r="1905" spans="1:8" ht="15.75" thickBot="1" x14ac:dyDescent="0.3">
      <c r="A1905">
        <f t="shared" si="30"/>
        <v>59</v>
      </c>
      <c r="B1905" s="8">
        <v>2016</v>
      </c>
      <c r="C1905" s="1" t="s">
        <v>1670</v>
      </c>
      <c r="D1905" s="1" t="s">
        <v>42</v>
      </c>
      <c r="E1905" s="2" t="s">
        <v>7</v>
      </c>
      <c r="F1905" s="9" t="s">
        <v>8</v>
      </c>
      <c r="H1905" t="str">
        <f>TRIM(SUBSTITUTE(PROPER(C1905)&amp;" "&amp;IF(OR(D1905="County",D1905="Township",D1905="Village",D1905="Charter Township"),D1905,"")&amp;IF(D1905="Township"," "&amp;"("&amp;VLOOKUP(A1905,counties,3,0)&amp;")",""),"  "," "))</f>
        <v>White Pine District Library</v>
      </c>
    </row>
    <row r="1906" spans="1:8" ht="15.75" thickBot="1" x14ac:dyDescent="0.3">
      <c r="A1906">
        <f t="shared" si="30"/>
        <v>59</v>
      </c>
      <c r="B1906" s="12">
        <v>2016</v>
      </c>
      <c r="C1906" s="13" t="s">
        <v>1671</v>
      </c>
      <c r="D1906" s="13" t="s">
        <v>9</v>
      </c>
      <c r="E1906" s="14" t="s">
        <v>7</v>
      </c>
      <c r="F1906" s="15" t="s">
        <v>8</v>
      </c>
      <c r="H1906" t="str">
        <f>TRIM(SUBSTITUTE(PROPER(C1906)&amp;" "&amp;IF(OR(D1906="County",D1906="Township",D1906="Village",D1906="Charter Township"),D1906,"")&amp;IF(D1906="Township"," "&amp;"("&amp;VLOOKUP(A1906,counties,3,0)&amp;")",""),"  "," "))</f>
        <v>Winfield Township (Montcalm County)</v>
      </c>
    </row>
    <row r="1907" spans="1:8" ht="16.5" thickTop="1" thickBot="1" x14ac:dyDescent="0.3">
      <c r="A1907">
        <f t="shared" si="30"/>
        <v>60</v>
      </c>
      <c r="B1907" s="5" t="s">
        <v>0</v>
      </c>
      <c r="C1907" s="6" t="s">
        <v>1</v>
      </c>
      <c r="D1907" s="6" t="s">
        <v>2</v>
      </c>
      <c r="E1907" s="6" t="s">
        <v>3</v>
      </c>
      <c r="F1907" s="7" t="s">
        <v>4</v>
      </c>
      <c r="H1907" t="str">
        <f>TRIM(SUBSTITUTE(PROPER(C1907)&amp;" "&amp;IF(OR(D1907="County",D1907="Township",D1907="Village",D1907="Charter Township"),D1907,"")&amp;IF(D1907="Township"," "&amp;"("&amp;VLOOKUP(A1907,counties,3,0)&amp;")",""),"  "," "))</f>
        <v>Municipality</v>
      </c>
    </row>
    <row r="1908" spans="1:8" ht="15.75" thickBot="1" x14ac:dyDescent="0.3">
      <c r="A1908">
        <f t="shared" si="30"/>
        <v>60</v>
      </c>
      <c r="B1908" s="8">
        <v>2016</v>
      </c>
      <c r="C1908" s="1" t="s">
        <v>1672</v>
      </c>
      <c r="D1908" s="1" t="s">
        <v>9</v>
      </c>
      <c r="E1908" s="2" t="s">
        <v>7</v>
      </c>
      <c r="F1908" s="9" t="s">
        <v>8</v>
      </c>
      <c r="H1908" t="str">
        <f>TRIM(SUBSTITUTE(PROPER(C1908)&amp;" "&amp;IF(OR(D1908="County",D1908="Township",D1908="Village",D1908="Charter Township"),D1908,"")&amp;IF(D1908="Township"," "&amp;"("&amp;VLOOKUP(A1908,counties,3,0)&amp;")",""),"  "," "))</f>
        <v>Albert Township (Montmorency County)</v>
      </c>
    </row>
    <row r="1909" spans="1:8" ht="15.75" thickBot="1" x14ac:dyDescent="0.3">
      <c r="A1909">
        <f t="shared" si="30"/>
        <v>60</v>
      </c>
      <c r="B1909" s="10">
        <v>2016</v>
      </c>
      <c r="C1909" s="3" t="s">
        <v>1673</v>
      </c>
      <c r="D1909" s="3" t="s">
        <v>9</v>
      </c>
      <c r="E1909" s="4" t="s">
        <v>7</v>
      </c>
      <c r="F1909" s="11" t="s">
        <v>8</v>
      </c>
      <c r="H1909" t="str">
        <f>TRIM(SUBSTITUTE(PROPER(C1909)&amp;" "&amp;IF(OR(D1909="County",D1909="Township",D1909="Village",D1909="Charter Township"),D1909,"")&amp;IF(D1909="Township"," "&amp;"("&amp;VLOOKUP(A1909,counties,3,0)&amp;")",""),"  "," "))</f>
        <v>Briley Township (Montmorency County)</v>
      </c>
    </row>
    <row r="1910" spans="1:8" ht="15.75" thickBot="1" x14ac:dyDescent="0.3">
      <c r="A1910">
        <f t="shared" si="30"/>
        <v>60</v>
      </c>
      <c r="B1910" s="8">
        <v>2016</v>
      </c>
      <c r="C1910" s="1" t="s">
        <v>1674</v>
      </c>
      <c r="D1910" s="1" t="s">
        <v>9</v>
      </c>
      <c r="E1910" s="2" t="s">
        <v>7</v>
      </c>
      <c r="F1910" s="9" t="s">
        <v>8</v>
      </c>
      <c r="H1910" t="str">
        <f>TRIM(SUBSTITUTE(PROPER(C1910)&amp;" "&amp;IF(OR(D1910="County",D1910="Township",D1910="Village",D1910="Charter Township"),D1910,"")&amp;IF(D1910="Township"," "&amp;"("&amp;VLOOKUP(A1910,counties,3,0)&amp;")",""),"  "," "))</f>
        <v>Hillman Township (Montmorency County)</v>
      </c>
    </row>
    <row r="1911" spans="1:8" ht="15.75" thickBot="1" x14ac:dyDescent="0.3">
      <c r="A1911">
        <f t="shared" si="30"/>
        <v>60</v>
      </c>
      <c r="B1911" s="10">
        <v>2016</v>
      </c>
      <c r="C1911" s="3" t="s">
        <v>1674</v>
      </c>
      <c r="D1911" s="3" t="s">
        <v>21</v>
      </c>
      <c r="E1911" s="4" t="s">
        <v>7</v>
      </c>
      <c r="F1911" s="11" t="s">
        <v>19</v>
      </c>
      <c r="H1911" t="str">
        <f>TRIM(SUBSTITUTE(PROPER(C1911)&amp;" "&amp;IF(OR(D1911="County",D1911="Township",D1911="Village",D1911="Charter Township"),D1911,"")&amp;IF(D1911="Township"," "&amp;"("&amp;VLOOKUP(A1911,counties,3,0)&amp;")",""),"  "," "))</f>
        <v>Hillman Village</v>
      </c>
    </row>
    <row r="1912" spans="1:8" ht="15.75" thickBot="1" x14ac:dyDescent="0.3">
      <c r="A1912">
        <f t="shared" si="30"/>
        <v>60</v>
      </c>
      <c r="B1912" s="8">
        <v>2016</v>
      </c>
      <c r="C1912" s="1" t="s">
        <v>1675</v>
      </c>
      <c r="D1912" s="1" t="s">
        <v>17</v>
      </c>
      <c r="E1912" s="2" t="s">
        <v>7</v>
      </c>
      <c r="F1912" s="9" t="s">
        <v>8</v>
      </c>
      <c r="H1912" t="str">
        <f>TRIM(SUBSTITUTE(PROPER(C1912)&amp;" "&amp;IF(OR(D1912="County",D1912="Township",D1912="Village",D1912="Charter Township"),D1912,"")&amp;IF(D1912="Township"," "&amp;"("&amp;VLOOKUP(A1912,counties,3,0)&amp;")",""),"  "," "))</f>
        <v>Hillman Fire Board</v>
      </c>
    </row>
    <row r="1913" spans="1:8" ht="15.75" thickBot="1" x14ac:dyDescent="0.3">
      <c r="A1913">
        <f t="shared" si="30"/>
        <v>60</v>
      </c>
      <c r="B1913" s="10">
        <v>2016</v>
      </c>
      <c r="C1913" s="3" t="s">
        <v>1676</v>
      </c>
      <c r="D1913" s="3" t="s">
        <v>9</v>
      </c>
      <c r="E1913" s="4" t="s">
        <v>7</v>
      </c>
      <c r="F1913" s="11" t="s">
        <v>8</v>
      </c>
      <c r="H1913" t="str">
        <f>TRIM(SUBSTITUTE(PROPER(C1913)&amp;" "&amp;IF(OR(D1913="County",D1913="Township",D1913="Village",D1913="Charter Township"),D1913,"")&amp;IF(D1913="Township"," "&amp;"("&amp;VLOOKUP(A1913,counties,3,0)&amp;")",""),"  "," "))</f>
        <v>Loud Township (Montmorency County)</v>
      </c>
    </row>
    <row r="1914" spans="1:8" ht="15.75" thickBot="1" x14ac:dyDescent="0.3">
      <c r="A1914">
        <f t="shared" si="30"/>
        <v>60</v>
      </c>
      <c r="B1914" s="8">
        <v>2016</v>
      </c>
      <c r="C1914" s="1" t="s">
        <v>1677</v>
      </c>
      <c r="D1914" s="1" t="s">
        <v>6</v>
      </c>
      <c r="E1914" s="2" t="s">
        <v>7</v>
      </c>
      <c r="F1914" s="9" t="s">
        <v>8</v>
      </c>
      <c r="H1914" t="str">
        <f>TRIM(SUBSTITUTE(PROPER(C1914)&amp;" "&amp;IF(OR(D1914="County",D1914="Township",D1914="Village",D1914="Charter Township"),D1914,"")&amp;IF(D1914="Township"," "&amp;"("&amp;VLOOKUP(A1914,counties,3,0)&amp;")",""),"  "," "))</f>
        <v>Montmorency County</v>
      </c>
    </row>
    <row r="1915" spans="1:8" ht="15.75" thickBot="1" x14ac:dyDescent="0.3">
      <c r="A1915">
        <f t="shared" si="30"/>
        <v>60</v>
      </c>
      <c r="B1915" s="10">
        <v>2016</v>
      </c>
      <c r="C1915" s="3" t="s">
        <v>1678</v>
      </c>
      <c r="D1915" s="3" t="s">
        <v>11</v>
      </c>
      <c r="E1915" s="4" t="s">
        <v>7</v>
      </c>
      <c r="F1915" s="11" t="s">
        <v>8</v>
      </c>
      <c r="H1915" t="str">
        <f>TRIM(SUBSTITUTE(PROPER(C1915)&amp;" "&amp;IF(OR(D1915="County",D1915="Township",D1915="Village",D1915="Charter Township"),D1915,"")&amp;IF(D1915="Township"," "&amp;"("&amp;VLOOKUP(A1915,counties,3,0)&amp;")",""),"  "," "))</f>
        <v>Montmorency County Road Commission</v>
      </c>
    </row>
    <row r="1916" spans="1:8" ht="15.75" thickBot="1" x14ac:dyDescent="0.3">
      <c r="A1916">
        <f t="shared" si="30"/>
        <v>60</v>
      </c>
      <c r="B1916" s="8">
        <v>2016</v>
      </c>
      <c r="C1916" s="1" t="s">
        <v>1679</v>
      </c>
      <c r="D1916" s="1" t="s">
        <v>42</v>
      </c>
      <c r="E1916" s="2" t="s">
        <v>7</v>
      </c>
      <c r="F1916" s="9" t="s">
        <v>8</v>
      </c>
      <c r="H1916" t="str">
        <f>TRIM(SUBSTITUTE(PROPER(C1916)&amp;" "&amp;IF(OR(D1916="County",D1916="Township",D1916="Village",D1916="Charter Township"),D1916,"")&amp;IF(D1916="Township"," "&amp;"("&amp;VLOOKUP(A1916,counties,3,0)&amp;")",""),"  "," "))</f>
        <v>Montmorency Public Library</v>
      </c>
    </row>
    <row r="1917" spans="1:8" ht="21.75" thickBot="1" x14ac:dyDescent="0.3">
      <c r="A1917">
        <f t="shared" si="30"/>
        <v>60</v>
      </c>
      <c r="B1917" s="10">
        <v>2016</v>
      </c>
      <c r="C1917" s="3" t="s">
        <v>1680</v>
      </c>
      <c r="D1917" s="3" t="s">
        <v>17</v>
      </c>
      <c r="E1917" s="4" t="s">
        <v>7</v>
      </c>
      <c r="F1917" s="11" t="s">
        <v>8</v>
      </c>
      <c r="H1917" t="str">
        <f>TRIM(SUBSTITUTE(PROPER(C1917)&amp;" "&amp;IF(OR(D1917="County",D1917="Township",D1917="Village",D1917="Charter Township"),D1917,"")&amp;IF(D1917="Township"," "&amp;"("&amp;VLOOKUP(A1917,counties,3,0)&amp;")",""),"  "," "))</f>
        <v>Montmorency-Oscoda-Alpena Solid Waste Mgmt Auth</v>
      </c>
    </row>
    <row r="1918" spans="1:8" ht="15.75" thickBot="1" x14ac:dyDescent="0.3">
      <c r="A1918">
        <f t="shared" si="30"/>
        <v>60</v>
      </c>
      <c r="B1918" s="8">
        <v>2016</v>
      </c>
      <c r="C1918" s="1" t="s">
        <v>1681</v>
      </c>
      <c r="D1918" s="1" t="s">
        <v>17</v>
      </c>
      <c r="E1918" s="2" t="s">
        <v>7</v>
      </c>
      <c r="F1918" s="9" t="s">
        <v>8</v>
      </c>
      <c r="H1918" t="str">
        <f>TRIM(SUBSTITUTE(PROPER(C1918)&amp;" "&amp;IF(OR(D1918="County",D1918="Township",D1918="Village",D1918="Charter Township"),D1918,"")&amp;IF(D1918="Township"," "&amp;"("&amp;VLOOKUP(A1918,counties,3,0)&amp;")",""),"  "," "))</f>
        <v>Tri-Twp Ambulance Serv/Loud/Avery/Briley Twps</v>
      </c>
    </row>
    <row r="1919" spans="1:8" ht="15.75" thickBot="1" x14ac:dyDescent="0.3">
      <c r="A1919">
        <f t="shared" si="30"/>
        <v>60</v>
      </c>
      <c r="B1919" s="12">
        <v>2016</v>
      </c>
      <c r="C1919" s="13" t="s">
        <v>1682</v>
      </c>
      <c r="D1919" s="13" t="s">
        <v>9</v>
      </c>
      <c r="E1919" s="14" t="s">
        <v>7</v>
      </c>
      <c r="F1919" s="15" t="s">
        <v>8</v>
      </c>
      <c r="H1919" t="str">
        <f>TRIM(SUBSTITUTE(PROPER(C1919)&amp;" "&amp;IF(OR(D1919="County",D1919="Township",D1919="Village",D1919="Charter Township"),D1919,"")&amp;IF(D1919="Township"," "&amp;"("&amp;VLOOKUP(A1919,counties,3,0)&amp;")",""),"  "," "))</f>
        <v>Vienna Township (Montmorency County)</v>
      </c>
    </row>
    <row r="1920" spans="1:8" ht="16.5" thickTop="1" thickBot="1" x14ac:dyDescent="0.3">
      <c r="A1920">
        <f t="shared" si="30"/>
        <v>61</v>
      </c>
      <c r="B1920" s="5" t="s">
        <v>0</v>
      </c>
      <c r="C1920" s="6" t="s">
        <v>1</v>
      </c>
      <c r="D1920" s="6" t="s">
        <v>2</v>
      </c>
      <c r="E1920" s="6" t="s">
        <v>3</v>
      </c>
      <c r="F1920" s="7" t="s">
        <v>4</v>
      </c>
      <c r="H1920" t="str">
        <f>TRIM(SUBSTITUTE(PROPER(C1920)&amp;" "&amp;IF(OR(D1920="County",D1920="Township",D1920="Village",D1920="Charter Township"),D1920,"")&amp;IF(D1920="Township"," "&amp;"("&amp;VLOOKUP(A1920,counties,3,0)&amp;")",""),"  "," "))</f>
        <v>Municipality</v>
      </c>
    </row>
    <row r="1921" spans="1:8" ht="15.75" thickBot="1" x14ac:dyDescent="0.3">
      <c r="A1921">
        <f t="shared" si="30"/>
        <v>61</v>
      </c>
      <c r="B1921" s="8">
        <v>2016</v>
      </c>
      <c r="C1921" s="1" t="s">
        <v>1162</v>
      </c>
      <c r="D1921" s="1" t="s">
        <v>9</v>
      </c>
      <c r="E1921" s="2" t="s">
        <v>7</v>
      </c>
      <c r="F1921" s="9" t="s">
        <v>8</v>
      </c>
      <c r="H1921" t="str">
        <f>TRIM(SUBSTITUTE(PROPER(C1921)&amp;" "&amp;IF(OR(D1921="County",D1921="Township",D1921="Village",D1921="Charter Township"),D1921,"")&amp;IF(D1921="Township"," "&amp;"("&amp;VLOOKUP(A1921,counties,3,0)&amp;")",""),"  "," "))</f>
        <v>Blue Lake Township (Muskegon County)</v>
      </c>
    </row>
    <row r="1922" spans="1:8" ht="15.75" thickBot="1" x14ac:dyDescent="0.3">
      <c r="A1922">
        <f t="shared" si="30"/>
        <v>61</v>
      </c>
      <c r="B1922" s="10">
        <v>2016</v>
      </c>
      <c r="C1922" s="3" t="s">
        <v>1683</v>
      </c>
      <c r="D1922" s="3" t="s">
        <v>9</v>
      </c>
      <c r="E1922" s="4" t="s">
        <v>7</v>
      </c>
      <c r="F1922" s="11" t="s">
        <v>19</v>
      </c>
      <c r="H1922" t="str">
        <f>TRIM(SUBSTITUTE(PROPER(C1922)&amp;" "&amp;IF(OR(D1922="County",D1922="Township",D1922="Village",D1922="Charter Township"),D1922,"")&amp;IF(D1922="Township"," "&amp;"("&amp;VLOOKUP(A1922,counties,3,0)&amp;")",""),"  "," "))</f>
        <v>Casnovia Township (Muskegon County)</v>
      </c>
    </row>
    <row r="1923" spans="1:8" ht="15.75" thickBot="1" x14ac:dyDescent="0.3">
      <c r="A1923">
        <f t="shared" ref="A1923:A1986" si="31">IF(B1923="Year",A1922+1,A1922)</f>
        <v>61</v>
      </c>
      <c r="B1923" s="8">
        <v>2016</v>
      </c>
      <c r="C1923" s="1" t="s">
        <v>1683</v>
      </c>
      <c r="D1923" s="1" t="s">
        <v>21</v>
      </c>
      <c r="E1923" s="2" t="s">
        <v>7</v>
      </c>
      <c r="F1923" s="9" t="s">
        <v>8</v>
      </c>
      <c r="H1923" t="str">
        <f>TRIM(SUBSTITUTE(PROPER(C1923)&amp;" "&amp;IF(OR(D1923="County",D1923="Township",D1923="Village",D1923="Charter Township"),D1923,"")&amp;IF(D1923="Township"," "&amp;"("&amp;VLOOKUP(A1923,counties,3,0)&amp;")",""),"  "," "))</f>
        <v>Casnovia Village</v>
      </c>
    </row>
    <row r="1924" spans="1:8" ht="15.75" thickBot="1" x14ac:dyDescent="0.3">
      <c r="A1924">
        <f t="shared" si="31"/>
        <v>61</v>
      </c>
      <c r="B1924" s="10">
        <v>2016</v>
      </c>
      <c r="C1924" s="3" t="s">
        <v>1684</v>
      </c>
      <c r="D1924" s="3" t="s">
        <v>9</v>
      </c>
      <c r="E1924" s="4" t="s">
        <v>7</v>
      </c>
      <c r="F1924" s="11" t="s">
        <v>8</v>
      </c>
      <c r="H1924" t="str">
        <f>TRIM(SUBSTITUTE(PROPER(C1924)&amp;" "&amp;IF(OR(D1924="County",D1924="Township",D1924="Village",D1924="Charter Township"),D1924,"")&amp;IF(D1924="Township"," "&amp;"("&amp;VLOOKUP(A1924,counties,3,0)&amp;")",""),"  "," "))</f>
        <v>Cedar Creek Township (Muskegon County)</v>
      </c>
    </row>
    <row r="1925" spans="1:8" ht="15.75" thickBot="1" x14ac:dyDescent="0.3">
      <c r="A1925">
        <f t="shared" si="31"/>
        <v>61</v>
      </c>
      <c r="B1925" s="8">
        <v>2016</v>
      </c>
      <c r="C1925" s="1" t="s">
        <v>1685</v>
      </c>
      <c r="D1925" s="1" t="s">
        <v>9</v>
      </c>
      <c r="E1925" s="2" t="s">
        <v>7</v>
      </c>
      <c r="F1925" s="9" t="s">
        <v>19</v>
      </c>
      <c r="H1925" t="str">
        <f>TRIM(SUBSTITUTE(PROPER(C1925)&amp;" "&amp;IF(OR(D1925="County",D1925="Township",D1925="Village",D1925="Charter Township"),D1925,"")&amp;IF(D1925="Township"," "&amp;"("&amp;VLOOKUP(A1925,counties,3,0)&amp;")",""),"  "," "))</f>
        <v>Dalton Township (Muskegon County)</v>
      </c>
    </row>
    <row r="1926" spans="1:8" ht="15.75" thickBot="1" x14ac:dyDescent="0.3">
      <c r="A1926">
        <f t="shared" si="31"/>
        <v>61</v>
      </c>
      <c r="B1926" s="10">
        <v>2016</v>
      </c>
      <c r="C1926" s="3" t="s">
        <v>1686</v>
      </c>
      <c r="D1926" s="3" t="s">
        <v>9</v>
      </c>
      <c r="E1926" s="4" t="s">
        <v>7</v>
      </c>
      <c r="F1926" s="11" t="s">
        <v>8</v>
      </c>
      <c r="H1926" t="str">
        <f>TRIM(SUBSTITUTE(PROPER(C1926)&amp;" "&amp;IF(OR(D1926="County",D1926="Township",D1926="Village",D1926="Charter Township"),D1926,"")&amp;IF(D1926="Township"," "&amp;"("&amp;VLOOKUP(A1926,counties,3,0)&amp;")",""),"  "," "))</f>
        <v>Egelston Township (Muskegon County)</v>
      </c>
    </row>
    <row r="1927" spans="1:8" ht="15.75" thickBot="1" x14ac:dyDescent="0.3">
      <c r="A1927">
        <f t="shared" si="31"/>
        <v>61</v>
      </c>
      <c r="B1927" s="8">
        <v>2016</v>
      </c>
      <c r="C1927" s="1" t="s">
        <v>1687</v>
      </c>
      <c r="D1927" s="1" t="s">
        <v>9</v>
      </c>
      <c r="E1927" s="2" t="s">
        <v>7</v>
      </c>
      <c r="F1927" s="9" t="s">
        <v>19</v>
      </c>
      <c r="H1927" t="str">
        <f>TRIM(SUBSTITUTE(PROPER(C1927)&amp;" "&amp;IF(OR(D1927="County",D1927="Township",D1927="Village",D1927="Charter Township"),D1927,"")&amp;IF(D1927="Township"," "&amp;"("&amp;VLOOKUP(A1927,counties,3,0)&amp;")",""),"  "," "))</f>
        <v>Fruitland Township (Muskegon County)</v>
      </c>
    </row>
    <row r="1928" spans="1:8" ht="15.75" thickBot="1" x14ac:dyDescent="0.3">
      <c r="A1928">
        <f t="shared" si="31"/>
        <v>61</v>
      </c>
      <c r="B1928" s="10">
        <v>2016</v>
      </c>
      <c r="C1928" s="3" t="s">
        <v>1688</v>
      </c>
      <c r="D1928" s="3" t="s">
        <v>21</v>
      </c>
      <c r="E1928" s="4" t="s">
        <v>7</v>
      </c>
      <c r="F1928" s="11" t="s">
        <v>19</v>
      </c>
      <c r="H1928" t="str">
        <f>TRIM(SUBSTITUTE(PROPER(C1928)&amp;" "&amp;IF(OR(D1928="County",D1928="Township",D1928="Village",D1928="Charter Township"),D1928,"")&amp;IF(D1928="Township"," "&amp;"("&amp;VLOOKUP(A1928,counties,3,0)&amp;")",""),"  "," "))</f>
        <v>Fruitport Village</v>
      </c>
    </row>
    <row r="1929" spans="1:8" ht="15.75" thickBot="1" x14ac:dyDescent="0.3">
      <c r="A1929">
        <f t="shared" si="31"/>
        <v>61</v>
      </c>
      <c r="B1929" s="8">
        <v>2016</v>
      </c>
      <c r="C1929" s="1" t="s">
        <v>1689</v>
      </c>
      <c r="D1929" s="1" t="s">
        <v>9</v>
      </c>
      <c r="E1929" s="2" t="s">
        <v>7</v>
      </c>
      <c r="F1929" s="9" t="s">
        <v>8</v>
      </c>
      <c r="H1929" t="str">
        <f>TRIM(SUBSTITUTE(PROPER(C1929)&amp;" "&amp;IF(OR(D1929="County",D1929="Township",D1929="Village",D1929="Charter Township"),D1929,"")&amp;IF(D1929="Township"," "&amp;"("&amp;VLOOKUP(A1929,counties,3,0)&amp;")",""),"  "," "))</f>
        <v>Fruitport Charter Township (Muskegon County)</v>
      </c>
    </row>
    <row r="1930" spans="1:8" ht="15.75" thickBot="1" x14ac:dyDescent="0.3">
      <c r="A1930">
        <f t="shared" si="31"/>
        <v>61</v>
      </c>
      <c r="B1930" s="10">
        <v>2016</v>
      </c>
      <c r="C1930" s="3" t="s">
        <v>1690</v>
      </c>
      <c r="D1930" s="3" t="s">
        <v>42</v>
      </c>
      <c r="E1930" s="4" t="s">
        <v>7</v>
      </c>
      <c r="F1930" s="11" t="s">
        <v>8</v>
      </c>
      <c r="H1930" t="str">
        <f>TRIM(SUBSTITUTE(PROPER(C1930)&amp;" "&amp;IF(OR(D1930="County",D1930="Township",D1930="Village",D1930="Charter Township"),D1930,"")&amp;IF(D1930="Township"," "&amp;"("&amp;VLOOKUP(A1930,counties,3,0)&amp;")",""),"  "," "))</f>
        <v>Hackley Public Library</v>
      </c>
    </row>
    <row r="1931" spans="1:8" ht="15.75" thickBot="1" x14ac:dyDescent="0.3">
      <c r="A1931">
        <f t="shared" si="31"/>
        <v>61</v>
      </c>
      <c r="B1931" s="8">
        <v>2016</v>
      </c>
      <c r="C1931" s="1" t="s">
        <v>1691</v>
      </c>
      <c r="D1931" s="1" t="s">
        <v>17</v>
      </c>
      <c r="E1931" s="2" t="s">
        <v>7</v>
      </c>
      <c r="F1931" s="9" t="s">
        <v>8</v>
      </c>
      <c r="H1931" t="str">
        <f>TRIM(SUBSTITUTE(PROPER(C1931)&amp;" "&amp;IF(OR(D1931="County",D1931="Township",D1931="Village",D1931="Charter Township"),D1931,"")&amp;IF(D1931="Township"," "&amp;"("&amp;VLOOKUP(A1931,counties,3,0)&amp;")",""),"  "," "))</f>
        <v>Healthwest</v>
      </c>
    </row>
    <row r="1932" spans="1:8" ht="15.75" thickBot="1" x14ac:dyDescent="0.3">
      <c r="A1932">
        <f t="shared" si="31"/>
        <v>61</v>
      </c>
      <c r="B1932" s="10">
        <v>2016</v>
      </c>
      <c r="C1932" s="3" t="s">
        <v>1692</v>
      </c>
      <c r="D1932" s="3" t="s">
        <v>9</v>
      </c>
      <c r="E1932" s="4" t="s">
        <v>7</v>
      </c>
      <c r="F1932" s="11" t="s">
        <v>8</v>
      </c>
      <c r="H1932" t="str">
        <f>TRIM(SUBSTITUTE(PROPER(C1932)&amp;" "&amp;IF(OR(D1932="County",D1932="Township",D1932="Village",D1932="Charter Township"),D1932,"")&amp;IF(D1932="Township"," "&amp;"("&amp;VLOOKUP(A1932,counties,3,0)&amp;")",""),"  "," "))</f>
        <v>Holton Township (Muskegon County)</v>
      </c>
    </row>
    <row r="1933" spans="1:8" ht="15.75" thickBot="1" x14ac:dyDescent="0.3">
      <c r="A1933">
        <f t="shared" si="31"/>
        <v>61</v>
      </c>
      <c r="B1933" s="8">
        <v>2016</v>
      </c>
      <c r="C1933" s="1" t="s">
        <v>1693</v>
      </c>
      <c r="D1933" s="1" t="s">
        <v>17</v>
      </c>
      <c r="E1933" s="2" t="s">
        <v>7</v>
      </c>
      <c r="F1933" s="9" t="s">
        <v>8</v>
      </c>
      <c r="H1933" t="str">
        <f>TRIM(SUBSTITUTE(PROPER(C1933)&amp;" "&amp;IF(OR(D1933="County",D1933="Township",D1933="Village",D1933="Charter Township"),D1933,"")&amp;IF(D1933="Township"," "&amp;"("&amp;VLOOKUP(A1933,counties,3,0)&amp;")",""),"  "," "))</f>
        <v>Lakeshore Regional Partners</v>
      </c>
    </row>
    <row r="1934" spans="1:8" ht="15.75" thickBot="1" x14ac:dyDescent="0.3">
      <c r="A1934">
        <f t="shared" si="31"/>
        <v>61</v>
      </c>
      <c r="B1934" s="10">
        <v>2016</v>
      </c>
      <c r="C1934" s="3" t="s">
        <v>1694</v>
      </c>
      <c r="D1934" s="3" t="s">
        <v>9</v>
      </c>
      <c r="E1934" s="4" t="s">
        <v>7</v>
      </c>
      <c r="F1934" s="11" t="s">
        <v>19</v>
      </c>
      <c r="H1934" t="str">
        <f>TRIM(SUBSTITUTE(PROPER(C1934)&amp;" "&amp;IF(OR(D1934="County",D1934="Township",D1934="Village",D1934="Charter Township"),D1934,"")&amp;IF(D1934="Township"," "&amp;"("&amp;VLOOKUP(A1934,counties,3,0)&amp;")",""),"  "," "))</f>
        <v>Laketon Township (Muskegon County)</v>
      </c>
    </row>
    <row r="1935" spans="1:8" ht="15.75" thickBot="1" x14ac:dyDescent="0.3">
      <c r="A1935">
        <f t="shared" si="31"/>
        <v>61</v>
      </c>
      <c r="B1935" s="8">
        <v>2016</v>
      </c>
      <c r="C1935" s="1" t="s">
        <v>1695</v>
      </c>
      <c r="D1935" s="1" t="s">
        <v>21</v>
      </c>
      <c r="E1935" s="2" t="s">
        <v>7</v>
      </c>
      <c r="F1935" s="9" t="s">
        <v>19</v>
      </c>
      <c r="H1935" t="str">
        <f>TRIM(SUBSTITUTE(PROPER(C1935)&amp;" "&amp;IF(OR(D1935="County",D1935="Township",D1935="Village",D1935="Charter Township"),D1935,"")&amp;IF(D1935="Township"," "&amp;"("&amp;VLOOKUP(A1935,counties,3,0)&amp;")",""),"  "," "))</f>
        <v>Lakewood Club Village</v>
      </c>
    </row>
    <row r="1936" spans="1:8" ht="15.75" thickBot="1" x14ac:dyDescent="0.3">
      <c r="A1936">
        <f t="shared" si="31"/>
        <v>61</v>
      </c>
      <c r="B1936" s="10">
        <v>2016</v>
      </c>
      <c r="C1936" s="3" t="s">
        <v>1696</v>
      </c>
      <c r="D1936" s="3" t="s">
        <v>15</v>
      </c>
      <c r="E1936" s="4" t="s">
        <v>7</v>
      </c>
      <c r="F1936" s="11" t="s">
        <v>8</v>
      </c>
      <c r="H1936" t="str">
        <f>TRIM(SUBSTITUTE(PROPER(C1936)&amp;" "&amp;IF(OR(D1936="County",D1936="Township",D1936="Village",D1936="Charter Township"),D1936,"")&amp;IF(D1936="Township"," "&amp;"("&amp;VLOOKUP(A1936,counties,3,0)&amp;")",""),"  "," "))</f>
        <v>Montague</v>
      </c>
    </row>
    <row r="1937" spans="1:8" ht="15.75" thickBot="1" x14ac:dyDescent="0.3">
      <c r="A1937">
        <f t="shared" si="31"/>
        <v>61</v>
      </c>
      <c r="B1937" s="8">
        <v>2016</v>
      </c>
      <c r="C1937" s="1" t="s">
        <v>1696</v>
      </c>
      <c r="D1937" s="1" t="s">
        <v>9</v>
      </c>
      <c r="E1937" s="2" t="s">
        <v>7</v>
      </c>
      <c r="F1937" s="9" t="s">
        <v>8</v>
      </c>
      <c r="H1937" t="str">
        <f>TRIM(SUBSTITUTE(PROPER(C1937)&amp;" "&amp;IF(OR(D1937="County",D1937="Township",D1937="Village",D1937="Charter Township"),D1937,"")&amp;IF(D1937="Township"," "&amp;"("&amp;VLOOKUP(A1937,counties,3,0)&amp;")",""),"  "," "))</f>
        <v>Montague Township (Muskegon County)</v>
      </c>
    </row>
    <row r="1938" spans="1:8" ht="15.75" thickBot="1" x14ac:dyDescent="0.3">
      <c r="A1938">
        <f t="shared" si="31"/>
        <v>61</v>
      </c>
      <c r="B1938" s="10">
        <v>2016</v>
      </c>
      <c r="C1938" s="3" t="s">
        <v>1697</v>
      </c>
      <c r="D1938" s="3" t="s">
        <v>17</v>
      </c>
      <c r="E1938" s="4" t="s">
        <v>7</v>
      </c>
      <c r="F1938" s="11" t="s">
        <v>8</v>
      </c>
      <c r="H1938" t="str">
        <f>TRIM(SUBSTITUTE(PROPER(C1938)&amp;" "&amp;IF(OR(D1938="County",D1938="Township",D1938="Village",D1938="Charter Township"),D1938,"")&amp;IF(D1938="Township"," "&amp;"("&amp;VLOOKUP(A1938,counties,3,0)&amp;")",""),"  "," "))</f>
        <v>Montague Fire District</v>
      </c>
    </row>
    <row r="1939" spans="1:8" ht="15.75" thickBot="1" x14ac:dyDescent="0.3">
      <c r="A1939">
        <f t="shared" si="31"/>
        <v>61</v>
      </c>
      <c r="B1939" s="8">
        <v>2016</v>
      </c>
      <c r="C1939" s="1" t="s">
        <v>1698</v>
      </c>
      <c r="D1939" s="1" t="s">
        <v>9</v>
      </c>
      <c r="E1939" s="2" t="s">
        <v>7</v>
      </c>
      <c r="F1939" s="9" t="s">
        <v>8</v>
      </c>
      <c r="H1939" t="str">
        <f>TRIM(SUBSTITUTE(PROPER(C1939)&amp;" "&amp;IF(OR(D1939="County",D1939="Township",D1939="Village",D1939="Charter Township"),D1939,"")&amp;IF(D1939="Township"," "&amp;"("&amp;VLOOKUP(A1939,counties,3,0)&amp;")",""),"  "," "))</f>
        <v>Moorland Township (Muskegon County)</v>
      </c>
    </row>
    <row r="1940" spans="1:8" ht="15.75" thickBot="1" x14ac:dyDescent="0.3">
      <c r="A1940">
        <f t="shared" si="31"/>
        <v>61</v>
      </c>
      <c r="B1940" s="10">
        <v>2016</v>
      </c>
      <c r="C1940" s="3" t="s">
        <v>1699</v>
      </c>
      <c r="D1940" s="3" t="s">
        <v>15</v>
      </c>
      <c r="E1940" s="4" t="s">
        <v>7</v>
      </c>
      <c r="F1940" s="11" t="s">
        <v>8</v>
      </c>
      <c r="H1940" t="str">
        <f>TRIM(SUBSTITUTE(PROPER(C1940)&amp;" "&amp;IF(OR(D1940="County",D1940="Township",D1940="Village",D1940="Charter Township"),D1940,"")&amp;IF(D1940="Township"," "&amp;"("&amp;VLOOKUP(A1940,counties,3,0)&amp;")",""),"  "," "))</f>
        <v>Muskegon</v>
      </c>
    </row>
    <row r="1941" spans="1:8" ht="15.75" thickBot="1" x14ac:dyDescent="0.3">
      <c r="A1941">
        <f t="shared" si="31"/>
        <v>61</v>
      </c>
      <c r="B1941" s="8">
        <v>2016</v>
      </c>
      <c r="C1941" s="1" t="s">
        <v>1699</v>
      </c>
      <c r="D1941" s="1" t="s">
        <v>6</v>
      </c>
      <c r="E1941" s="2" t="s">
        <v>7</v>
      </c>
      <c r="F1941" s="9" t="s">
        <v>8</v>
      </c>
      <c r="H1941" t="str">
        <f>TRIM(SUBSTITUTE(PROPER(C1941)&amp;" "&amp;IF(OR(D1941="County",D1941="Township",D1941="Village",D1941="Charter Township"),D1941,"")&amp;IF(D1941="Township"," "&amp;"("&amp;VLOOKUP(A1941,counties,3,0)&amp;")",""),"  "," "))</f>
        <v>Muskegon County</v>
      </c>
    </row>
    <row r="1942" spans="1:8" ht="15.75" thickBot="1" x14ac:dyDescent="0.3">
      <c r="A1942">
        <f t="shared" si="31"/>
        <v>61</v>
      </c>
      <c r="B1942" s="10">
        <v>2016</v>
      </c>
      <c r="C1942" s="3" t="s">
        <v>1700</v>
      </c>
      <c r="D1942" s="3" t="s">
        <v>42</v>
      </c>
      <c r="E1942" s="4" t="s">
        <v>7</v>
      </c>
      <c r="F1942" s="11" t="s">
        <v>8</v>
      </c>
      <c r="H1942" t="str">
        <f>TRIM(SUBSTITUTE(PROPER(C1942)&amp;" "&amp;IF(OR(D1942="County",D1942="Township",D1942="Village",D1942="Charter Township"),D1942,"")&amp;IF(D1942="Township"," "&amp;"("&amp;VLOOKUP(A1942,counties,3,0)&amp;")",""),"  "," "))</f>
        <v>Muskegon Area District Library</v>
      </c>
    </row>
    <row r="1943" spans="1:8" ht="15.75" thickBot="1" x14ac:dyDescent="0.3">
      <c r="A1943">
        <f t="shared" si="31"/>
        <v>61</v>
      </c>
      <c r="B1943" s="8">
        <v>2016</v>
      </c>
      <c r="C1943" s="1" t="s">
        <v>1701</v>
      </c>
      <c r="D1943" s="1" t="s">
        <v>17</v>
      </c>
      <c r="E1943" s="2" t="s">
        <v>7</v>
      </c>
      <c r="F1943" s="9" t="s">
        <v>8</v>
      </c>
      <c r="H1943" t="str">
        <f>TRIM(SUBSTITUTE(PROPER(C1943)&amp;" "&amp;IF(OR(D1943="County",D1943="Township",D1943="Village",D1943="Charter Township"),D1943,"")&amp;IF(D1943="Township"," "&amp;"("&amp;VLOOKUP(A1943,counties,3,0)&amp;")",""),"  "," "))</f>
        <v>Muskegon Central Dispatch 9-1-1</v>
      </c>
    </row>
    <row r="1944" spans="1:8" ht="15.75" thickBot="1" x14ac:dyDescent="0.3">
      <c r="A1944">
        <f t="shared" si="31"/>
        <v>61</v>
      </c>
      <c r="B1944" s="10">
        <v>2016</v>
      </c>
      <c r="C1944" s="3" t="s">
        <v>1702</v>
      </c>
      <c r="D1944" s="3" t="s">
        <v>9</v>
      </c>
      <c r="E1944" s="4" t="s">
        <v>7</v>
      </c>
      <c r="F1944" s="11" t="s">
        <v>8</v>
      </c>
      <c r="H1944" t="str">
        <f>TRIM(SUBSTITUTE(PROPER(C1944)&amp;" "&amp;IF(OR(D1944="County",D1944="Township",D1944="Village",D1944="Charter Township"),D1944,"")&amp;IF(D1944="Township"," "&amp;"("&amp;VLOOKUP(A1944,counties,3,0)&amp;")",""),"  "," "))</f>
        <v>Muskegon Charter Township (Muskegon County)</v>
      </c>
    </row>
    <row r="1945" spans="1:8" ht="15.75" thickBot="1" x14ac:dyDescent="0.3">
      <c r="A1945">
        <f t="shared" si="31"/>
        <v>61</v>
      </c>
      <c r="B1945" s="8">
        <v>2016</v>
      </c>
      <c r="C1945" s="1" t="s">
        <v>1703</v>
      </c>
      <c r="D1945" s="1" t="s">
        <v>88</v>
      </c>
      <c r="E1945" s="2" t="s">
        <v>7</v>
      </c>
      <c r="F1945" s="9" t="s">
        <v>8</v>
      </c>
      <c r="H1945" t="str">
        <f>TRIM(SUBSTITUTE(PROPER(C1945)&amp;" "&amp;IF(OR(D1945="County",D1945="Township",D1945="Village",D1945="Charter Township"),D1945,"")&amp;IF(D1945="Township"," "&amp;"("&amp;VLOOKUP(A1945,counties,3,0)&amp;")",""),"  "," "))</f>
        <v>Muskegon Community College</v>
      </c>
    </row>
    <row r="1946" spans="1:8" ht="15.75" thickBot="1" x14ac:dyDescent="0.3">
      <c r="A1946">
        <f t="shared" si="31"/>
        <v>61</v>
      </c>
      <c r="B1946" s="10">
        <v>2016</v>
      </c>
      <c r="C1946" s="3" t="s">
        <v>1704</v>
      </c>
      <c r="D1946" s="3" t="s">
        <v>11</v>
      </c>
      <c r="E1946" s="4" t="s">
        <v>7</v>
      </c>
      <c r="F1946" s="11" t="s">
        <v>8</v>
      </c>
      <c r="H1946" t="str">
        <f>TRIM(SUBSTITUTE(PROPER(C1946)&amp;" "&amp;IF(OR(D1946="County",D1946="Township",D1946="Village",D1946="Charter Township"),D1946,"")&amp;IF(D1946="Township"," "&amp;"("&amp;VLOOKUP(A1946,counties,3,0)&amp;")",""),"  "," "))</f>
        <v>Muskegon County Road Commission</v>
      </c>
    </row>
    <row r="1947" spans="1:8" ht="15.75" thickBot="1" x14ac:dyDescent="0.3">
      <c r="A1947">
        <f t="shared" si="31"/>
        <v>61</v>
      </c>
      <c r="B1947" s="8">
        <v>2016</v>
      </c>
      <c r="C1947" s="1" t="s">
        <v>1705</v>
      </c>
      <c r="D1947" s="1" t="s">
        <v>15</v>
      </c>
      <c r="E1947" s="2" t="s">
        <v>7</v>
      </c>
      <c r="F1947" s="9" t="s">
        <v>8</v>
      </c>
      <c r="H1947" t="str">
        <f>TRIM(SUBSTITUTE(PROPER(C1947)&amp;" "&amp;IF(OR(D1947="County",D1947="Township",D1947="Village",D1947="Charter Township"),D1947,"")&amp;IF(D1947="Township"," "&amp;"("&amp;VLOOKUP(A1947,counties,3,0)&amp;")",""),"  "," "))</f>
        <v>Muskegon Heights</v>
      </c>
    </row>
    <row r="1948" spans="1:8" ht="15.75" thickBot="1" x14ac:dyDescent="0.3">
      <c r="A1948">
        <f t="shared" si="31"/>
        <v>61</v>
      </c>
      <c r="B1948" s="10">
        <v>2016</v>
      </c>
      <c r="C1948" s="3" t="s">
        <v>1706</v>
      </c>
      <c r="D1948" s="3" t="s">
        <v>17</v>
      </c>
      <c r="E1948" s="4" t="s">
        <v>7</v>
      </c>
      <c r="F1948" s="11" t="s">
        <v>8</v>
      </c>
      <c r="H1948" t="str">
        <f>TRIM(SUBSTITUTE(PROPER(C1948)&amp;" "&amp;IF(OR(D1948="County",D1948="Township",D1948="Village",D1948="Charter Township"),D1948,"")&amp;IF(D1948="Township"," "&amp;"("&amp;VLOOKUP(A1948,counties,3,0)&amp;")",""),"  "," "))</f>
        <v>Muskegon Heights City Housing Commission</v>
      </c>
    </row>
    <row r="1949" spans="1:8" ht="15.75" thickBot="1" x14ac:dyDescent="0.3">
      <c r="A1949">
        <f t="shared" si="31"/>
        <v>61</v>
      </c>
      <c r="B1949" s="8">
        <v>2016</v>
      </c>
      <c r="C1949" s="1" t="s">
        <v>1707</v>
      </c>
      <c r="D1949" s="1" t="s">
        <v>15</v>
      </c>
      <c r="E1949" s="2" t="s">
        <v>7</v>
      </c>
      <c r="F1949" s="9" t="s">
        <v>8</v>
      </c>
      <c r="H1949" t="str">
        <f>TRIM(SUBSTITUTE(PROPER(C1949)&amp;" "&amp;IF(OR(D1949="County",D1949="Township",D1949="Village",D1949="Charter Township"),D1949,"")&amp;IF(D1949="Township"," "&amp;"("&amp;VLOOKUP(A1949,counties,3,0)&amp;")",""),"  "," "))</f>
        <v>North Muskegon</v>
      </c>
    </row>
    <row r="1950" spans="1:8" ht="15.75" thickBot="1" x14ac:dyDescent="0.3">
      <c r="A1950">
        <f t="shared" si="31"/>
        <v>61</v>
      </c>
      <c r="B1950" s="10">
        <v>2016</v>
      </c>
      <c r="C1950" s="3" t="s">
        <v>1708</v>
      </c>
      <c r="D1950" s="3" t="s">
        <v>15</v>
      </c>
      <c r="E1950" s="4" t="s">
        <v>7</v>
      </c>
      <c r="F1950" s="11" t="s">
        <v>8</v>
      </c>
      <c r="H1950" t="str">
        <f>TRIM(SUBSTITUTE(PROPER(C1950)&amp;" "&amp;IF(OR(D1950="County",D1950="Township",D1950="Village",D1950="Charter Township"),D1950,"")&amp;IF(D1950="Township"," "&amp;"("&amp;VLOOKUP(A1950,counties,3,0)&amp;")",""),"  "," "))</f>
        <v>Norton Shores</v>
      </c>
    </row>
    <row r="1951" spans="1:8" ht="15.75" thickBot="1" x14ac:dyDescent="0.3">
      <c r="A1951">
        <f t="shared" si="31"/>
        <v>61</v>
      </c>
      <c r="B1951" s="8">
        <v>2016</v>
      </c>
      <c r="C1951" s="1" t="s">
        <v>1709</v>
      </c>
      <c r="D1951" s="1" t="s">
        <v>9</v>
      </c>
      <c r="E1951" s="2" t="s">
        <v>7</v>
      </c>
      <c r="F1951" s="9" t="s">
        <v>8</v>
      </c>
      <c r="H1951" t="str">
        <f>TRIM(SUBSTITUTE(PROPER(C1951)&amp;" "&amp;IF(OR(D1951="County",D1951="Township",D1951="Village",D1951="Charter Township"),D1951,"")&amp;IF(D1951="Township"," "&amp;"("&amp;VLOOKUP(A1951,counties,3,0)&amp;")",""),"  "," "))</f>
        <v>Ravenna Township (Muskegon County)</v>
      </c>
    </row>
    <row r="1952" spans="1:8" ht="15.75" thickBot="1" x14ac:dyDescent="0.3">
      <c r="A1952">
        <f t="shared" si="31"/>
        <v>61</v>
      </c>
      <c r="B1952" s="10">
        <v>2016</v>
      </c>
      <c r="C1952" s="3" t="s">
        <v>1709</v>
      </c>
      <c r="D1952" s="3" t="s">
        <v>21</v>
      </c>
      <c r="E1952" s="4" t="s">
        <v>7</v>
      </c>
      <c r="F1952" s="11" t="s">
        <v>8</v>
      </c>
      <c r="H1952" t="str">
        <f>TRIM(SUBSTITUTE(PROPER(C1952)&amp;" "&amp;IF(OR(D1952="County",D1952="Township",D1952="Village",D1952="Charter Township"),D1952,"")&amp;IF(D1952="Township"," "&amp;"("&amp;VLOOKUP(A1952,counties,3,0)&amp;")",""),"  "," "))</f>
        <v>Ravenna Village</v>
      </c>
    </row>
    <row r="1953" spans="1:8" ht="15.75" thickBot="1" x14ac:dyDescent="0.3">
      <c r="A1953">
        <f t="shared" si="31"/>
        <v>61</v>
      </c>
      <c r="B1953" s="8">
        <v>2016</v>
      </c>
      <c r="C1953" s="1" t="s">
        <v>1710</v>
      </c>
      <c r="D1953" s="1" t="s">
        <v>15</v>
      </c>
      <c r="E1953" s="2" t="s">
        <v>7</v>
      </c>
      <c r="F1953" s="9" t="s">
        <v>8</v>
      </c>
      <c r="H1953" t="str">
        <f>TRIM(SUBSTITUTE(PROPER(C1953)&amp;" "&amp;IF(OR(D1953="County",D1953="Township",D1953="Village",D1953="Charter Township"),D1953,"")&amp;IF(D1953="Township"," "&amp;"("&amp;VLOOKUP(A1953,counties,3,0)&amp;")",""),"  "," "))</f>
        <v>Roosevelt Park</v>
      </c>
    </row>
    <row r="1954" spans="1:8" ht="15.75" thickBot="1" x14ac:dyDescent="0.3">
      <c r="A1954">
        <f t="shared" si="31"/>
        <v>61</v>
      </c>
      <c r="B1954" s="10">
        <v>2016</v>
      </c>
      <c r="C1954" s="3" t="s">
        <v>1711</v>
      </c>
      <c r="D1954" s="3" t="s">
        <v>9</v>
      </c>
      <c r="E1954" s="4" t="s">
        <v>7</v>
      </c>
      <c r="F1954" s="11" t="s">
        <v>19</v>
      </c>
      <c r="H1954" t="str">
        <f>TRIM(SUBSTITUTE(PROPER(C1954)&amp;" "&amp;IF(OR(D1954="County",D1954="Township",D1954="Village",D1954="Charter Township"),D1954,"")&amp;IF(D1954="Township"," "&amp;"("&amp;VLOOKUP(A1954,counties,3,0)&amp;")",""),"  "," "))</f>
        <v>Sullivan Township (Muskegon County)</v>
      </c>
    </row>
    <row r="1955" spans="1:8" ht="15.75" thickBot="1" x14ac:dyDescent="0.3">
      <c r="A1955">
        <f t="shared" si="31"/>
        <v>61</v>
      </c>
      <c r="B1955" s="8">
        <v>2016</v>
      </c>
      <c r="C1955" s="1" t="s">
        <v>1712</v>
      </c>
      <c r="D1955" s="1" t="s">
        <v>17</v>
      </c>
      <c r="E1955" s="2" t="s">
        <v>7</v>
      </c>
      <c r="F1955" s="9" t="s">
        <v>8</v>
      </c>
      <c r="H1955" t="str">
        <f>TRIM(SUBSTITUTE(PROPER(C1955)&amp;" "&amp;IF(OR(D1955="County",D1955="Township",D1955="Village",D1955="Charter Township"),D1955,"")&amp;IF(D1955="Township"," "&amp;"("&amp;VLOOKUP(A1955,counties,3,0)&amp;")",""),"  "," "))</f>
        <v>West Michigan Regional Water Authority</v>
      </c>
    </row>
    <row r="1956" spans="1:8" ht="21.75" thickBot="1" x14ac:dyDescent="0.3">
      <c r="A1956">
        <f t="shared" si="31"/>
        <v>61</v>
      </c>
      <c r="B1956" s="10">
        <v>2016</v>
      </c>
      <c r="C1956" s="3" t="s">
        <v>1713</v>
      </c>
      <c r="D1956" s="3" t="s">
        <v>17</v>
      </c>
      <c r="E1956" s="4" t="s">
        <v>7</v>
      </c>
      <c r="F1956" s="11" t="s">
        <v>8</v>
      </c>
      <c r="H1956" t="str">
        <f>TRIM(SUBSTITUTE(PROPER(C1956)&amp;" "&amp;IF(OR(D1956="County",D1956="Township",D1956="Village",D1956="Charter Township"),D1956,"")&amp;IF(D1956="Township"," "&amp;"("&amp;VLOOKUP(A1956,counties,3,0)&amp;")",""),"  "," "))</f>
        <v>West Michigan Shoreline Regional Development Commission</v>
      </c>
    </row>
    <row r="1957" spans="1:8" ht="15.75" thickBot="1" x14ac:dyDescent="0.3">
      <c r="A1957">
        <f t="shared" si="31"/>
        <v>61</v>
      </c>
      <c r="B1957" s="8">
        <v>2016</v>
      </c>
      <c r="C1957" s="1" t="s">
        <v>1714</v>
      </c>
      <c r="D1957" s="1" t="s">
        <v>17</v>
      </c>
      <c r="E1957" s="2" t="s">
        <v>7</v>
      </c>
      <c r="F1957" s="9" t="s">
        <v>8</v>
      </c>
      <c r="H1957" t="str">
        <f>TRIM(SUBSTITUTE(PROPER(C1957)&amp;" "&amp;IF(OR(D1957="County",D1957="Township",D1957="Village",D1957="Charter Township"),D1957,"")&amp;IF(D1957="Township"," "&amp;"("&amp;VLOOKUP(A1957,counties,3,0)&amp;")",""),"  "," "))</f>
        <v>White Lake Ambulance Authority</v>
      </c>
    </row>
    <row r="1958" spans="1:8" ht="15.75" thickBot="1" x14ac:dyDescent="0.3">
      <c r="A1958">
        <f t="shared" si="31"/>
        <v>61</v>
      </c>
      <c r="B1958" s="10">
        <v>2016</v>
      </c>
      <c r="C1958" s="3" t="s">
        <v>1715</v>
      </c>
      <c r="D1958" s="3" t="s">
        <v>17</v>
      </c>
      <c r="E1958" s="4" t="s">
        <v>7</v>
      </c>
      <c r="F1958" s="11" t="s">
        <v>8</v>
      </c>
      <c r="H1958" t="str">
        <f>TRIM(SUBSTITUTE(PROPER(C1958)&amp;" "&amp;IF(OR(D1958="County",D1958="Township",D1958="Village",D1958="Charter Township"),D1958,"")&amp;IF(D1958="Township"," "&amp;"("&amp;VLOOKUP(A1958,counties,3,0)&amp;")",""),"  "," "))</f>
        <v>White Lake Area Solid Waste Authority</v>
      </c>
    </row>
    <row r="1959" spans="1:8" ht="15.75" thickBot="1" x14ac:dyDescent="0.3">
      <c r="A1959">
        <f t="shared" si="31"/>
        <v>61</v>
      </c>
      <c r="B1959" s="8">
        <v>2016</v>
      </c>
      <c r="C1959" s="1" t="s">
        <v>1716</v>
      </c>
      <c r="D1959" s="1" t="s">
        <v>42</v>
      </c>
      <c r="E1959" s="2" t="s">
        <v>7</v>
      </c>
      <c r="F1959" s="9" t="s">
        <v>8</v>
      </c>
      <c r="H1959" t="str">
        <f>TRIM(SUBSTITUTE(PROPER(C1959)&amp;" "&amp;IF(OR(D1959="County",D1959="Township",D1959="Village",D1959="Charter Township"),D1959,"")&amp;IF(D1959="Township"," "&amp;"("&amp;VLOOKUP(A1959,counties,3,0)&amp;")",""),"  "," "))</f>
        <v>White Lake Community Library</v>
      </c>
    </row>
    <row r="1960" spans="1:8" ht="15.75" thickBot="1" x14ac:dyDescent="0.3">
      <c r="A1960">
        <f t="shared" si="31"/>
        <v>61</v>
      </c>
      <c r="B1960" s="10">
        <v>2016</v>
      </c>
      <c r="C1960" s="3" t="s">
        <v>1717</v>
      </c>
      <c r="D1960" s="3" t="s">
        <v>17</v>
      </c>
      <c r="E1960" s="4" t="s">
        <v>7</v>
      </c>
      <c r="F1960" s="11" t="s">
        <v>8</v>
      </c>
      <c r="H1960" t="str">
        <f>TRIM(SUBSTITUTE(PROPER(C1960)&amp;" "&amp;IF(OR(D1960="County",D1960="Township",D1960="Village",D1960="Charter Township"),D1960,"")&amp;IF(D1960="Township"," "&amp;"("&amp;VLOOKUP(A1960,counties,3,0)&amp;")",""),"  "," "))</f>
        <v>White Lake Fire Authority</v>
      </c>
    </row>
    <row r="1961" spans="1:8" ht="15.75" thickBot="1" x14ac:dyDescent="0.3">
      <c r="A1961">
        <f t="shared" si="31"/>
        <v>61</v>
      </c>
      <c r="B1961" s="8">
        <v>2016</v>
      </c>
      <c r="C1961" s="1" t="s">
        <v>1718</v>
      </c>
      <c r="D1961" s="1" t="s">
        <v>9</v>
      </c>
      <c r="E1961" s="2" t="s">
        <v>7</v>
      </c>
      <c r="F1961" s="9" t="s">
        <v>8</v>
      </c>
      <c r="H1961" t="str">
        <f>TRIM(SUBSTITUTE(PROPER(C1961)&amp;" "&amp;IF(OR(D1961="County",D1961="Township",D1961="Village",D1961="Charter Township"),D1961,"")&amp;IF(D1961="Township"," "&amp;"("&amp;VLOOKUP(A1961,counties,3,0)&amp;")",""),"  "," "))</f>
        <v>White River Township (Muskegon County)</v>
      </c>
    </row>
    <row r="1962" spans="1:8" ht="15.75" thickBot="1" x14ac:dyDescent="0.3">
      <c r="A1962">
        <f t="shared" si="31"/>
        <v>61</v>
      </c>
      <c r="B1962" s="10">
        <v>2016</v>
      </c>
      <c r="C1962" s="3" t="s">
        <v>1719</v>
      </c>
      <c r="D1962" s="3" t="s">
        <v>15</v>
      </c>
      <c r="E1962" s="4" t="s">
        <v>7</v>
      </c>
      <c r="F1962" s="11" t="s">
        <v>8</v>
      </c>
      <c r="H1962" t="str">
        <f>TRIM(SUBSTITUTE(PROPER(C1962)&amp;" "&amp;IF(OR(D1962="County",D1962="Township",D1962="Village",D1962="Charter Township"),D1962,"")&amp;IF(D1962="Township"," "&amp;"("&amp;VLOOKUP(A1962,counties,3,0)&amp;")",""),"  "," "))</f>
        <v>Whitehall</v>
      </c>
    </row>
    <row r="1963" spans="1:8" ht="15.75" thickBot="1" x14ac:dyDescent="0.3">
      <c r="A1963">
        <f t="shared" si="31"/>
        <v>61</v>
      </c>
      <c r="B1963" s="16">
        <v>2016</v>
      </c>
      <c r="C1963" s="17" t="s">
        <v>1719</v>
      </c>
      <c r="D1963" s="17" t="s">
        <v>9</v>
      </c>
      <c r="E1963" s="18" t="s">
        <v>7</v>
      </c>
      <c r="F1963" s="19" t="s">
        <v>8</v>
      </c>
      <c r="H1963" t="str">
        <f>TRIM(SUBSTITUTE(PROPER(C1963)&amp;" "&amp;IF(OR(D1963="County",D1963="Township",D1963="Village",D1963="Charter Township"),D1963,"")&amp;IF(D1963="Township"," "&amp;"("&amp;VLOOKUP(A1963,counties,3,0)&amp;")",""),"  "," "))</f>
        <v>Whitehall Township (Muskegon County)</v>
      </c>
    </row>
    <row r="1964" spans="1:8" ht="16.5" thickTop="1" thickBot="1" x14ac:dyDescent="0.3">
      <c r="A1964">
        <f t="shared" si="31"/>
        <v>62</v>
      </c>
      <c r="B1964" s="5" t="s">
        <v>0</v>
      </c>
      <c r="C1964" s="6" t="s">
        <v>1</v>
      </c>
      <c r="D1964" s="6" t="s">
        <v>2</v>
      </c>
      <c r="E1964" s="6" t="s">
        <v>3</v>
      </c>
      <c r="F1964" s="7" t="s">
        <v>4</v>
      </c>
      <c r="H1964" t="str">
        <f>TRIM(SUBSTITUTE(PROPER(C1964)&amp;" "&amp;IF(OR(D1964="County",D1964="Township",D1964="Village",D1964="Charter Township"),D1964,"")&amp;IF(D1964="Township"," "&amp;"("&amp;VLOOKUP(A1964,counties,3,0)&amp;")",""),"  "," "))</f>
        <v>Municipality</v>
      </c>
    </row>
    <row r="1965" spans="1:8" ht="15.75" thickBot="1" x14ac:dyDescent="0.3">
      <c r="A1965">
        <f t="shared" si="31"/>
        <v>62</v>
      </c>
      <c r="B1965" s="8">
        <v>2016</v>
      </c>
      <c r="C1965" s="1" t="s">
        <v>1720</v>
      </c>
      <c r="D1965" s="1" t="s">
        <v>17</v>
      </c>
      <c r="E1965" s="2" t="s">
        <v>7</v>
      </c>
      <c r="F1965" s="9" t="s">
        <v>8</v>
      </c>
      <c r="H1965" t="str">
        <f>TRIM(SUBSTITUTE(PROPER(C1965)&amp;" "&amp;IF(OR(D1965="County",D1965="Township",D1965="Village",D1965="Charter Township"),D1965,"")&amp;IF(D1965="Township"," "&amp;"("&amp;VLOOKUP(A1965,counties,3,0)&amp;")",""),"  "," "))</f>
        <v>Ashland-Grant Fire District</v>
      </c>
    </row>
    <row r="1966" spans="1:8" ht="15.75" thickBot="1" x14ac:dyDescent="0.3">
      <c r="A1966">
        <f t="shared" si="31"/>
        <v>62</v>
      </c>
      <c r="B1966" s="10">
        <v>2016</v>
      </c>
      <c r="C1966" s="3" t="s">
        <v>1721</v>
      </c>
      <c r="D1966" s="3" t="s">
        <v>9</v>
      </c>
      <c r="E1966" s="4" t="s">
        <v>7</v>
      </c>
      <c r="F1966" s="11" t="s">
        <v>8</v>
      </c>
      <c r="H1966" t="str">
        <f>TRIM(SUBSTITUTE(PROPER(C1966)&amp;" "&amp;IF(OR(D1966="County",D1966="Township",D1966="Village",D1966="Charter Township"),D1966,"")&amp;IF(D1966="Township"," "&amp;"("&amp;VLOOKUP(A1966,counties,3,0)&amp;")",""),"  "," "))</f>
        <v>Barton Township (Newaygo County)</v>
      </c>
    </row>
    <row r="1967" spans="1:8" ht="15.75" thickBot="1" x14ac:dyDescent="0.3">
      <c r="A1967">
        <f t="shared" si="31"/>
        <v>62</v>
      </c>
      <c r="B1967" s="8">
        <v>2016</v>
      </c>
      <c r="C1967" s="1" t="s">
        <v>203</v>
      </c>
      <c r="D1967" s="1" t="s">
        <v>9</v>
      </c>
      <c r="E1967" s="2" t="s">
        <v>7</v>
      </c>
      <c r="F1967" s="9" t="s">
        <v>8</v>
      </c>
      <c r="H1967" t="str">
        <f>TRIM(SUBSTITUTE(PROPER(C1967)&amp;" "&amp;IF(OR(D1967="County",D1967="Township",D1967="Village",D1967="Charter Township"),D1967,"")&amp;IF(D1967="Township"," "&amp;"("&amp;VLOOKUP(A1967,counties,3,0)&amp;")",""),"  "," "))</f>
        <v>Beaver Township (Newaygo County)</v>
      </c>
    </row>
    <row r="1968" spans="1:8" ht="15.75" thickBot="1" x14ac:dyDescent="0.3">
      <c r="A1968">
        <f t="shared" si="31"/>
        <v>62</v>
      </c>
      <c r="B1968" s="10">
        <v>2016</v>
      </c>
      <c r="C1968" s="3" t="s">
        <v>1722</v>
      </c>
      <c r="D1968" s="3" t="s">
        <v>17</v>
      </c>
      <c r="E1968" s="4" t="s">
        <v>7</v>
      </c>
      <c r="F1968" s="11" t="s">
        <v>8</v>
      </c>
      <c r="H1968" t="str">
        <f>TRIM(SUBSTITUTE(PROPER(C1968)&amp;" "&amp;IF(OR(D1968="County",D1968="Township",D1968="Village",D1968="Charter Township"),D1968,"")&amp;IF(D1968="Township"," "&amp;"("&amp;VLOOKUP(A1968,counties,3,0)&amp;")",""),"  "," "))</f>
        <v>Big Prairie-Everett Cemetery</v>
      </c>
    </row>
    <row r="1969" spans="1:8" ht="15.75" thickBot="1" x14ac:dyDescent="0.3">
      <c r="A1969">
        <f t="shared" si="31"/>
        <v>62</v>
      </c>
      <c r="B1969" s="8">
        <v>2016</v>
      </c>
      <c r="C1969" s="1" t="s">
        <v>1723</v>
      </c>
      <c r="D1969" s="1" t="s">
        <v>9</v>
      </c>
      <c r="E1969" s="2" t="s">
        <v>7</v>
      </c>
      <c r="F1969" s="9" t="s">
        <v>8</v>
      </c>
      <c r="H1969" t="str">
        <f>TRIM(SUBSTITUTE(PROPER(C1969)&amp;" "&amp;IF(OR(D1969="County",D1969="Township",D1969="Village",D1969="Charter Township"),D1969,"")&amp;IF(D1969="Township"," "&amp;"("&amp;VLOOKUP(A1969,counties,3,0)&amp;")",""),"  "," "))</f>
        <v>Bridgeton Township (Newaygo County)</v>
      </c>
    </row>
    <row r="1970" spans="1:8" ht="15.75" thickBot="1" x14ac:dyDescent="0.3">
      <c r="A1970">
        <f t="shared" si="31"/>
        <v>62</v>
      </c>
      <c r="B1970" s="10">
        <v>2016</v>
      </c>
      <c r="C1970" s="3" t="s">
        <v>1724</v>
      </c>
      <c r="D1970" s="3" t="s">
        <v>9</v>
      </c>
      <c r="E1970" s="4" t="s">
        <v>7</v>
      </c>
      <c r="F1970" s="11" t="s">
        <v>8</v>
      </c>
      <c r="H1970" t="str">
        <f>TRIM(SUBSTITUTE(PROPER(C1970)&amp;" "&amp;IF(OR(D1970="County",D1970="Township",D1970="Village",D1970="Charter Township"),D1970,"")&amp;IF(D1970="Township"," "&amp;"("&amp;VLOOKUP(A1970,counties,3,0)&amp;")",""),"  "," "))</f>
        <v>Brooks Township (Newaygo County)</v>
      </c>
    </row>
    <row r="1971" spans="1:8" ht="15.75" thickBot="1" x14ac:dyDescent="0.3">
      <c r="A1971">
        <f t="shared" si="31"/>
        <v>62</v>
      </c>
      <c r="B1971" s="8">
        <v>2016</v>
      </c>
      <c r="C1971" s="1" t="s">
        <v>1725</v>
      </c>
      <c r="D1971" s="1" t="s">
        <v>17</v>
      </c>
      <c r="E1971" s="2" t="s">
        <v>7</v>
      </c>
      <c r="F1971" s="9" t="s">
        <v>8</v>
      </c>
      <c r="H1971" t="str">
        <f>TRIM(SUBSTITUTE(PROPER(C1971)&amp;" "&amp;IF(OR(D1971="County",D1971="Township",D1971="Village",D1971="Charter Township"),D1971,"")&amp;IF(D1971="Township"," "&amp;"("&amp;VLOOKUP(A1971,counties,3,0)&amp;")",""),"  "," "))</f>
        <v>Chain Of Lakes Area Utilities Authority</v>
      </c>
    </row>
    <row r="1972" spans="1:8" ht="15.75" thickBot="1" x14ac:dyDescent="0.3">
      <c r="A1972">
        <f t="shared" si="31"/>
        <v>62</v>
      </c>
      <c r="B1972" s="10">
        <v>2016</v>
      </c>
      <c r="C1972" s="3" t="s">
        <v>1726</v>
      </c>
      <c r="D1972" s="3" t="s">
        <v>9</v>
      </c>
      <c r="E1972" s="4" t="s">
        <v>7</v>
      </c>
      <c r="F1972" s="11" t="s">
        <v>8</v>
      </c>
      <c r="H1972" t="str">
        <f>TRIM(SUBSTITUTE(PROPER(C1972)&amp;" "&amp;IF(OR(D1972="County",D1972="Township",D1972="Village",D1972="Charter Township"),D1972,"")&amp;IF(D1972="Township"," "&amp;"("&amp;VLOOKUP(A1972,counties,3,0)&amp;")",""),"  "," "))</f>
        <v>Croton Township (Newaygo County)</v>
      </c>
    </row>
    <row r="1973" spans="1:8" ht="15.75" thickBot="1" x14ac:dyDescent="0.3">
      <c r="A1973">
        <f t="shared" si="31"/>
        <v>62</v>
      </c>
      <c r="B1973" s="8">
        <v>2016</v>
      </c>
      <c r="C1973" s="1" t="s">
        <v>1727</v>
      </c>
      <c r="D1973" s="1" t="s">
        <v>9</v>
      </c>
      <c r="E1973" s="2" t="s">
        <v>7</v>
      </c>
      <c r="F1973" s="9" t="s">
        <v>8</v>
      </c>
      <c r="H1973" t="str">
        <f>TRIM(SUBSTITUTE(PROPER(C1973)&amp;" "&amp;IF(OR(D1973="County",D1973="Township",D1973="Village",D1973="Charter Township"),D1973,"")&amp;IF(D1973="Township"," "&amp;"("&amp;VLOOKUP(A1973,counties,3,0)&amp;")",""),"  "," "))</f>
        <v>Dayton Township (Newaygo County)</v>
      </c>
    </row>
    <row r="1974" spans="1:8" ht="15.75" thickBot="1" x14ac:dyDescent="0.3">
      <c r="A1974">
        <f t="shared" si="31"/>
        <v>62</v>
      </c>
      <c r="B1974" s="10">
        <v>2016</v>
      </c>
      <c r="C1974" s="3" t="s">
        <v>1055</v>
      </c>
      <c r="D1974" s="3" t="s">
        <v>9</v>
      </c>
      <c r="E1974" s="4" t="s">
        <v>7</v>
      </c>
      <c r="F1974" s="11" t="s">
        <v>8</v>
      </c>
      <c r="H1974" t="str">
        <f>TRIM(SUBSTITUTE(PROPER(C1974)&amp;" "&amp;IF(OR(D1974="County",D1974="Township",D1974="Village",D1974="Charter Township"),D1974,"")&amp;IF(D1974="Township"," "&amp;"("&amp;VLOOKUP(A1974,counties,3,0)&amp;")",""),"  "," "))</f>
        <v>Denver Township (Newaygo County)</v>
      </c>
    </row>
    <row r="1975" spans="1:8" ht="15.75" thickBot="1" x14ac:dyDescent="0.3">
      <c r="A1975">
        <f t="shared" si="31"/>
        <v>62</v>
      </c>
      <c r="B1975" s="8">
        <v>2016</v>
      </c>
      <c r="C1975" s="1" t="s">
        <v>1728</v>
      </c>
      <c r="D1975" s="1" t="s">
        <v>9</v>
      </c>
      <c r="E1975" s="2" t="s">
        <v>7</v>
      </c>
      <c r="F1975" s="9" t="s">
        <v>19</v>
      </c>
      <c r="H1975" t="str">
        <f>TRIM(SUBSTITUTE(PROPER(C1975)&amp;" "&amp;IF(OR(D1975="County",D1975="Township",D1975="Village",D1975="Charter Township"),D1975,"")&amp;IF(D1975="Township"," "&amp;"("&amp;VLOOKUP(A1975,counties,3,0)&amp;")",""),"  "," "))</f>
        <v>Everett Township (Newaygo County)</v>
      </c>
    </row>
    <row r="1976" spans="1:8" ht="15.75" thickBot="1" x14ac:dyDescent="0.3">
      <c r="A1976">
        <f t="shared" si="31"/>
        <v>62</v>
      </c>
      <c r="B1976" s="10">
        <v>2016</v>
      </c>
      <c r="C1976" s="3" t="s">
        <v>1729</v>
      </c>
      <c r="D1976" s="3" t="s">
        <v>15</v>
      </c>
      <c r="E1976" s="4" t="s">
        <v>7</v>
      </c>
      <c r="F1976" s="11" t="s">
        <v>8</v>
      </c>
      <c r="H1976" t="str">
        <f>TRIM(SUBSTITUTE(PROPER(C1976)&amp;" "&amp;IF(OR(D1976="County",D1976="Township",D1976="Village",D1976="Charter Township"),D1976,"")&amp;IF(D1976="Township"," "&amp;"("&amp;VLOOKUP(A1976,counties,3,0)&amp;")",""),"  "," "))</f>
        <v>Fremont</v>
      </c>
    </row>
    <row r="1977" spans="1:8" ht="15.75" thickBot="1" x14ac:dyDescent="0.3">
      <c r="A1977">
        <f t="shared" si="31"/>
        <v>62</v>
      </c>
      <c r="B1977" s="8">
        <v>2016</v>
      </c>
      <c r="C1977" s="1" t="s">
        <v>1730</v>
      </c>
      <c r="D1977" s="1" t="s">
        <v>42</v>
      </c>
      <c r="E1977" s="2" t="s">
        <v>7</v>
      </c>
      <c r="F1977" s="9" t="s">
        <v>8</v>
      </c>
      <c r="H1977" t="str">
        <f>TRIM(SUBSTITUTE(PROPER(C1977)&amp;" "&amp;IF(OR(D1977="County",D1977="Township",D1977="Village",D1977="Charter Township"),D1977,"")&amp;IF(D1977="Township"," "&amp;"("&amp;VLOOKUP(A1977,counties,3,0)&amp;")",""),"  "," "))</f>
        <v>Fremont Area District Library</v>
      </c>
    </row>
    <row r="1978" spans="1:8" ht="15.75" thickBot="1" x14ac:dyDescent="0.3">
      <c r="A1978">
        <f t="shared" si="31"/>
        <v>62</v>
      </c>
      <c r="B1978" s="10">
        <v>2016</v>
      </c>
      <c r="C1978" s="3" t="s">
        <v>1731</v>
      </c>
      <c r="D1978" s="3" t="s">
        <v>17</v>
      </c>
      <c r="E1978" s="4" t="s">
        <v>7</v>
      </c>
      <c r="F1978" s="11" t="s">
        <v>8</v>
      </c>
      <c r="H1978" t="str">
        <f>TRIM(SUBSTITUTE(PROPER(C1978)&amp;" "&amp;IF(OR(D1978="County",D1978="Township",D1978="Village",D1978="Charter Township"),D1978,"")&amp;IF(D1978="Township"," "&amp;"("&amp;VLOOKUP(A1978,counties,3,0)&amp;")",""),"  "," "))</f>
        <v>Fremont Community Recreational Authority</v>
      </c>
    </row>
    <row r="1979" spans="1:8" ht="15.75" thickBot="1" x14ac:dyDescent="0.3">
      <c r="A1979">
        <f t="shared" si="31"/>
        <v>62</v>
      </c>
      <c r="B1979" s="8">
        <v>2016</v>
      </c>
      <c r="C1979" s="1" t="s">
        <v>449</v>
      </c>
      <c r="D1979" s="1" t="s">
        <v>15</v>
      </c>
      <c r="E1979" s="2" t="s">
        <v>7</v>
      </c>
      <c r="F1979" s="9" t="s">
        <v>8</v>
      </c>
      <c r="H1979" t="str">
        <f>TRIM(SUBSTITUTE(PROPER(C1979)&amp;" "&amp;IF(OR(D1979="County",D1979="Township",D1979="Village",D1979="Charter Township"),D1979,"")&amp;IF(D1979="Township"," "&amp;"("&amp;VLOOKUP(A1979,counties,3,0)&amp;")",""),"  "," "))</f>
        <v>Grant</v>
      </c>
    </row>
    <row r="1980" spans="1:8" ht="15.75" thickBot="1" x14ac:dyDescent="0.3">
      <c r="A1980">
        <f t="shared" si="31"/>
        <v>62</v>
      </c>
      <c r="B1980" s="10">
        <v>2016</v>
      </c>
      <c r="C1980" s="3" t="s">
        <v>1732</v>
      </c>
      <c r="D1980" s="3" t="s">
        <v>42</v>
      </c>
      <c r="E1980" s="4" t="s">
        <v>7</v>
      </c>
      <c r="F1980" s="11" t="s">
        <v>8</v>
      </c>
      <c r="H1980" t="str">
        <f>TRIM(SUBSTITUTE(PROPER(C1980)&amp;" "&amp;IF(OR(D1980="County",D1980="Township",D1980="Village",D1980="Charter Township"),D1980,"")&amp;IF(D1980="Township"," "&amp;"("&amp;VLOOKUP(A1980,counties,3,0)&amp;")",""),"  "," "))</f>
        <v>Grant Area District Library</v>
      </c>
    </row>
    <row r="1981" spans="1:8" ht="15.75" thickBot="1" x14ac:dyDescent="0.3">
      <c r="A1981">
        <f t="shared" si="31"/>
        <v>62</v>
      </c>
      <c r="B1981" s="8">
        <v>2016</v>
      </c>
      <c r="C1981" s="1" t="s">
        <v>1733</v>
      </c>
      <c r="D1981" s="1" t="s">
        <v>42</v>
      </c>
      <c r="E1981" s="2" t="s">
        <v>7</v>
      </c>
      <c r="F1981" s="9" t="s">
        <v>8</v>
      </c>
      <c r="H1981" t="str">
        <f>TRIM(SUBSTITUTE(PROPER(C1981)&amp;" "&amp;IF(OR(D1981="County",D1981="Township",D1981="Village",D1981="Charter Township"),D1981,"")&amp;IF(D1981="Township"," "&amp;"("&amp;VLOOKUP(A1981,counties,3,0)&amp;")",""),"  "," "))</f>
        <v>Hesperia Community Library</v>
      </c>
    </row>
    <row r="1982" spans="1:8" ht="15.75" thickBot="1" x14ac:dyDescent="0.3">
      <c r="A1982">
        <f t="shared" si="31"/>
        <v>62</v>
      </c>
      <c r="B1982" s="10">
        <v>2016</v>
      </c>
      <c r="C1982" s="3" t="s">
        <v>1654</v>
      </c>
      <c r="D1982" s="3" t="s">
        <v>9</v>
      </c>
      <c r="E1982" s="4" t="s">
        <v>7</v>
      </c>
      <c r="F1982" s="11" t="s">
        <v>19</v>
      </c>
      <c r="H1982" t="str">
        <f>TRIM(SUBSTITUTE(PROPER(C1982)&amp;" "&amp;IF(OR(D1982="County",D1982="Township",D1982="Village",D1982="Charter Township"),D1982,"")&amp;IF(D1982="Township"," "&amp;"("&amp;VLOOKUP(A1982,counties,3,0)&amp;")",""),"  "," "))</f>
        <v>Home Township (Newaygo County)</v>
      </c>
    </row>
    <row r="1983" spans="1:8" ht="15.75" thickBot="1" x14ac:dyDescent="0.3">
      <c r="A1983">
        <f t="shared" si="31"/>
        <v>62</v>
      </c>
      <c r="B1983" s="8">
        <v>2016</v>
      </c>
      <c r="C1983" s="1" t="s">
        <v>1734</v>
      </c>
      <c r="D1983" s="1" t="s">
        <v>9</v>
      </c>
      <c r="E1983" s="2" t="s">
        <v>7</v>
      </c>
      <c r="F1983" s="9" t="s">
        <v>8</v>
      </c>
      <c r="H1983" t="str">
        <f>TRIM(SUBSTITUTE(PROPER(C1983)&amp;" "&amp;IF(OR(D1983="County",D1983="Township",D1983="Village",D1983="Charter Township"),D1983,"")&amp;IF(D1983="Township"," "&amp;"("&amp;VLOOKUP(A1983,counties,3,0)&amp;")",""),"  "," "))</f>
        <v>Lilley Township (Newaygo County)</v>
      </c>
    </row>
    <row r="1984" spans="1:8" ht="15.75" thickBot="1" x14ac:dyDescent="0.3">
      <c r="A1984">
        <f t="shared" si="31"/>
        <v>62</v>
      </c>
      <c r="B1984" s="10">
        <v>2016</v>
      </c>
      <c r="C1984" s="3" t="s">
        <v>1619</v>
      </c>
      <c r="D1984" s="3" t="s">
        <v>9</v>
      </c>
      <c r="E1984" s="4" t="s">
        <v>7</v>
      </c>
      <c r="F1984" s="11" t="s">
        <v>8</v>
      </c>
      <c r="H1984" t="str">
        <f>TRIM(SUBSTITUTE(PROPER(C1984)&amp;" "&amp;IF(OR(D1984="County",D1984="Township",D1984="Village",D1984="Charter Township"),D1984,"")&amp;IF(D1984="Township"," "&amp;"("&amp;VLOOKUP(A1984,counties,3,0)&amp;")",""),"  "," "))</f>
        <v>Monroe Township (Newaygo County)</v>
      </c>
    </row>
    <row r="1985" spans="1:8" ht="15.75" thickBot="1" x14ac:dyDescent="0.3">
      <c r="A1985">
        <f t="shared" si="31"/>
        <v>62</v>
      </c>
      <c r="B1985" s="8">
        <v>2016</v>
      </c>
      <c r="C1985" s="1" t="s">
        <v>1735</v>
      </c>
      <c r="D1985" s="1" t="s">
        <v>15</v>
      </c>
      <c r="E1985" s="2" t="s">
        <v>7</v>
      </c>
      <c r="F1985" s="9" t="s">
        <v>8</v>
      </c>
      <c r="H1985" t="str">
        <f>TRIM(SUBSTITUTE(PROPER(C1985)&amp;" "&amp;IF(OR(D1985="County",D1985="Township",D1985="Village",D1985="Charter Township"),D1985,"")&amp;IF(D1985="Township"," "&amp;"("&amp;VLOOKUP(A1985,counties,3,0)&amp;")",""),"  "," "))</f>
        <v>Newaygo</v>
      </c>
    </row>
    <row r="1986" spans="1:8" ht="15.75" thickBot="1" x14ac:dyDescent="0.3">
      <c r="A1986">
        <f t="shared" si="31"/>
        <v>62</v>
      </c>
      <c r="B1986" s="10">
        <v>2016</v>
      </c>
      <c r="C1986" s="3" t="s">
        <v>1735</v>
      </c>
      <c r="D1986" s="3" t="s">
        <v>6</v>
      </c>
      <c r="E1986" s="4" t="s">
        <v>7</v>
      </c>
      <c r="F1986" s="11" t="s">
        <v>8</v>
      </c>
      <c r="H1986" t="str">
        <f>TRIM(SUBSTITUTE(PROPER(C1986)&amp;" "&amp;IF(OR(D1986="County",D1986="Township",D1986="Village",D1986="Charter Township"),D1986,"")&amp;IF(D1986="Township"," "&amp;"("&amp;VLOOKUP(A1986,counties,3,0)&amp;")",""),"  "," "))</f>
        <v>Newaygo County</v>
      </c>
    </row>
    <row r="1987" spans="1:8" ht="15.75" thickBot="1" x14ac:dyDescent="0.3">
      <c r="A1987">
        <f t="shared" ref="A1987:A2050" si="32">IF(B1987="Year",A1986+1,A1986)</f>
        <v>62</v>
      </c>
      <c r="B1987" s="8">
        <v>2016</v>
      </c>
      <c r="C1987" s="1" t="s">
        <v>1736</v>
      </c>
      <c r="D1987" s="1" t="s">
        <v>42</v>
      </c>
      <c r="E1987" s="2" t="s">
        <v>7</v>
      </c>
      <c r="F1987" s="9" t="s">
        <v>8</v>
      </c>
      <c r="H1987" t="str">
        <f>TRIM(SUBSTITUTE(PROPER(C1987)&amp;" "&amp;IF(OR(D1987="County",D1987="Township",D1987="Village",D1987="Charter Township"),D1987,"")&amp;IF(D1987="Township"," "&amp;"("&amp;VLOOKUP(A1987,counties,3,0)&amp;")",""),"  "," "))</f>
        <v>Newaygo Area District Library</v>
      </c>
    </row>
    <row r="1988" spans="1:8" ht="15.75" thickBot="1" x14ac:dyDescent="0.3">
      <c r="A1988">
        <f t="shared" si="32"/>
        <v>62</v>
      </c>
      <c r="B1988" s="10">
        <v>2016</v>
      </c>
      <c r="C1988" s="3" t="s">
        <v>1737</v>
      </c>
      <c r="D1988" s="3" t="s">
        <v>72</v>
      </c>
      <c r="E1988" s="4" t="s">
        <v>7</v>
      </c>
      <c r="F1988" s="11" t="s">
        <v>8</v>
      </c>
      <c r="H1988" t="str">
        <f>TRIM(SUBSTITUTE(PROPER(C1988)&amp;" "&amp;IF(OR(D1988="County",D1988="Township",D1988="Village",D1988="Charter Township"),D1988,"")&amp;IF(D1988="Township"," "&amp;"("&amp;VLOOKUP(A1988,counties,3,0)&amp;")",""),"  "," "))</f>
        <v>Newaygo Area Recreation Authority</v>
      </c>
    </row>
    <row r="1989" spans="1:8" ht="15.75" thickBot="1" x14ac:dyDescent="0.3">
      <c r="A1989">
        <f t="shared" si="32"/>
        <v>62</v>
      </c>
      <c r="B1989" s="8">
        <v>2016</v>
      </c>
      <c r="C1989" s="1" t="s">
        <v>1738</v>
      </c>
      <c r="D1989" s="1" t="s">
        <v>11</v>
      </c>
      <c r="E1989" s="2" t="s">
        <v>7</v>
      </c>
      <c r="F1989" s="9" t="s">
        <v>8</v>
      </c>
      <c r="H1989" t="str">
        <f>TRIM(SUBSTITUTE(PROPER(C1989)&amp;" "&amp;IF(OR(D1989="County",D1989="Township",D1989="Village",D1989="Charter Township"),D1989,"")&amp;IF(D1989="Township"," "&amp;"("&amp;VLOOKUP(A1989,counties,3,0)&amp;")",""),"  "," "))</f>
        <v>Newaygo Co Road Commission</v>
      </c>
    </row>
    <row r="1990" spans="1:8" ht="15.75" thickBot="1" x14ac:dyDescent="0.3">
      <c r="A1990">
        <f t="shared" si="32"/>
        <v>62</v>
      </c>
      <c r="B1990" s="10">
        <v>2016</v>
      </c>
      <c r="C1990" s="3" t="s">
        <v>1739</v>
      </c>
      <c r="D1990" s="3" t="s">
        <v>17</v>
      </c>
      <c r="E1990" s="4" t="s">
        <v>7</v>
      </c>
      <c r="F1990" s="11" t="s">
        <v>8</v>
      </c>
      <c r="H1990" t="str">
        <f>TRIM(SUBSTITUTE(PROPER(C1990)&amp;" "&amp;IF(OR(D1990="County",D1990="Township",D1990="Village",D1990="Charter Township"),D1990,"")&amp;IF(D1990="Township"," "&amp;"("&amp;VLOOKUP(A1990,counties,3,0)&amp;")",""),"  "," "))</f>
        <v>Newaygo County Mental Health Board</v>
      </c>
    </row>
    <row r="1991" spans="1:8" ht="15.75" thickBot="1" x14ac:dyDescent="0.3">
      <c r="A1991">
        <f t="shared" si="32"/>
        <v>62</v>
      </c>
      <c r="B1991" s="8">
        <v>2016</v>
      </c>
      <c r="C1991" s="1" t="s">
        <v>1740</v>
      </c>
      <c r="D1991" s="1" t="s">
        <v>17</v>
      </c>
      <c r="E1991" s="2" t="s">
        <v>7</v>
      </c>
      <c r="F1991" s="9" t="s">
        <v>8</v>
      </c>
      <c r="H1991" t="str">
        <f>TRIM(SUBSTITUTE(PROPER(C1991)&amp;" "&amp;IF(OR(D1991="County",D1991="Township",D1991="Village",D1991="Charter Township"),D1991,"")&amp;IF(D1991="Township"," "&amp;"("&amp;VLOOKUP(A1991,counties,3,0)&amp;")",""),"  "," "))</f>
        <v>Newaygo Fire District Command Board</v>
      </c>
    </row>
    <row r="1992" spans="1:8" ht="15.75" thickBot="1" x14ac:dyDescent="0.3">
      <c r="A1992">
        <f t="shared" si="32"/>
        <v>62</v>
      </c>
      <c r="B1992" s="10">
        <v>2016</v>
      </c>
      <c r="C1992" s="3" t="s">
        <v>1741</v>
      </c>
      <c r="D1992" s="3" t="s">
        <v>17</v>
      </c>
      <c r="E1992" s="4" t="s">
        <v>7</v>
      </c>
      <c r="F1992" s="11" t="s">
        <v>8</v>
      </c>
      <c r="H1992" t="str">
        <f>TRIM(SUBSTITUTE(PROPER(C1992)&amp;" "&amp;IF(OR(D1992="County",D1992="Township",D1992="Village",D1992="Charter Township"),D1992,"")&amp;IF(D1992="Township"," "&amp;"("&amp;VLOOKUP(A1992,counties,3,0)&amp;")",""),"  "," "))</f>
        <v>Newaygo Medical Care Facility</v>
      </c>
    </row>
    <row r="1993" spans="1:8" ht="15.75" thickBot="1" x14ac:dyDescent="0.3">
      <c r="A1993">
        <f t="shared" si="32"/>
        <v>62</v>
      </c>
      <c r="B1993" s="8">
        <v>2016</v>
      </c>
      <c r="C1993" s="1" t="s">
        <v>1742</v>
      </c>
      <c r="D1993" s="1" t="s">
        <v>9</v>
      </c>
      <c r="E1993" s="2" t="s">
        <v>7</v>
      </c>
      <c r="F1993" s="9" t="s">
        <v>8</v>
      </c>
      <c r="H1993" t="str">
        <f>TRIM(SUBSTITUTE(PROPER(C1993)&amp;" "&amp;IF(OR(D1993="County",D1993="Township",D1993="Village",D1993="Charter Township"),D1993,"")&amp;IF(D1993="Township"," "&amp;"("&amp;VLOOKUP(A1993,counties,3,0)&amp;")",""),"  "," "))</f>
        <v>Sheridan Charter Township (Newaygo County)</v>
      </c>
    </row>
    <row r="1994" spans="1:8" ht="15.75" thickBot="1" x14ac:dyDescent="0.3">
      <c r="A1994">
        <f t="shared" si="32"/>
        <v>62</v>
      </c>
      <c r="B1994" s="10">
        <v>2016</v>
      </c>
      <c r="C1994" s="3" t="s">
        <v>738</v>
      </c>
      <c r="D1994" s="3" t="s">
        <v>9</v>
      </c>
      <c r="E1994" s="4" t="s">
        <v>7</v>
      </c>
      <c r="F1994" s="11" t="s">
        <v>8</v>
      </c>
      <c r="H1994" t="str">
        <f>TRIM(SUBSTITUTE(PROPER(C1994)&amp;" "&amp;IF(OR(D1994="County",D1994="Township",D1994="Village",D1994="Charter Township"),D1994,"")&amp;IF(D1994="Township"," "&amp;"("&amp;VLOOKUP(A1994,counties,3,0)&amp;")",""),"  "," "))</f>
        <v>Sherman Township (Newaygo County)</v>
      </c>
    </row>
    <row r="1995" spans="1:8" ht="15.75" thickBot="1" x14ac:dyDescent="0.3">
      <c r="A1995">
        <f t="shared" si="32"/>
        <v>62</v>
      </c>
      <c r="B1995" s="8">
        <v>2016</v>
      </c>
      <c r="C1995" s="1" t="s">
        <v>1743</v>
      </c>
      <c r="D1995" s="1" t="s">
        <v>9</v>
      </c>
      <c r="E1995" s="2" t="s">
        <v>7</v>
      </c>
      <c r="F1995" s="9" t="s">
        <v>8</v>
      </c>
      <c r="H1995" t="str">
        <f>TRIM(SUBSTITUTE(PROPER(C1995)&amp;" "&amp;IF(OR(D1995="County",D1995="Township",D1995="Village",D1995="Charter Township"),D1995,"")&amp;IF(D1995="Township"," "&amp;"("&amp;VLOOKUP(A1995,counties,3,0)&amp;")",""),"  "," "))</f>
        <v>Troy Township (Newaygo County)</v>
      </c>
    </row>
    <row r="1996" spans="1:8" ht="15.75" thickBot="1" x14ac:dyDescent="0.3">
      <c r="A1996">
        <f t="shared" si="32"/>
        <v>62</v>
      </c>
      <c r="B1996" s="10">
        <v>2016</v>
      </c>
      <c r="C1996" s="3" t="s">
        <v>1744</v>
      </c>
      <c r="D1996" s="3" t="s">
        <v>15</v>
      </c>
      <c r="E1996" s="4" t="s">
        <v>7</v>
      </c>
      <c r="F1996" s="11" t="s">
        <v>8</v>
      </c>
      <c r="H1996" t="str">
        <f>TRIM(SUBSTITUTE(PROPER(C1996)&amp;" "&amp;IF(OR(D1996="County",D1996="Township",D1996="Village",D1996="Charter Township"),D1996,"")&amp;IF(D1996="Township"," "&amp;"("&amp;VLOOKUP(A1996,counties,3,0)&amp;")",""),"  "," "))</f>
        <v>White Cloud</v>
      </c>
    </row>
    <row r="1997" spans="1:8" ht="15.75" thickBot="1" x14ac:dyDescent="0.3">
      <c r="A1997">
        <f t="shared" si="32"/>
        <v>62</v>
      </c>
      <c r="B1997" s="8">
        <v>2016</v>
      </c>
      <c r="C1997" s="1" t="s">
        <v>1745</v>
      </c>
      <c r="D1997" s="1" t="s">
        <v>17</v>
      </c>
      <c r="E1997" s="2" t="s">
        <v>7</v>
      </c>
      <c r="F1997" s="9" t="s">
        <v>8</v>
      </c>
      <c r="H1997" t="str">
        <f>TRIM(SUBSTITUTE(PROPER(C1997)&amp;" "&amp;IF(OR(D1997="County",D1997="Township",D1997="Village",D1997="Charter Township"),D1997,"")&amp;IF(D1997="Township"," "&amp;"("&amp;VLOOKUP(A1997,counties,3,0)&amp;")",""),"  "," "))</f>
        <v>White Cloud Area Fire Department</v>
      </c>
    </row>
    <row r="1998" spans="1:8" ht="15.75" thickBot="1" x14ac:dyDescent="0.3">
      <c r="A1998">
        <f t="shared" si="32"/>
        <v>62</v>
      </c>
      <c r="B1998" s="10">
        <v>2016</v>
      </c>
      <c r="C1998" s="3" t="s">
        <v>1746</v>
      </c>
      <c r="D1998" s="3" t="s">
        <v>17</v>
      </c>
      <c r="E1998" s="4" t="s">
        <v>7</v>
      </c>
      <c r="F1998" s="11" t="s">
        <v>8</v>
      </c>
      <c r="H1998" t="str">
        <f>TRIM(SUBSTITUTE(PROPER(C1998)&amp;" "&amp;IF(OR(D1998="County",D1998="Township",D1998="Village",D1998="Charter Township"),D1998,"")&amp;IF(D1998="Township"," "&amp;"("&amp;VLOOKUP(A1998,counties,3,0)&amp;")",""),"  "," "))</f>
        <v>White Cloud Area Fire Joint Building Authority</v>
      </c>
    </row>
    <row r="1999" spans="1:8" ht="15.75" thickBot="1" x14ac:dyDescent="0.3">
      <c r="A1999">
        <f t="shared" si="32"/>
        <v>62</v>
      </c>
      <c r="B1999" s="8">
        <v>2016</v>
      </c>
      <c r="C1999" s="1" t="s">
        <v>1747</v>
      </c>
      <c r="D1999" s="1" t="s">
        <v>42</v>
      </c>
      <c r="E1999" s="2" t="s">
        <v>7</v>
      </c>
      <c r="F1999" s="9" t="s">
        <v>8</v>
      </c>
      <c r="H1999" t="str">
        <f>TRIM(SUBSTITUTE(PROPER(C1999)&amp;" "&amp;IF(OR(D1999="County",D1999="Township",D1999="Village",D1999="Charter Township"),D1999,"")&amp;IF(D1999="Township"," "&amp;"("&amp;VLOOKUP(A1999,counties,3,0)&amp;")",""),"  "," "))</f>
        <v>White Cloud Community Library</v>
      </c>
    </row>
    <row r="2000" spans="1:8" ht="15.75" thickBot="1" x14ac:dyDescent="0.3">
      <c r="A2000">
        <f t="shared" si="32"/>
        <v>62</v>
      </c>
      <c r="B2000" s="12">
        <v>2016</v>
      </c>
      <c r="C2000" s="13" t="s">
        <v>1748</v>
      </c>
      <c r="D2000" s="13" t="s">
        <v>17</v>
      </c>
      <c r="E2000" s="14" t="s">
        <v>7</v>
      </c>
      <c r="F2000" s="15" t="s">
        <v>8</v>
      </c>
      <c r="H2000" t="str">
        <f>TRIM(SUBSTITUTE(PROPER(C2000)&amp;" "&amp;IF(OR(D2000="County",D2000="Township",D2000="Village",D2000="Charter Township"),D2000,"")&amp;IF(D2000="Township"," "&amp;"("&amp;VLOOKUP(A2000,counties,3,0)&amp;")",""),"  "," "))</f>
        <v>White Cloud/Sherman Utilities Authority</v>
      </c>
    </row>
    <row r="2001" spans="1:8" ht="16.5" thickTop="1" thickBot="1" x14ac:dyDescent="0.3">
      <c r="A2001">
        <f t="shared" si="32"/>
        <v>63</v>
      </c>
      <c r="B2001" s="5" t="s">
        <v>0</v>
      </c>
      <c r="C2001" s="6" t="s">
        <v>1</v>
      </c>
      <c r="D2001" s="6" t="s">
        <v>2</v>
      </c>
      <c r="E2001" s="6" t="s">
        <v>3</v>
      </c>
      <c r="F2001" s="7" t="s">
        <v>4</v>
      </c>
      <c r="H2001" t="str">
        <f>TRIM(SUBSTITUTE(PROPER(C2001)&amp;" "&amp;IF(OR(D2001="County",D2001="Township",D2001="Village",D2001="Charter Township"),D2001,"")&amp;IF(D2001="Township"," "&amp;"("&amp;VLOOKUP(A2001,counties,3,0)&amp;")",""),"  "," "))</f>
        <v>Municipality</v>
      </c>
    </row>
    <row r="2002" spans="1:8" ht="15.75" thickBot="1" x14ac:dyDescent="0.3">
      <c r="A2002">
        <f t="shared" si="32"/>
        <v>63</v>
      </c>
      <c r="B2002" s="8">
        <v>2016</v>
      </c>
      <c r="C2002" s="1" t="s">
        <v>1749</v>
      </c>
      <c r="D2002" s="1" t="s">
        <v>17</v>
      </c>
      <c r="E2002" s="2" t="s">
        <v>7</v>
      </c>
      <c r="F2002" s="9" t="s">
        <v>8</v>
      </c>
      <c r="H2002" t="str">
        <f>TRIM(SUBSTITUTE(PROPER(C2002)&amp;" "&amp;IF(OR(D2002="County",D2002="Township",D2002="Village",D2002="Charter Township"),D2002,"")&amp;IF(D2002="Township"," "&amp;"("&amp;VLOOKUP(A2002,counties,3,0)&amp;")",""),"  "," "))</f>
        <v>43Rd District-Hazel Park</v>
      </c>
    </row>
    <row r="2003" spans="1:8" ht="15.75" thickBot="1" x14ac:dyDescent="0.3">
      <c r="A2003">
        <f t="shared" si="32"/>
        <v>63</v>
      </c>
      <c r="B2003" s="10">
        <v>2016</v>
      </c>
      <c r="C2003" s="3" t="s">
        <v>1750</v>
      </c>
      <c r="D2003" s="3" t="s">
        <v>17</v>
      </c>
      <c r="E2003" s="4" t="s">
        <v>7</v>
      </c>
      <c r="F2003" s="11" t="s">
        <v>8</v>
      </c>
      <c r="H2003" t="str">
        <f>TRIM(SUBSTITUTE(PROPER(C2003)&amp;" "&amp;IF(OR(D2003="County",D2003="Township",D2003="Village",D2003="Charter Township"),D2003,"")&amp;IF(D2003="Township"," "&amp;"("&amp;VLOOKUP(A2003,counties,3,0)&amp;")",""),"  "," "))</f>
        <v>47Th District Court-Farmington</v>
      </c>
    </row>
    <row r="2004" spans="1:8" ht="15.75" thickBot="1" x14ac:dyDescent="0.3">
      <c r="A2004">
        <f t="shared" si="32"/>
        <v>63</v>
      </c>
      <c r="B2004" s="8">
        <v>2016</v>
      </c>
      <c r="C2004" s="1" t="s">
        <v>1751</v>
      </c>
      <c r="D2004" s="1" t="s">
        <v>17</v>
      </c>
      <c r="E2004" s="2" t="s">
        <v>7</v>
      </c>
      <c r="F2004" s="9" t="s">
        <v>8</v>
      </c>
      <c r="H2004" t="str">
        <f>TRIM(SUBSTITUTE(PROPER(C2004)&amp;" "&amp;IF(OR(D2004="County",D2004="Township",D2004="Village",D2004="Charter Township"),D2004,"")&amp;IF(D2004="Township"," "&amp;"("&amp;VLOOKUP(A2004,counties,3,0)&amp;")",""),"  "," "))</f>
        <v>51St District Court-Waterford Charter Township</v>
      </c>
    </row>
    <row r="2005" spans="1:8" ht="15.75" thickBot="1" x14ac:dyDescent="0.3">
      <c r="A2005">
        <f t="shared" si="32"/>
        <v>63</v>
      </c>
      <c r="B2005" s="10">
        <v>2016</v>
      </c>
      <c r="C2005" s="3" t="s">
        <v>1752</v>
      </c>
      <c r="D2005" s="3" t="s">
        <v>9</v>
      </c>
      <c r="E2005" s="4" t="s">
        <v>7</v>
      </c>
      <c r="F2005" s="11" t="s">
        <v>8</v>
      </c>
      <c r="H2005" t="str">
        <f>TRIM(SUBSTITUTE(PROPER(C2005)&amp;" "&amp;IF(OR(D2005="County",D2005="Township",D2005="Village",D2005="Charter Township"),D2005,"")&amp;IF(D2005="Township"," "&amp;"("&amp;VLOOKUP(A2005,counties,3,0)&amp;")",""),"  "," "))</f>
        <v>Addison Township (Oakland County)</v>
      </c>
    </row>
    <row r="2006" spans="1:8" ht="15.75" thickBot="1" x14ac:dyDescent="0.3">
      <c r="A2006">
        <f t="shared" si="32"/>
        <v>63</v>
      </c>
      <c r="B2006" s="8">
        <v>2016</v>
      </c>
      <c r="C2006" s="1" t="s">
        <v>1753</v>
      </c>
      <c r="D2006" s="1" t="s">
        <v>42</v>
      </c>
      <c r="E2006" s="2" t="s">
        <v>7</v>
      </c>
      <c r="F2006" s="9" t="s">
        <v>8</v>
      </c>
      <c r="H2006" t="str">
        <f>TRIM(SUBSTITUTE(PROPER(C2006)&amp;" "&amp;IF(OR(D2006="County",D2006="Township",D2006="Village",D2006="Charter Township"),D2006,"")&amp;IF(D2006="Township"," "&amp;"("&amp;VLOOKUP(A2006,counties,3,0)&amp;")",""),"  "," "))</f>
        <v>Addison Township Public Library</v>
      </c>
    </row>
    <row r="2007" spans="1:8" ht="15.75" thickBot="1" x14ac:dyDescent="0.3">
      <c r="A2007">
        <f t="shared" si="32"/>
        <v>63</v>
      </c>
      <c r="B2007" s="10">
        <v>2016</v>
      </c>
      <c r="C2007" s="3" t="s">
        <v>1754</v>
      </c>
      <c r="D2007" s="3" t="s">
        <v>15</v>
      </c>
      <c r="E2007" s="4" t="s">
        <v>7</v>
      </c>
      <c r="F2007" s="11" t="s">
        <v>8</v>
      </c>
      <c r="H2007" t="str">
        <f>TRIM(SUBSTITUTE(PROPER(C2007)&amp;" "&amp;IF(OR(D2007="County",D2007="Township",D2007="Village",D2007="Charter Township"),D2007,"")&amp;IF(D2007="Township"," "&amp;"("&amp;VLOOKUP(A2007,counties,3,0)&amp;")",""),"  "," "))</f>
        <v>Auburn Hills</v>
      </c>
    </row>
    <row r="2008" spans="1:8" ht="15.75" thickBot="1" x14ac:dyDescent="0.3">
      <c r="A2008">
        <f t="shared" si="32"/>
        <v>63</v>
      </c>
      <c r="B2008" s="8">
        <v>2016</v>
      </c>
      <c r="C2008" s="1" t="s">
        <v>1755</v>
      </c>
      <c r="D2008" s="1" t="s">
        <v>42</v>
      </c>
      <c r="E2008" s="2" t="s">
        <v>7</v>
      </c>
      <c r="F2008" s="9" t="s">
        <v>8</v>
      </c>
      <c r="H2008" t="str">
        <f>TRIM(SUBSTITUTE(PROPER(C2008)&amp;" "&amp;IF(OR(D2008="County",D2008="Township",D2008="Village",D2008="Charter Township"),D2008,"")&amp;IF(D2008="Township"," "&amp;"("&amp;VLOOKUP(A2008,counties,3,0)&amp;")",""),"  "," "))</f>
        <v>Auburn Hills Library</v>
      </c>
    </row>
    <row r="2009" spans="1:8" ht="15.75" thickBot="1" x14ac:dyDescent="0.3">
      <c r="A2009">
        <f t="shared" si="32"/>
        <v>63</v>
      </c>
      <c r="B2009" s="10">
        <v>2016</v>
      </c>
      <c r="C2009" s="3" t="s">
        <v>1756</v>
      </c>
      <c r="D2009" s="3" t="s">
        <v>42</v>
      </c>
      <c r="E2009" s="4" t="s">
        <v>7</v>
      </c>
      <c r="F2009" s="11" t="s">
        <v>8</v>
      </c>
      <c r="H2009" t="str">
        <f>TRIM(SUBSTITUTE(PROPER(C2009)&amp;" "&amp;IF(OR(D2009="County",D2009="Township",D2009="Village",D2009="Charter Township"),D2009,"")&amp;IF(D2009="Township"," "&amp;"("&amp;VLOOKUP(A2009,counties,3,0)&amp;")",""),"  "," "))</f>
        <v>Baldwin Public Library</v>
      </c>
    </row>
    <row r="2010" spans="1:8" ht="15.75" thickBot="1" x14ac:dyDescent="0.3">
      <c r="A2010">
        <f t="shared" si="32"/>
        <v>63</v>
      </c>
      <c r="B2010" s="8">
        <v>2016</v>
      </c>
      <c r="C2010" s="1" t="s">
        <v>1757</v>
      </c>
      <c r="D2010" s="1" t="s">
        <v>15</v>
      </c>
      <c r="E2010" s="2" t="s">
        <v>7</v>
      </c>
      <c r="F2010" s="9" t="s">
        <v>8</v>
      </c>
      <c r="H2010" t="str">
        <f>TRIM(SUBSTITUTE(PROPER(C2010)&amp;" "&amp;IF(OR(D2010="County",D2010="Township",D2010="Village",D2010="Charter Township"),D2010,"")&amp;IF(D2010="Township"," "&amp;"("&amp;VLOOKUP(A2010,counties,3,0)&amp;")",""),"  "," "))</f>
        <v>Berkley</v>
      </c>
    </row>
    <row r="2011" spans="1:8" ht="15.75" thickBot="1" x14ac:dyDescent="0.3">
      <c r="A2011">
        <f t="shared" si="32"/>
        <v>63</v>
      </c>
      <c r="B2011" s="10">
        <v>2016</v>
      </c>
      <c r="C2011" s="3" t="s">
        <v>1758</v>
      </c>
      <c r="D2011" s="3" t="s">
        <v>21</v>
      </c>
      <c r="E2011" s="4" t="s">
        <v>7</v>
      </c>
      <c r="F2011" s="11" t="s">
        <v>8</v>
      </c>
      <c r="H2011" t="str">
        <f>TRIM(SUBSTITUTE(PROPER(C2011)&amp;" "&amp;IF(OR(D2011="County",D2011="Township",D2011="Village",D2011="Charter Township"),D2011,"")&amp;IF(D2011="Township"," "&amp;"("&amp;VLOOKUP(A2011,counties,3,0)&amp;")",""),"  "," "))</f>
        <v>Beverly Hills Village</v>
      </c>
    </row>
    <row r="2012" spans="1:8" ht="15.75" thickBot="1" x14ac:dyDescent="0.3">
      <c r="A2012">
        <f t="shared" si="32"/>
        <v>63</v>
      </c>
      <c r="B2012" s="8">
        <v>2016</v>
      </c>
      <c r="C2012" s="1" t="s">
        <v>1759</v>
      </c>
      <c r="D2012" s="1" t="s">
        <v>21</v>
      </c>
      <c r="E2012" s="2" t="s">
        <v>7</v>
      </c>
      <c r="F2012" s="9" t="s">
        <v>8</v>
      </c>
      <c r="H2012" t="str">
        <f>TRIM(SUBSTITUTE(PROPER(C2012)&amp;" "&amp;IF(OR(D2012="County",D2012="Township",D2012="Village",D2012="Charter Township"),D2012,"")&amp;IF(D2012="Township"," "&amp;"("&amp;VLOOKUP(A2012,counties,3,0)&amp;")",""),"  "," "))</f>
        <v>Bingham Farms Village</v>
      </c>
    </row>
    <row r="2013" spans="1:8" ht="15.75" thickBot="1" x14ac:dyDescent="0.3">
      <c r="A2013">
        <f t="shared" si="32"/>
        <v>63</v>
      </c>
      <c r="B2013" s="10">
        <v>2016</v>
      </c>
      <c r="C2013" s="3" t="s">
        <v>1760</v>
      </c>
      <c r="D2013" s="3" t="s">
        <v>15</v>
      </c>
      <c r="E2013" s="4" t="s">
        <v>7</v>
      </c>
      <c r="F2013" s="11" t="s">
        <v>8</v>
      </c>
      <c r="H2013" t="str">
        <f>TRIM(SUBSTITUTE(PROPER(C2013)&amp;" "&amp;IF(OR(D2013="County",D2013="Township",D2013="Village",D2013="Charter Township"),D2013,"")&amp;IF(D2013="Township"," "&amp;"("&amp;VLOOKUP(A2013,counties,3,0)&amp;")",""),"  "," "))</f>
        <v>Birmingham</v>
      </c>
    </row>
    <row r="2014" spans="1:8" ht="15.75" thickBot="1" x14ac:dyDescent="0.3">
      <c r="A2014">
        <f t="shared" si="32"/>
        <v>63</v>
      </c>
      <c r="B2014" s="8">
        <v>2016</v>
      </c>
      <c r="C2014" s="1" t="s">
        <v>1761</v>
      </c>
      <c r="D2014" s="1" t="s">
        <v>17</v>
      </c>
      <c r="E2014" s="2" t="s">
        <v>7</v>
      </c>
      <c r="F2014" s="9" t="s">
        <v>8</v>
      </c>
      <c r="H2014" t="str">
        <f>TRIM(SUBSTITUTE(PROPER(C2014)&amp;" "&amp;IF(OR(D2014="County",D2014="Township",D2014="Village",D2014="Charter Township"),D2014,"")&amp;IF(D2014="Township"," "&amp;"("&amp;VLOOKUP(A2014,counties,3,0)&amp;")",""),"  "," "))</f>
        <v>Birmingham Area Cable Board</v>
      </c>
    </row>
    <row r="2015" spans="1:8" ht="15.75" thickBot="1" x14ac:dyDescent="0.3">
      <c r="A2015">
        <f t="shared" si="32"/>
        <v>63</v>
      </c>
      <c r="B2015" s="10">
        <v>2016</v>
      </c>
      <c r="C2015" s="3" t="s">
        <v>1762</v>
      </c>
      <c r="D2015" s="3" t="s">
        <v>9</v>
      </c>
      <c r="E2015" s="4" t="s">
        <v>7</v>
      </c>
      <c r="F2015" s="11" t="s">
        <v>8</v>
      </c>
      <c r="H2015" t="str">
        <f>TRIM(SUBSTITUTE(PROPER(C2015)&amp;" "&amp;IF(OR(D2015="County",D2015="Township",D2015="Village",D2015="Charter Township"),D2015,"")&amp;IF(D2015="Township"," "&amp;"("&amp;VLOOKUP(A2015,counties,3,0)&amp;")",""),"  "," "))</f>
        <v>Bloomfield Charter Township (Oakland County)</v>
      </c>
    </row>
    <row r="2016" spans="1:8" ht="15.75" thickBot="1" x14ac:dyDescent="0.3">
      <c r="A2016">
        <f t="shared" si="32"/>
        <v>63</v>
      </c>
      <c r="B2016" s="8">
        <v>2016</v>
      </c>
      <c r="C2016" s="1" t="s">
        <v>1763</v>
      </c>
      <c r="D2016" s="1" t="s">
        <v>15</v>
      </c>
      <c r="E2016" s="2" t="s">
        <v>7</v>
      </c>
      <c r="F2016" s="9" t="s">
        <v>8</v>
      </c>
      <c r="H2016" t="str">
        <f>TRIM(SUBSTITUTE(PROPER(C2016)&amp;" "&amp;IF(OR(D2016="County",D2016="Township",D2016="Village",D2016="Charter Township"),D2016,"")&amp;IF(D2016="Township"," "&amp;"("&amp;VLOOKUP(A2016,counties,3,0)&amp;")",""),"  "," "))</f>
        <v>Bloomfield Hills</v>
      </c>
    </row>
    <row r="2017" spans="1:8" ht="15.75" thickBot="1" x14ac:dyDescent="0.3">
      <c r="A2017">
        <f t="shared" si="32"/>
        <v>63</v>
      </c>
      <c r="B2017" s="10">
        <v>2016</v>
      </c>
      <c r="C2017" s="3" t="s">
        <v>1764</v>
      </c>
      <c r="D2017" s="3" t="s">
        <v>42</v>
      </c>
      <c r="E2017" s="4" t="s">
        <v>7</v>
      </c>
      <c r="F2017" s="11" t="s">
        <v>19</v>
      </c>
      <c r="H2017" t="str">
        <f>TRIM(SUBSTITUTE(PROPER(C2017)&amp;" "&amp;IF(OR(D2017="County",D2017="Township",D2017="Village",D2017="Charter Township"),D2017,"")&amp;IF(D2017="Township"," "&amp;"("&amp;VLOOKUP(A2017,counties,3,0)&amp;")",""),"  "," "))</f>
        <v>Bloomfield Twp Public Library</v>
      </c>
    </row>
    <row r="2018" spans="1:8" ht="15.75" thickBot="1" x14ac:dyDescent="0.3">
      <c r="A2018">
        <f t="shared" si="32"/>
        <v>63</v>
      </c>
      <c r="B2018" s="8">
        <v>2016</v>
      </c>
      <c r="C2018" s="1" t="s">
        <v>1765</v>
      </c>
      <c r="D2018" s="1" t="s">
        <v>9</v>
      </c>
      <c r="E2018" s="2" t="s">
        <v>7</v>
      </c>
      <c r="F2018" s="9" t="s">
        <v>8</v>
      </c>
      <c r="H2018" t="str">
        <f>TRIM(SUBSTITUTE(PROPER(C2018)&amp;" "&amp;IF(OR(D2018="County",D2018="Township",D2018="Village",D2018="Charter Township"),D2018,"")&amp;IF(D2018="Township"," "&amp;"("&amp;VLOOKUP(A2018,counties,3,0)&amp;")",""),"  "," "))</f>
        <v>Brandon Charter Township (Oakland County)</v>
      </c>
    </row>
    <row r="2019" spans="1:8" ht="15.75" thickBot="1" x14ac:dyDescent="0.3">
      <c r="A2019">
        <f t="shared" si="32"/>
        <v>63</v>
      </c>
      <c r="B2019" s="10">
        <v>2016</v>
      </c>
      <c r="C2019" s="3" t="s">
        <v>1766</v>
      </c>
      <c r="D2019" s="3" t="s">
        <v>42</v>
      </c>
      <c r="E2019" s="4" t="s">
        <v>7</v>
      </c>
      <c r="F2019" s="11" t="s">
        <v>8</v>
      </c>
      <c r="H2019" t="str">
        <f>TRIM(SUBSTITUTE(PROPER(C2019)&amp;" "&amp;IF(OR(D2019="County",D2019="Township",D2019="Village",D2019="Charter Township"),D2019,"")&amp;IF(D2019="Township"," "&amp;"("&amp;VLOOKUP(A2019,counties,3,0)&amp;")",""),"  "," "))</f>
        <v>Brandon Twp Public Library</v>
      </c>
    </row>
    <row r="2020" spans="1:8" ht="15.75" thickBot="1" x14ac:dyDescent="0.3">
      <c r="A2020">
        <f t="shared" si="32"/>
        <v>63</v>
      </c>
      <c r="B2020" s="8">
        <v>2016</v>
      </c>
      <c r="C2020" s="1" t="s">
        <v>1767</v>
      </c>
      <c r="D2020" s="1" t="s">
        <v>42</v>
      </c>
      <c r="E2020" s="2" t="s">
        <v>7</v>
      </c>
      <c r="F2020" s="9" t="s">
        <v>8</v>
      </c>
      <c r="H2020" t="str">
        <f>TRIM(SUBSTITUTE(PROPER(C2020)&amp;" "&amp;IF(OR(D2020="County",D2020="Township",D2020="Village",D2020="Charter Township"),D2020,"")&amp;IF(D2020="Township"," "&amp;"("&amp;VLOOKUP(A2020,counties,3,0)&amp;")",""),"  "," "))</f>
        <v>Charter Township Of Milford Library</v>
      </c>
    </row>
    <row r="2021" spans="1:8" ht="15.75" thickBot="1" x14ac:dyDescent="0.3">
      <c r="A2021">
        <f t="shared" si="32"/>
        <v>63</v>
      </c>
      <c r="B2021" s="10">
        <v>2016</v>
      </c>
      <c r="C2021" s="3" t="s">
        <v>1768</v>
      </c>
      <c r="D2021" s="3" t="s">
        <v>15</v>
      </c>
      <c r="E2021" s="4" t="s">
        <v>7</v>
      </c>
      <c r="F2021" s="11" t="s">
        <v>8</v>
      </c>
      <c r="H2021" t="str">
        <f>TRIM(SUBSTITUTE(PROPER(C2021)&amp;" "&amp;IF(OR(D2021="County",D2021="Township",D2021="Village",D2021="Charter Township"),D2021,"")&amp;IF(D2021="Township"," "&amp;"("&amp;VLOOKUP(A2021,counties,3,0)&amp;")",""),"  "," "))</f>
        <v>City Of Lathrup Village</v>
      </c>
    </row>
    <row r="2022" spans="1:8" ht="15.75" thickBot="1" x14ac:dyDescent="0.3">
      <c r="A2022">
        <f t="shared" si="32"/>
        <v>63</v>
      </c>
      <c r="B2022" s="8">
        <v>2016</v>
      </c>
      <c r="C2022" s="1" t="s">
        <v>1769</v>
      </c>
      <c r="D2022" s="1" t="s">
        <v>17</v>
      </c>
      <c r="E2022" s="2" t="s">
        <v>7</v>
      </c>
      <c r="F2022" s="9" t="s">
        <v>8</v>
      </c>
      <c r="H2022" t="str">
        <f>TRIM(SUBSTITUTE(PROPER(C2022)&amp;" "&amp;IF(OR(D2022="County",D2022="Township",D2022="Village",D2022="Charter Township"),D2022,"")&amp;IF(D2022="Township"," "&amp;"("&amp;VLOOKUP(A2022,counties,3,0)&amp;")",""),"  "," "))</f>
        <v>City Of Southfield Cornerstone Dda</v>
      </c>
    </row>
    <row r="2023" spans="1:8" ht="15.75" thickBot="1" x14ac:dyDescent="0.3">
      <c r="A2023">
        <f t="shared" si="32"/>
        <v>63</v>
      </c>
      <c r="B2023" s="10">
        <v>2016</v>
      </c>
      <c r="C2023" s="3" t="s">
        <v>1770</v>
      </c>
      <c r="D2023" s="3" t="s">
        <v>15</v>
      </c>
      <c r="E2023" s="4" t="s">
        <v>7</v>
      </c>
      <c r="F2023" s="11" t="s">
        <v>8</v>
      </c>
      <c r="H2023" t="str">
        <f>TRIM(SUBSTITUTE(PROPER(C2023)&amp;" "&amp;IF(OR(D2023="County",D2023="Township",D2023="Village",D2023="Charter Township"),D2023,"")&amp;IF(D2023="Township"," "&amp;"("&amp;VLOOKUP(A2023,counties,3,0)&amp;")",""),"  "," "))</f>
        <v>City Of The Village Of Clarkston</v>
      </c>
    </row>
    <row r="2024" spans="1:8" ht="15.75" thickBot="1" x14ac:dyDescent="0.3">
      <c r="A2024">
        <f t="shared" si="32"/>
        <v>63</v>
      </c>
      <c r="B2024" s="8">
        <v>2016</v>
      </c>
      <c r="C2024" s="1" t="s">
        <v>1771</v>
      </c>
      <c r="D2024" s="1" t="s">
        <v>42</v>
      </c>
      <c r="E2024" s="2" t="s">
        <v>7</v>
      </c>
      <c r="F2024" s="9" t="s">
        <v>8</v>
      </c>
      <c r="H2024" t="str">
        <f>TRIM(SUBSTITUTE(PROPER(C2024)&amp;" "&amp;IF(OR(D2024="County",D2024="Township",D2024="Village",D2024="Charter Township"),D2024,"")&amp;IF(D2024="Township"," "&amp;"("&amp;VLOOKUP(A2024,counties,3,0)&amp;")",""),"  "," "))</f>
        <v>Clarkston Independence District Library</v>
      </c>
    </row>
    <row r="2025" spans="1:8" ht="15.75" thickBot="1" x14ac:dyDescent="0.3">
      <c r="A2025">
        <f t="shared" si="32"/>
        <v>63</v>
      </c>
      <c r="B2025" s="10">
        <v>2016</v>
      </c>
      <c r="C2025" s="3" t="s">
        <v>1772</v>
      </c>
      <c r="D2025" s="3" t="s">
        <v>15</v>
      </c>
      <c r="E2025" s="4" t="s">
        <v>7</v>
      </c>
      <c r="F2025" s="11" t="s">
        <v>8</v>
      </c>
      <c r="H2025" t="str">
        <f>TRIM(SUBSTITUTE(PROPER(C2025)&amp;" "&amp;IF(OR(D2025="County",D2025="Township",D2025="Village",D2025="Charter Township"),D2025,"")&amp;IF(D2025="Township"," "&amp;"("&amp;VLOOKUP(A2025,counties,3,0)&amp;")",""),"  "," "))</f>
        <v>Clawson</v>
      </c>
    </row>
    <row r="2026" spans="1:8" ht="15.75" thickBot="1" x14ac:dyDescent="0.3">
      <c r="A2026">
        <f t="shared" si="32"/>
        <v>63</v>
      </c>
      <c r="B2026" s="8">
        <v>2016</v>
      </c>
      <c r="C2026" s="1" t="s">
        <v>1773</v>
      </c>
      <c r="D2026" s="1" t="s">
        <v>9</v>
      </c>
      <c r="E2026" s="2" t="s">
        <v>7</v>
      </c>
      <c r="F2026" s="9" t="s">
        <v>8</v>
      </c>
      <c r="H2026" t="str">
        <f>TRIM(SUBSTITUTE(PROPER(C2026)&amp;" "&amp;IF(OR(D2026="County",D2026="Township",D2026="Village",D2026="Charter Township"),D2026,"")&amp;IF(D2026="Township"," "&amp;"("&amp;VLOOKUP(A2026,counties,3,0)&amp;")",""),"  "," "))</f>
        <v>Commerce Charter Township (Oakland County)</v>
      </c>
    </row>
    <row r="2027" spans="1:8" ht="15.75" thickBot="1" x14ac:dyDescent="0.3">
      <c r="A2027">
        <f t="shared" si="32"/>
        <v>63</v>
      </c>
      <c r="B2027" s="10">
        <v>2016</v>
      </c>
      <c r="C2027" s="3" t="s">
        <v>1774</v>
      </c>
      <c r="D2027" s="3" t="s">
        <v>15</v>
      </c>
      <c r="E2027" s="4" t="s">
        <v>7</v>
      </c>
      <c r="F2027" s="11" t="s">
        <v>8</v>
      </c>
      <c r="H2027" t="str">
        <f>TRIM(SUBSTITUTE(PROPER(C2027)&amp;" "&amp;IF(OR(D2027="County",D2027="Township",D2027="Village",D2027="Charter Township"),D2027,"")&amp;IF(D2027="Township"," "&amp;"("&amp;VLOOKUP(A2027,counties,3,0)&amp;")",""),"  "," "))</f>
        <v>Farmington</v>
      </c>
    </row>
    <row r="2028" spans="1:8" ht="15.75" thickBot="1" x14ac:dyDescent="0.3">
      <c r="A2028">
        <f t="shared" si="32"/>
        <v>63</v>
      </c>
      <c r="B2028" s="8">
        <v>2016</v>
      </c>
      <c r="C2028" s="1" t="s">
        <v>1775</v>
      </c>
      <c r="D2028" s="1" t="s">
        <v>42</v>
      </c>
      <c r="E2028" s="2" t="s">
        <v>7</v>
      </c>
      <c r="F2028" s="9" t="s">
        <v>8</v>
      </c>
      <c r="H2028" t="str">
        <f>TRIM(SUBSTITUTE(PROPER(C2028)&amp;" "&amp;IF(OR(D2028="County",D2028="Township",D2028="Village",D2028="Charter Township"),D2028,"")&amp;IF(D2028="Township"," "&amp;"("&amp;VLOOKUP(A2028,counties,3,0)&amp;")",""),"  "," "))</f>
        <v>Farmington Community Library</v>
      </c>
    </row>
    <row r="2029" spans="1:8" ht="15.75" thickBot="1" x14ac:dyDescent="0.3">
      <c r="A2029">
        <f t="shared" si="32"/>
        <v>63</v>
      </c>
      <c r="B2029" s="10">
        <v>2016</v>
      </c>
      <c r="C2029" s="3" t="s">
        <v>1776</v>
      </c>
      <c r="D2029" s="3" t="s">
        <v>15</v>
      </c>
      <c r="E2029" s="4" t="s">
        <v>7</v>
      </c>
      <c r="F2029" s="11" t="s">
        <v>8</v>
      </c>
      <c r="H2029" t="str">
        <f>TRIM(SUBSTITUTE(PROPER(C2029)&amp;" "&amp;IF(OR(D2029="County",D2029="Township",D2029="Village",D2029="Charter Township"),D2029,"")&amp;IF(D2029="Township"," "&amp;"("&amp;VLOOKUP(A2029,counties,3,0)&amp;")",""),"  "," "))</f>
        <v>Farmington Hills</v>
      </c>
    </row>
    <row r="2030" spans="1:8" ht="15.75" thickBot="1" x14ac:dyDescent="0.3">
      <c r="A2030">
        <f t="shared" si="32"/>
        <v>63</v>
      </c>
      <c r="B2030" s="8">
        <v>2016</v>
      </c>
      <c r="C2030" s="1" t="s">
        <v>1777</v>
      </c>
      <c r="D2030" s="1" t="s">
        <v>15</v>
      </c>
      <c r="E2030" s="2" t="s">
        <v>7</v>
      </c>
      <c r="F2030" s="9" t="s">
        <v>8</v>
      </c>
      <c r="H2030" t="str">
        <f>TRIM(SUBSTITUTE(PROPER(C2030)&amp;" "&amp;IF(OR(D2030="County",D2030="Township",D2030="Village",D2030="Charter Township"),D2030,"")&amp;IF(D2030="Township"," "&amp;"("&amp;VLOOKUP(A2030,counties,3,0)&amp;")",""),"  "," "))</f>
        <v>Ferndale</v>
      </c>
    </row>
    <row r="2031" spans="1:8" ht="15.75" thickBot="1" x14ac:dyDescent="0.3">
      <c r="A2031">
        <f t="shared" si="32"/>
        <v>63</v>
      </c>
      <c r="B2031" s="10">
        <v>2016</v>
      </c>
      <c r="C2031" s="3" t="s">
        <v>1778</v>
      </c>
      <c r="D2031" s="3" t="s">
        <v>42</v>
      </c>
      <c r="E2031" s="4" t="s">
        <v>7</v>
      </c>
      <c r="F2031" s="11" t="s">
        <v>8</v>
      </c>
      <c r="H2031" t="str">
        <f>TRIM(SUBSTITUTE(PROPER(C2031)&amp;" "&amp;IF(OR(D2031="County",D2031="Township",D2031="Village",D2031="Charter Township"),D2031,"")&amp;IF(D2031="Township"," "&amp;"("&amp;VLOOKUP(A2031,counties,3,0)&amp;")",""),"  "," "))</f>
        <v>Ferndale Area District Library</v>
      </c>
    </row>
    <row r="2032" spans="1:8" ht="15.75" thickBot="1" x14ac:dyDescent="0.3">
      <c r="A2032">
        <f t="shared" si="32"/>
        <v>63</v>
      </c>
      <c r="B2032" s="8">
        <v>2016</v>
      </c>
      <c r="C2032" s="1" t="s">
        <v>489</v>
      </c>
      <c r="D2032" s="1" t="s">
        <v>21</v>
      </c>
      <c r="E2032" s="2" t="s">
        <v>7</v>
      </c>
      <c r="F2032" s="9" t="s">
        <v>8</v>
      </c>
      <c r="H2032" t="str">
        <f>TRIM(SUBSTITUTE(PROPER(C2032)&amp;" "&amp;IF(OR(D2032="County",D2032="Township",D2032="Village",D2032="Charter Township"),D2032,"")&amp;IF(D2032="Township"," "&amp;"("&amp;VLOOKUP(A2032,counties,3,0)&amp;")",""),"  "," "))</f>
        <v>Franklin Village</v>
      </c>
    </row>
    <row r="2033" spans="1:8" ht="15.75" thickBot="1" x14ac:dyDescent="0.3">
      <c r="A2033">
        <f t="shared" si="32"/>
        <v>63</v>
      </c>
      <c r="B2033" s="10">
        <v>2016</v>
      </c>
      <c r="C2033" s="3" t="s">
        <v>1779</v>
      </c>
      <c r="D2033" s="3" t="s">
        <v>42</v>
      </c>
      <c r="E2033" s="4" t="s">
        <v>7</v>
      </c>
      <c r="F2033" s="11" t="s">
        <v>8</v>
      </c>
      <c r="H2033" t="str">
        <f>TRIM(SUBSTITUTE(PROPER(C2033)&amp;" "&amp;IF(OR(D2033="County",D2033="Township",D2033="Village",D2033="Charter Township"),D2033,"")&amp;IF(D2033="Township"," "&amp;"("&amp;VLOOKUP(A2033,counties,3,0)&amp;")",""),"  "," "))</f>
        <v>Franklin Public Library</v>
      </c>
    </row>
    <row r="2034" spans="1:8" ht="15.75" thickBot="1" x14ac:dyDescent="0.3">
      <c r="A2034">
        <f t="shared" si="32"/>
        <v>63</v>
      </c>
      <c r="B2034" s="8">
        <v>2016</v>
      </c>
      <c r="C2034" s="1" t="s">
        <v>1780</v>
      </c>
      <c r="D2034" s="1" t="s">
        <v>9</v>
      </c>
      <c r="E2034" s="2" t="s">
        <v>7</v>
      </c>
      <c r="F2034" s="9" t="s">
        <v>8</v>
      </c>
      <c r="H2034" t="str">
        <f>TRIM(SUBSTITUTE(PROPER(C2034)&amp;" "&amp;IF(OR(D2034="County",D2034="Township",D2034="Village",D2034="Charter Township"),D2034,"")&amp;IF(D2034="Township"," "&amp;"("&amp;VLOOKUP(A2034,counties,3,0)&amp;")",""),"  "," "))</f>
        <v>Groveland Township (Oakland County)</v>
      </c>
    </row>
    <row r="2035" spans="1:8" ht="15.75" thickBot="1" x14ac:dyDescent="0.3">
      <c r="A2035">
        <f t="shared" si="32"/>
        <v>63</v>
      </c>
      <c r="B2035" s="10">
        <v>2016</v>
      </c>
      <c r="C2035" s="3" t="s">
        <v>1781</v>
      </c>
      <c r="D2035" s="3" t="s">
        <v>15</v>
      </c>
      <c r="E2035" s="4" t="s">
        <v>7</v>
      </c>
      <c r="F2035" s="11" t="s">
        <v>8</v>
      </c>
      <c r="H2035" t="str">
        <f>TRIM(SUBSTITUTE(PROPER(C2035)&amp;" "&amp;IF(OR(D2035="County",D2035="Township",D2035="Village",D2035="Charter Township"),D2035,"")&amp;IF(D2035="Township"," "&amp;"("&amp;VLOOKUP(A2035,counties,3,0)&amp;")",""),"  "," "))</f>
        <v>Hazel Park</v>
      </c>
    </row>
    <row r="2036" spans="1:8" ht="15.75" thickBot="1" x14ac:dyDescent="0.3">
      <c r="A2036">
        <f t="shared" si="32"/>
        <v>63</v>
      </c>
      <c r="B2036" s="8">
        <v>2016</v>
      </c>
      <c r="C2036" s="1" t="s">
        <v>1782</v>
      </c>
      <c r="D2036" s="1" t="s">
        <v>42</v>
      </c>
      <c r="E2036" s="2" t="s">
        <v>7</v>
      </c>
      <c r="F2036" s="9" t="s">
        <v>8</v>
      </c>
      <c r="H2036" t="str">
        <f>TRIM(SUBSTITUTE(PROPER(C2036)&amp;" "&amp;IF(OR(D2036="County",D2036="Township",D2036="Village",D2036="Charter Township"),D2036,"")&amp;IF(D2036="Township"," "&amp;"("&amp;VLOOKUP(A2036,counties,3,0)&amp;")",""),"  "," "))</f>
        <v>Hazel Park Memorial Library</v>
      </c>
    </row>
    <row r="2037" spans="1:8" ht="15.75" thickBot="1" x14ac:dyDescent="0.3">
      <c r="A2037">
        <f t="shared" si="32"/>
        <v>63</v>
      </c>
      <c r="B2037" s="10">
        <v>2016</v>
      </c>
      <c r="C2037" s="3" t="s">
        <v>1783</v>
      </c>
      <c r="D2037" s="3" t="s">
        <v>9</v>
      </c>
      <c r="E2037" s="4" t="s">
        <v>7</v>
      </c>
      <c r="F2037" s="11" t="s">
        <v>8</v>
      </c>
      <c r="H2037" t="str">
        <f>TRIM(SUBSTITUTE(PROPER(C2037)&amp;" "&amp;IF(OR(D2037="County",D2037="Township",D2037="Village",D2037="Charter Township"),D2037,"")&amp;IF(D2037="Township"," "&amp;"("&amp;VLOOKUP(A2037,counties,3,0)&amp;")",""),"  "," "))</f>
        <v>Highland Charter Township (Oakland County)</v>
      </c>
    </row>
    <row r="2038" spans="1:8" ht="15.75" thickBot="1" x14ac:dyDescent="0.3">
      <c r="A2038">
        <f t="shared" si="32"/>
        <v>63</v>
      </c>
      <c r="B2038" s="8">
        <v>2016</v>
      </c>
      <c r="C2038" s="1" t="s">
        <v>1784</v>
      </c>
      <c r="D2038" s="1" t="s">
        <v>42</v>
      </c>
      <c r="E2038" s="2" t="s">
        <v>7</v>
      </c>
      <c r="F2038" s="9" t="s">
        <v>8</v>
      </c>
      <c r="H2038" t="str">
        <f>TRIM(SUBSTITUTE(PROPER(C2038)&amp;" "&amp;IF(OR(D2038="County",D2038="Township",D2038="Village",D2038="Charter Township"),D2038,"")&amp;IF(D2038="Township"," "&amp;"("&amp;VLOOKUP(A2038,counties,3,0)&amp;")",""),"  "," "))</f>
        <v>Highland Township Public Library</v>
      </c>
    </row>
    <row r="2039" spans="1:8" ht="15.75" thickBot="1" x14ac:dyDescent="0.3">
      <c r="A2039">
        <f t="shared" si="32"/>
        <v>63</v>
      </c>
      <c r="B2039" s="10">
        <v>2016</v>
      </c>
      <c r="C2039" s="3" t="s">
        <v>1785</v>
      </c>
      <c r="D2039" s="3" t="s">
        <v>9</v>
      </c>
      <c r="E2039" s="4" t="s">
        <v>7</v>
      </c>
      <c r="F2039" s="11" t="s">
        <v>8</v>
      </c>
      <c r="H2039" t="str">
        <f>TRIM(SUBSTITUTE(PROPER(C2039)&amp;" "&amp;IF(OR(D2039="County",D2039="Township",D2039="Village",D2039="Charter Township"),D2039,"")&amp;IF(D2039="Township"," "&amp;"("&amp;VLOOKUP(A2039,counties,3,0)&amp;")",""),"  "," "))</f>
        <v>Holly Township (Oakland County)</v>
      </c>
    </row>
    <row r="2040" spans="1:8" ht="15.75" thickBot="1" x14ac:dyDescent="0.3">
      <c r="A2040">
        <f t="shared" si="32"/>
        <v>63</v>
      </c>
      <c r="B2040" s="8">
        <v>2016</v>
      </c>
      <c r="C2040" s="1" t="s">
        <v>1785</v>
      </c>
      <c r="D2040" s="1" t="s">
        <v>21</v>
      </c>
      <c r="E2040" s="2" t="s">
        <v>7</v>
      </c>
      <c r="F2040" s="9" t="s">
        <v>8</v>
      </c>
      <c r="H2040" t="str">
        <f>TRIM(SUBSTITUTE(PROPER(C2040)&amp;" "&amp;IF(OR(D2040="County",D2040="Township",D2040="Village",D2040="Charter Township"),D2040,"")&amp;IF(D2040="Township"," "&amp;"("&amp;VLOOKUP(A2040,counties,3,0)&amp;")",""),"  "," "))</f>
        <v>Holly Village</v>
      </c>
    </row>
    <row r="2041" spans="1:8" ht="15.75" thickBot="1" x14ac:dyDescent="0.3">
      <c r="A2041">
        <f t="shared" si="32"/>
        <v>63</v>
      </c>
      <c r="B2041" s="10">
        <v>2016</v>
      </c>
      <c r="C2041" s="3" t="s">
        <v>1786</v>
      </c>
      <c r="D2041" s="3" t="s">
        <v>15</v>
      </c>
      <c r="E2041" s="4" t="s">
        <v>7</v>
      </c>
      <c r="F2041" s="11" t="s">
        <v>8</v>
      </c>
      <c r="H2041" t="str">
        <f>TRIM(SUBSTITUTE(PROPER(C2041)&amp;" "&amp;IF(OR(D2041="County",D2041="Township",D2041="Village",D2041="Charter Township"),D2041,"")&amp;IF(D2041="Township"," "&amp;"("&amp;VLOOKUP(A2041,counties,3,0)&amp;")",""),"  "," "))</f>
        <v>Huntington Woods</v>
      </c>
    </row>
    <row r="2042" spans="1:8" ht="15.75" thickBot="1" x14ac:dyDescent="0.3">
      <c r="A2042">
        <f t="shared" si="32"/>
        <v>63</v>
      </c>
      <c r="B2042" s="8">
        <v>2016</v>
      </c>
      <c r="C2042" s="1" t="s">
        <v>1787</v>
      </c>
      <c r="D2042" s="1" t="s">
        <v>9</v>
      </c>
      <c r="E2042" s="2" t="s">
        <v>7</v>
      </c>
      <c r="F2042" s="9" t="s">
        <v>8</v>
      </c>
      <c r="H2042" t="str">
        <f>TRIM(SUBSTITUTE(PROPER(C2042)&amp;" "&amp;IF(OR(D2042="County",D2042="Township",D2042="Village",D2042="Charter Township"),D2042,"")&amp;IF(D2042="Township"," "&amp;"("&amp;VLOOKUP(A2042,counties,3,0)&amp;")",""),"  "," "))</f>
        <v>Independence Charter Township (Oakland County)</v>
      </c>
    </row>
    <row r="2043" spans="1:8" ht="15.75" thickBot="1" x14ac:dyDescent="0.3">
      <c r="A2043">
        <f t="shared" si="32"/>
        <v>63</v>
      </c>
      <c r="B2043" s="10">
        <v>2016</v>
      </c>
      <c r="C2043" s="3" t="s">
        <v>1788</v>
      </c>
      <c r="D2043" s="3" t="s">
        <v>15</v>
      </c>
      <c r="E2043" s="4" t="s">
        <v>7</v>
      </c>
      <c r="F2043" s="11" t="s">
        <v>8</v>
      </c>
      <c r="H2043" t="str">
        <f>TRIM(SUBSTITUTE(PROPER(C2043)&amp;" "&amp;IF(OR(D2043="County",D2043="Township",D2043="Village",D2043="Charter Township"),D2043,"")&amp;IF(D2043="Township"," "&amp;"("&amp;VLOOKUP(A2043,counties,3,0)&amp;")",""),"  "," "))</f>
        <v>Keego Harbor</v>
      </c>
    </row>
    <row r="2044" spans="1:8" ht="15.75" thickBot="1" x14ac:dyDescent="0.3">
      <c r="A2044">
        <f t="shared" si="32"/>
        <v>63</v>
      </c>
      <c r="B2044" s="8">
        <v>2016</v>
      </c>
      <c r="C2044" s="1" t="s">
        <v>1789</v>
      </c>
      <c r="D2044" s="1" t="s">
        <v>15</v>
      </c>
      <c r="E2044" s="2" t="s">
        <v>7</v>
      </c>
      <c r="F2044" s="9" t="s">
        <v>8</v>
      </c>
      <c r="H2044" t="str">
        <f>TRIM(SUBSTITUTE(PROPER(C2044)&amp;" "&amp;IF(OR(D2044="County",D2044="Township",D2044="Village",D2044="Charter Township"),D2044,"")&amp;IF(D2044="Township"," "&amp;"("&amp;VLOOKUP(A2044,counties,3,0)&amp;")",""),"  "," "))</f>
        <v>Lake Angelus</v>
      </c>
    </row>
    <row r="2045" spans="1:8" ht="15.75" thickBot="1" x14ac:dyDescent="0.3">
      <c r="A2045">
        <f t="shared" si="32"/>
        <v>63</v>
      </c>
      <c r="B2045" s="10">
        <v>2016</v>
      </c>
      <c r="C2045" s="3" t="s">
        <v>1790</v>
      </c>
      <c r="D2045" s="3" t="s">
        <v>21</v>
      </c>
      <c r="E2045" s="4" t="s">
        <v>7</v>
      </c>
      <c r="F2045" s="11" t="s">
        <v>8</v>
      </c>
      <c r="H2045" t="str">
        <f>TRIM(SUBSTITUTE(PROPER(C2045)&amp;" "&amp;IF(OR(D2045="County",D2045="Township",D2045="Village",D2045="Charter Township"),D2045,"")&amp;IF(D2045="Township"," "&amp;"("&amp;VLOOKUP(A2045,counties,3,0)&amp;")",""),"  "," "))</f>
        <v>Lake Orion Village</v>
      </c>
    </row>
    <row r="2046" spans="1:8" ht="15.75" thickBot="1" x14ac:dyDescent="0.3">
      <c r="A2046">
        <f t="shared" si="32"/>
        <v>63</v>
      </c>
      <c r="B2046" s="8">
        <v>2016</v>
      </c>
      <c r="C2046" s="1" t="s">
        <v>1791</v>
      </c>
      <c r="D2046" s="1" t="s">
        <v>21</v>
      </c>
      <c r="E2046" s="2" t="s">
        <v>7</v>
      </c>
      <c r="F2046" s="9" t="s">
        <v>8</v>
      </c>
      <c r="H2046" t="str">
        <f>TRIM(SUBSTITUTE(PROPER(C2046)&amp;" "&amp;IF(OR(D2046="County",D2046="Township",D2046="Village",D2046="Charter Township"),D2046,"")&amp;IF(D2046="Township"," "&amp;"("&amp;VLOOKUP(A2046,counties,3,0)&amp;")",""),"  "," "))</f>
        <v>Leonard Village</v>
      </c>
    </row>
    <row r="2047" spans="1:8" ht="15.75" thickBot="1" x14ac:dyDescent="0.3">
      <c r="A2047">
        <f t="shared" si="32"/>
        <v>63</v>
      </c>
      <c r="B2047" s="10">
        <v>2016</v>
      </c>
      <c r="C2047" s="3" t="s">
        <v>1792</v>
      </c>
      <c r="D2047" s="3" t="s">
        <v>9</v>
      </c>
      <c r="E2047" s="4" t="s">
        <v>7</v>
      </c>
      <c r="F2047" s="11" t="s">
        <v>8</v>
      </c>
      <c r="H2047" t="str">
        <f>TRIM(SUBSTITUTE(PROPER(C2047)&amp;" "&amp;IF(OR(D2047="County",D2047="Township",D2047="Village",D2047="Charter Township"),D2047,"")&amp;IF(D2047="Township"," "&amp;"("&amp;VLOOKUP(A2047,counties,3,0)&amp;")",""),"  "," "))</f>
        <v>Lyon Charter Township (Oakland County)</v>
      </c>
    </row>
    <row r="2048" spans="1:8" ht="15.75" thickBot="1" x14ac:dyDescent="0.3">
      <c r="A2048">
        <f t="shared" si="32"/>
        <v>63</v>
      </c>
      <c r="B2048" s="8">
        <v>2016</v>
      </c>
      <c r="C2048" s="1" t="s">
        <v>1793</v>
      </c>
      <c r="D2048" s="1" t="s">
        <v>15</v>
      </c>
      <c r="E2048" s="2" t="s">
        <v>7</v>
      </c>
      <c r="F2048" s="9" t="s">
        <v>8</v>
      </c>
      <c r="H2048" t="str">
        <f>TRIM(SUBSTITUTE(PROPER(C2048)&amp;" "&amp;IF(OR(D2048="County",D2048="Township",D2048="Village",D2048="Charter Township"),D2048,"")&amp;IF(D2048="Township"," "&amp;"("&amp;VLOOKUP(A2048,counties,3,0)&amp;")",""),"  "," "))</f>
        <v>Madison Heights</v>
      </c>
    </row>
    <row r="2049" spans="1:8" ht="15.75" thickBot="1" x14ac:dyDescent="0.3">
      <c r="A2049">
        <f t="shared" si="32"/>
        <v>63</v>
      </c>
      <c r="B2049" s="10">
        <v>2016</v>
      </c>
      <c r="C2049" s="3" t="s">
        <v>1794</v>
      </c>
      <c r="D2049" s="3" t="s">
        <v>21</v>
      </c>
      <c r="E2049" s="4" t="s">
        <v>7</v>
      </c>
      <c r="F2049" s="11" t="s">
        <v>8</v>
      </c>
      <c r="H2049" t="str">
        <f>TRIM(SUBSTITUTE(PROPER(C2049)&amp;" "&amp;IF(OR(D2049="County",D2049="Township",D2049="Village",D2049="Charter Township"),D2049,"")&amp;IF(D2049="Township"," "&amp;"("&amp;VLOOKUP(A2049,counties,3,0)&amp;")",""),"  "," "))</f>
        <v>Milford Village</v>
      </c>
    </row>
    <row r="2050" spans="1:8" ht="15.75" thickBot="1" x14ac:dyDescent="0.3">
      <c r="A2050">
        <f t="shared" si="32"/>
        <v>63</v>
      </c>
      <c r="B2050" s="8">
        <v>2016</v>
      </c>
      <c r="C2050" s="1" t="s">
        <v>1795</v>
      </c>
      <c r="D2050" s="1" t="s">
        <v>9</v>
      </c>
      <c r="E2050" s="2" t="s">
        <v>7</v>
      </c>
      <c r="F2050" s="9" t="s">
        <v>8</v>
      </c>
      <c r="H2050" t="str">
        <f>TRIM(SUBSTITUTE(PROPER(C2050)&amp;" "&amp;IF(OR(D2050="County",D2050="Township",D2050="Village",D2050="Charter Township"),D2050,"")&amp;IF(D2050="Township"," "&amp;"("&amp;VLOOKUP(A2050,counties,3,0)&amp;")",""),"  "," "))</f>
        <v>Milford Charter Township (Oakland County)</v>
      </c>
    </row>
    <row r="2051" spans="1:8" ht="15.75" thickBot="1" x14ac:dyDescent="0.3">
      <c r="A2051">
        <f t="shared" ref="A2051:A2114" si="33">IF(B2051="Year",A2050+1,A2050)</f>
        <v>63</v>
      </c>
      <c r="B2051" s="10">
        <v>2016</v>
      </c>
      <c r="C2051" s="3" t="s">
        <v>1796</v>
      </c>
      <c r="D2051" s="3" t="s">
        <v>17</v>
      </c>
      <c r="E2051" s="4" t="s">
        <v>7</v>
      </c>
      <c r="F2051" s="11" t="s">
        <v>8</v>
      </c>
      <c r="H2051" t="str">
        <f>TRIM(SUBSTITUTE(PROPER(C2051)&amp;" "&amp;IF(OR(D2051="County",D2051="Township",D2051="Village",D2051="Charter Township"),D2051,"")&amp;IF(D2051="Township"," "&amp;"("&amp;VLOOKUP(A2051,counties,3,0)&amp;")",""),"  "," "))</f>
        <v>North Oakland County Fire Authority</v>
      </c>
    </row>
    <row r="2052" spans="1:8" ht="15.75" thickBot="1" x14ac:dyDescent="0.3">
      <c r="A2052">
        <f t="shared" si="33"/>
        <v>63</v>
      </c>
      <c r="B2052" s="8">
        <v>2016</v>
      </c>
      <c r="C2052" s="1" t="s">
        <v>1797</v>
      </c>
      <c r="D2052" s="1" t="s">
        <v>17</v>
      </c>
      <c r="E2052" s="2" t="s">
        <v>7</v>
      </c>
      <c r="F2052" s="9" t="s">
        <v>8</v>
      </c>
      <c r="H2052" t="str">
        <f>TRIM(SUBSTITUTE(PROPER(C2052)&amp;" "&amp;IF(OR(D2052="County",D2052="Township",D2052="Village",D2052="Charter Township"),D2052,"")&amp;IF(D2052="Township"," "&amp;"("&amp;VLOOKUP(A2052,counties,3,0)&amp;")",""),"  "," "))</f>
        <v>North Oakland Transportation Authority</v>
      </c>
    </row>
    <row r="2053" spans="1:8" ht="15.75" thickBot="1" x14ac:dyDescent="0.3">
      <c r="A2053">
        <f t="shared" si="33"/>
        <v>63</v>
      </c>
      <c r="B2053" s="10">
        <v>2016</v>
      </c>
      <c r="C2053" s="3" t="s">
        <v>1798</v>
      </c>
      <c r="D2053" s="3" t="s">
        <v>15</v>
      </c>
      <c r="E2053" s="4" t="s">
        <v>7</v>
      </c>
      <c r="F2053" s="11" t="s">
        <v>8</v>
      </c>
      <c r="H2053" t="str">
        <f>TRIM(SUBSTITUTE(PROPER(C2053)&amp;" "&amp;IF(OR(D2053="County",D2053="Township",D2053="Village",D2053="Charter Township"),D2053,"")&amp;IF(D2053="Township"," "&amp;"("&amp;VLOOKUP(A2053,counties,3,0)&amp;")",""),"  "," "))</f>
        <v>Novi</v>
      </c>
    </row>
    <row r="2054" spans="1:8" ht="15.75" thickBot="1" x14ac:dyDescent="0.3">
      <c r="A2054">
        <f t="shared" si="33"/>
        <v>63</v>
      </c>
      <c r="B2054" s="8">
        <v>2016</v>
      </c>
      <c r="C2054" s="1" t="s">
        <v>1798</v>
      </c>
      <c r="D2054" s="1" t="s">
        <v>9</v>
      </c>
      <c r="E2054" s="2" t="s">
        <v>7</v>
      </c>
      <c r="F2054" s="9" t="s">
        <v>8</v>
      </c>
      <c r="H2054" t="str">
        <f>TRIM(SUBSTITUTE(PROPER(C2054)&amp;" "&amp;IF(OR(D2054="County",D2054="Township",D2054="Village",D2054="Charter Township"),D2054,"")&amp;IF(D2054="Township"," "&amp;"("&amp;VLOOKUP(A2054,counties,3,0)&amp;")",""),"  "," "))</f>
        <v>Novi Township (Oakland County)</v>
      </c>
    </row>
    <row r="2055" spans="1:8" ht="15.75" thickBot="1" x14ac:dyDescent="0.3">
      <c r="A2055">
        <f t="shared" si="33"/>
        <v>63</v>
      </c>
      <c r="B2055" s="10">
        <v>2016</v>
      </c>
      <c r="C2055" s="3" t="s">
        <v>1799</v>
      </c>
      <c r="D2055" s="3" t="s">
        <v>15</v>
      </c>
      <c r="E2055" s="4" t="s">
        <v>7</v>
      </c>
      <c r="F2055" s="11" t="s">
        <v>8</v>
      </c>
      <c r="H2055" t="str">
        <f>TRIM(SUBSTITUTE(PROPER(C2055)&amp;" "&amp;IF(OR(D2055="County",D2055="Township",D2055="Village",D2055="Charter Township"),D2055,"")&amp;IF(D2055="Township"," "&amp;"("&amp;VLOOKUP(A2055,counties,3,0)&amp;")",""),"  "," "))</f>
        <v>Oak Park</v>
      </c>
    </row>
    <row r="2056" spans="1:8" ht="15.75" thickBot="1" x14ac:dyDescent="0.3">
      <c r="A2056">
        <f t="shared" si="33"/>
        <v>63</v>
      </c>
      <c r="B2056" s="8">
        <v>2016</v>
      </c>
      <c r="C2056" s="1" t="s">
        <v>1800</v>
      </c>
      <c r="D2056" s="1" t="s">
        <v>6</v>
      </c>
      <c r="E2056" s="2" t="s">
        <v>7</v>
      </c>
      <c r="F2056" s="9" t="s">
        <v>8</v>
      </c>
      <c r="H2056" t="str">
        <f>TRIM(SUBSTITUTE(PROPER(C2056)&amp;" "&amp;IF(OR(D2056="County",D2056="Township",D2056="Village",D2056="Charter Township"),D2056,"")&amp;IF(D2056="Township"," "&amp;"("&amp;VLOOKUP(A2056,counties,3,0)&amp;")",""),"  "," "))</f>
        <v>Oakland County</v>
      </c>
    </row>
    <row r="2057" spans="1:8" ht="15.75" thickBot="1" x14ac:dyDescent="0.3">
      <c r="A2057">
        <f t="shared" si="33"/>
        <v>63</v>
      </c>
      <c r="B2057" s="10">
        <v>2016</v>
      </c>
      <c r="C2057" s="3" t="s">
        <v>1801</v>
      </c>
      <c r="D2057" s="3" t="s">
        <v>9</v>
      </c>
      <c r="E2057" s="4" t="s">
        <v>7</v>
      </c>
      <c r="F2057" s="11" t="s">
        <v>8</v>
      </c>
      <c r="H2057" t="str">
        <f>TRIM(SUBSTITUTE(PROPER(C2057)&amp;" "&amp;IF(OR(D2057="County",D2057="Township",D2057="Village",D2057="Charter Township"),D2057,"")&amp;IF(D2057="Township"," "&amp;"("&amp;VLOOKUP(A2057,counties,3,0)&amp;")",""),"  "," "))</f>
        <v>Oakland Charter Township (Oakland County)</v>
      </c>
    </row>
    <row r="2058" spans="1:8" ht="15.75" thickBot="1" x14ac:dyDescent="0.3">
      <c r="A2058">
        <f t="shared" si="33"/>
        <v>63</v>
      </c>
      <c r="B2058" s="8">
        <v>2016</v>
      </c>
      <c r="C2058" s="1" t="s">
        <v>1802</v>
      </c>
      <c r="D2058" s="1" t="s">
        <v>17</v>
      </c>
      <c r="E2058" s="2" t="s">
        <v>7</v>
      </c>
      <c r="F2058" s="9" t="s">
        <v>8</v>
      </c>
      <c r="H2058" t="str">
        <f>TRIM(SUBSTITUTE(PROPER(C2058)&amp;" "&amp;IF(OR(D2058="County",D2058="Township",D2058="Village",D2058="Charter Township"),D2058,"")&amp;IF(D2058="Township"," "&amp;"("&amp;VLOOKUP(A2058,counties,3,0)&amp;")",""),"  "," "))</f>
        <v>Oakland Co Community Mental Health Authority</v>
      </c>
    </row>
    <row r="2059" spans="1:8" ht="15.75" thickBot="1" x14ac:dyDescent="0.3">
      <c r="A2059">
        <f t="shared" si="33"/>
        <v>63</v>
      </c>
      <c r="B2059" s="10">
        <v>2016</v>
      </c>
      <c r="C2059" s="3" t="s">
        <v>1803</v>
      </c>
      <c r="D2059" s="3" t="s">
        <v>17</v>
      </c>
      <c r="E2059" s="4" t="s">
        <v>7</v>
      </c>
      <c r="F2059" s="11" t="s">
        <v>8</v>
      </c>
      <c r="H2059" t="str">
        <f>TRIM(SUBSTITUTE(PROPER(C2059)&amp;" "&amp;IF(OR(D2059="County",D2059="Township",D2059="Village",D2059="Charter Township"),D2059,"")&amp;IF(D2059="Township"," "&amp;"("&amp;VLOOKUP(A2059,counties,3,0)&amp;")",""),"  "," "))</f>
        <v>Oakland Co Road Comm Retiree Health Care Trust</v>
      </c>
    </row>
    <row r="2060" spans="1:8" ht="15.75" thickBot="1" x14ac:dyDescent="0.3">
      <c r="A2060">
        <f t="shared" si="33"/>
        <v>63</v>
      </c>
      <c r="B2060" s="8">
        <v>2016</v>
      </c>
      <c r="C2060" s="1" t="s">
        <v>1804</v>
      </c>
      <c r="D2060" s="1" t="s">
        <v>17</v>
      </c>
      <c r="E2060" s="2" t="s">
        <v>7</v>
      </c>
      <c r="F2060" s="9" t="s">
        <v>8</v>
      </c>
      <c r="H2060" t="str">
        <f>TRIM(SUBSTITUTE(PROPER(C2060)&amp;" "&amp;IF(OR(D2060="County",D2060="Township",D2060="Village",D2060="Charter Township"),D2060,"")&amp;IF(D2060="Township"," "&amp;"("&amp;VLOOKUP(A2060,counties,3,0)&amp;")",""),"  "," "))</f>
        <v>Oakland County Art Institute Authority</v>
      </c>
    </row>
    <row r="2061" spans="1:8" ht="15.75" thickBot="1" x14ac:dyDescent="0.3">
      <c r="A2061">
        <f t="shared" si="33"/>
        <v>63</v>
      </c>
      <c r="B2061" s="10">
        <v>2016</v>
      </c>
      <c r="C2061" s="3" t="s">
        <v>1805</v>
      </c>
      <c r="D2061" s="3" t="s">
        <v>72</v>
      </c>
      <c r="E2061" s="4" t="s">
        <v>7</v>
      </c>
      <c r="F2061" s="11" t="s">
        <v>8</v>
      </c>
      <c r="H2061" t="str">
        <f>TRIM(SUBSTITUTE(PROPER(C2061)&amp;" "&amp;IF(OR(D2061="County",D2061="Township",D2061="Village",D2061="Charter Township"),D2061,"")&amp;IF(D2061="Township"," "&amp;"("&amp;VLOOKUP(A2061,counties,3,0)&amp;")",""),"  "," "))</f>
        <v>Oakland County Public Transportation Authority</v>
      </c>
    </row>
    <row r="2062" spans="1:8" ht="15.75" thickBot="1" x14ac:dyDescent="0.3">
      <c r="A2062">
        <f t="shared" si="33"/>
        <v>63</v>
      </c>
      <c r="B2062" s="8">
        <v>2016</v>
      </c>
      <c r="C2062" s="1" t="s">
        <v>1806</v>
      </c>
      <c r="D2062" s="1" t="s">
        <v>11</v>
      </c>
      <c r="E2062" s="2" t="s">
        <v>7</v>
      </c>
      <c r="F2062" s="9" t="s">
        <v>8</v>
      </c>
      <c r="H2062" t="str">
        <f>TRIM(SUBSTITUTE(PROPER(C2062)&amp;" "&amp;IF(OR(D2062="County",D2062="Township",D2062="Village",D2062="Charter Township"),D2062,"")&amp;IF(D2062="Township"," "&amp;"("&amp;VLOOKUP(A2062,counties,3,0)&amp;")",""),"  "," "))</f>
        <v>Oakland County Road Commision</v>
      </c>
    </row>
    <row r="2063" spans="1:8" ht="21.75" thickBot="1" x14ac:dyDescent="0.3">
      <c r="A2063">
        <f t="shared" si="33"/>
        <v>63</v>
      </c>
      <c r="B2063" s="10">
        <v>2016</v>
      </c>
      <c r="C2063" s="3" t="s">
        <v>1807</v>
      </c>
      <c r="D2063" s="3" t="s">
        <v>17</v>
      </c>
      <c r="E2063" s="4" t="s">
        <v>7</v>
      </c>
      <c r="F2063" s="11" t="s">
        <v>8</v>
      </c>
      <c r="H2063" t="str">
        <f>TRIM(SUBSTITUTE(PROPER(C2063)&amp;" "&amp;IF(OR(D2063="County",D2063="Township",D2063="Village",D2063="Charter Township"),D2063,"")&amp;IF(D2063="Township"," "&amp;"("&amp;VLOOKUP(A2063,counties,3,0)&amp;")",""),"  "," "))</f>
        <v>Oakland County Road Commission Retirement System</v>
      </c>
    </row>
    <row r="2064" spans="1:8" ht="15.75" thickBot="1" x14ac:dyDescent="0.3">
      <c r="A2064">
        <f t="shared" si="33"/>
        <v>63</v>
      </c>
      <c r="B2064" s="8">
        <v>2016</v>
      </c>
      <c r="C2064" s="1" t="s">
        <v>1808</v>
      </c>
      <c r="D2064" s="1" t="s">
        <v>17</v>
      </c>
      <c r="E2064" s="2" t="s">
        <v>7</v>
      </c>
      <c r="F2064" s="9" t="s">
        <v>8</v>
      </c>
      <c r="H2064" t="str">
        <f>TRIM(SUBSTITUTE(PROPER(C2064)&amp;" "&amp;IF(OR(D2064="County",D2064="Township",D2064="Village",D2064="Charter Township"),D2064,"")&amp;IF(D2064="Township"," "&amp;"("&amp;VLOOKUP(A2064,counties,3,0)&amp;")",""),"  "," "))</f>
        <v>Oakland County Zoological Authority</v>
      </c>
    </row>
    <row r="2065" spans="1:8" ht="15.75" thickBot="1" x14ac:dyDescent="0.3">
      <c r="A2065">
        <f t="shared" si="33"/>
        <v>63</v>
      </c>
      <c r="B2065" s="10">
        <v>2016</v>
      </c>
      <c r="C2065" s="3" t="s">
        <v>1809</v>
      </c>
      <c r="D2065" s="3" t="s">
        <v>15</v>
      </c>
      <c r="E2065" s="4" t="s">
        <v>7</v>
      </c>
      <c r="F2065" s="11" t="s">
        <v>8</v>
      </c>
      <c r="H2065" t="str">
        <f>TRIM(SUBSTITUTE(PROPER(C2065)&amp;" "&amp;IF(OR(D2065="County",D2065="Township",D2065="Village",D2065="Charter Township"),D2065,"")&amp;IF(D2065="Township"," "&amp;"("&amp;VLOOKUP(A2065,counties,3,0)&amp;")",""),"  "," "))</f>
        <v>Orchard Lake Village</v>
      </c>
    </row>
    <row r="2066" spans="1:8" ht="15.75" thickBot="1" x14ac:dyDescent="0.3">
      <c r="A2066">
        <f t="shared" si="33"/>
        <v>63</v>
      </c>
      <c r="B2066" s="8">
        <v>2016</v>
      </c>
      <c r="C2066" s="1" t="s">
        <v>1810</v>
      </c>
      <c r="D2066" s="1" t="s">
        <v>9</v>
      </c>
      <c r="E2066" s="2" t="s">
        <v>7</v>
      </c>
      <c r="F2066" s="9" t="s">
        <v>8</v>
      </c>
      <c r="H2066" t="str">
        <f>TRIM(SUBSTITUTE(PROPER(C2066)&amp;" "&amp;IF(OR(D2066="County",D2066="Township",D2066="Village",D2066="Charter Township"),D2066,"")&amp;IF(D2066="Township"," "&amp;"("&amp;VLOOKUP(A2066,counties,3,0)&amp;")",""),"  "," "))</f>
        <v>Orion Charter Township Township (Oakland County)</v>
      </c>
    </row>
    <row r="2067" spans="1:8" ht="15.75" thickBot="1" x14ac:dyDescent="0.3">
      <c r="A2067">
        <f t="shared" si="33"/>
        <v>63</v>
      </c>
      <c r="B2067" s="10">
        <v>2016</v>
      </c>
      <c r="C2067" s="3" t="s">
        <v>1811</v>
      </c>
      <c r="D2067" s="3" t="s">
        <v>42</v>
      </c>
      <c r="E2067" s="4" t="s">
        <v>7</v>
      </c>
      <c r="F2067" s="11" t="s">
        <v>8</v>
      </c>
      <c r="H2067" t="str">
        <f>TRIM(SUBSTITUTE(PROPER(C2067)&amp;" "&amp;IF(OR(D2067="County",D2067="Township",D2067="Village",D2067="Charter Township"),D2067,"")&amp;IF(D2067="Township"," "&amp;"("&amp;VLOOKUP(A2067,counties,3,0)&amp;")",""),"  "," "))</f>
        <v>Orion Township Public Library</v>
      </c>
    </row>
    <row r="2068" spans="1:8" ht="15.75" thickBot="1" x14ac:dyDescent="0.3">
      <c r="A2068">
        <f t="shared" si="33"/>
        <v>63</v>
      </c>
      <c r="B2068" s="8">
        <v>2016</v>
      </c>
      <c r="C2068" s="1" t="s">
        <v>1812</v>
      </c>
      <c r="D2068" s="1" t="s">
        <v>21</v>
      </c>
      <c r="E2068" s="2" t="s">
        <v>7</v>
      </c>
      <c r="F2068" s="9" t="s">
        <v>8</v>
      </c>
      <c r="H2068" t="str">
        <f>TRIM(SUBSTITUTE(PROPER(C2068)&amp;" "&amp;IF(OR(D2068="County",D2068="Township",D2068="Village",D2068="Charter Township"),D2068,"")&amp;IF(D2068="Township"," "&amp;"("&amp;VLOOKUP(A2068,counties,3,0)&amp;")",""),"  "," "))</f>
        <v>Ortonville Village</v>
      </c>
    </row>
    <row r="2069" spans="1:8" ht="15.75" thickBot="1" x14ac:dyDescent="0.3">
      <c r="A2069">
        <f t="shared" si="33"/>
        <v>63</v>
      </c>
      <c r="B2069" s="10">
        <v>2016</v>
      </c>
      <c r="C2069" s="3" t="s">
        <v>1813</v>
      </c>
      <c r="D2069" s="3" t="s">
        <v>21</v>
      </c>
      <c r="E2069" s="4" t="s">
        <v>7</v>
      </c>
      <c r="F2069" s="11" t="s">
        <v>8</v>
      </c>
      <c r="H2069" t="str">
        <f>TRIM(SUBSTITUTE(PROPER(C2069)&amp;" "&amp;IF(OR(D2069="County",D2069="Township",D2069="Village",D2069="Charter Township"),D2069,"")&amp;IF(D2069="Township"," "&amp;"("&amp;VLOOKUP(A2069,counties,3,0)&amp;")",""),"  "," "))</f>
        <v>Oxford Village</v>
      </c>
    </row>
    <row r="2070" spans="1:8" ht="15.75" thickBot="1" x14ac:dyDescent="0.3">
      <c r="A2070">
        <f t="shared" si="33"/>
        <v>63</v>
      </c>
      <c r="B2070" s="8">
        <v>2016</v>
      </c>
      <c r="C2070" s="1" t="s">
        <v>1814</v>
      </c>
      <c r="D2070" s="1" t="s">
        <v>9</v>
      </c>
      <c r="E2070" s="2" t="s">
        <v>7</v>
      </c>
      <c r="F2070" s="9" t="s">
        <v>8</v>
      </c>
      <c r="H2070" t="str">
        <f>TRIM(SUBSTITUTE(PROPER(C2070)&amp;" "&amp;IF(OR(D2070="County",D2070="Township",D2070="Village",D2070="Charter Township"),D2070,"")&amp;IF(D2070="Township"," "&amp;"("&amp;VLOOKUP(A2070,counties,3,0)&amp;")",""),"  "," "))</f>
        <v>Oxford Charter Township (Oakland County)</v>
      </c>
    </row>
    <row r="2071" spans="1:8" ht="15.75" thickBot="1" x14ac:dyDescent="0.3">
      <c r="A2071">
        <f t="shared" si="33"/>
        <v>63</v>
      </c>
      <c r="B2071" s="10">
        <v>2016</v>
      </c>
      <c r="C2071" s="3" t="s">
        <v>1815</v>
      </c>
      <c r="D2071" s="3" t="s">
        <v>42</v>
      </c>
      <c r="E2071" s="4" t="s">
        <v>7</v>
      </c>
      <c r="F2071" s="11" t="s">
        <v>8</v>
      </c>
      <c r="H2071" t="str">
        <f>TRIM(SUBSTITUTE(PROPER(C2071)&amp;" "&amp;IF(OR(D2071="County",D2071="Township",D2071="Village",D2071="Charter Township"),D2071,"")&amp;IF(D2071="Township"," "&amp;"("&amp;VLOOKUP(A2071,counties,3,0)&amp;")",""),"  "," "))</f>
        <v>Oxford Public Library</v>
      </c>
    </row>
    <row r="2072" spans="1:8" ht="15.75" thickBot="1" x14ac:dyDescent="0.3">
      <c r="A2072">
        <f t="shared" si="33"/>
        <v>63</v>
      </c>
      <c r="B2072" s="8">
        <v>2016</v>
      </c>
      <c r="C2072" s="1" t="s">
        <v>1816</v>
      </c>
      <c r="D2072" s="1" t="s">
        <v>17</v>
      </c>
      <c r="E2072" s="2" t="s">
        <v>7</v>
      </c>
      <c r="F2072" s="9" t="s">
        <v>8</v>
      </c>
      <c r="H2072" t="str">
        <f>TRIM(SUBSTITUTE(PROPER(C2072)&amp;" "&amp;IF(OR(D2072="County",D2072="Township",D2072="Village",D2072="Charter Township"),D2072,"")&amp;IF(D2072="Township"," "&amp;"("&amp;VLOOKUP(A2072,counties,3,0)&amp;")",""),"  "," "))</f>
        <v>Paint Creek Trailways Commission</v>
      </c>
    </row>
    <row r="2073" spans="1:8" ht="15.75" thickBot="1" x14ac:dyDescent="0.3">
      <c r="A2073">
        <f t="shared" si="33"/>
        <v>63</v>
      </c>
      <c r="B2073" s="10">
        <v>2016</v>
      </c>
      <c r="C2073" s="3" t="s">
        <v>1817</v>
      </c>
      <c r="D2073" s="3" t="s">
        <v>15</v>
      </c>
      <c r="E2073" s="4" t="s">
        <v>7</v>
      </c>
      <c r="F2073" s="11" t="s">
        <v>8</v>
      </c>
      <c r="H2073" t="str">
        <f>TRIM(SUBSTITUTE(PROPER(C2073)&amp;" "&amp;IF(OR(D2073="County",D2073="Township",D2073="Village",D2073="Charter Township"),D2073,"")&amp;IF(D2073="Township"," "&amp;"("&amp;VLOOKUP(A2073,counties,3,0)&amp;")",""),"  "," "))</f>
        <v>Pleasant Ridge</v>
      </c>
    </row>
    <row r="2074" spans="1:8" ht="15.75" thickBot="1" x14ac:dyDescent="0.3">
      <c r="A2074">
        <f t="shared" si="33"/>
        <v>63</v>
      </c>
      <c r="B2074" s="8">
        <v>2016</v>
      </c>
      <c r="C2074" s="1" t="s">
        <v>1818</v>
      </c>
      <c r="D2074" s="1" t="s">
        <v>15</v>
      </c>
      <c r="E2074" s="2" t="s">
        <v>7</v>
      </c>
      <c r="F2074" s="9" t="s">
        <v>8</v>
      </c>
      <c r="H2074" t="str">
        <f>TRIM(SUBSTITUTE(PROPER(C2074)&amp;" "&amp;IF(OR(D2074="County",D2074="Township",D2074="Village",D2074="Charter Township"),D2074,"")&amp;IF(D2074="Township"," "&amp;"("&amp;VLOOKUP(A2074,counties,3,0)&amp;")",""),"  "," "))</f>
        <v>Pontiac</v>
      </c>
    </row>
    <row r="2075" spans="1:8" ht="15.75" thickBot="1" x14ac:dyDescent="0.3">
      <c r="A2075">
        <f t="shared" si="33"/>
        <v>63</v>
      </c>
      <c r="B2075" s="10">
        <v>2016</v>
      </c>
      <c r="C2075" s="3" t="s">
        <v>1819</v>
      </c>
      <c r="D2075" s="3" t="s">
        <v>17</v>
      </c>
      <c r="E2075" s="4" t="s">
        <v>7</v>
      </c>
      <c r="F2075" s="11" t="s">
        <v>8</v>
      </c>
      <c r="H2075" t="str">
        <f>TRIM(SUBSTITUTE(PROPER(C2075)&amp;" "&amp;IF(OR(D2075="County",D2075="Township",D2075="Village",D2075="Charter Township"),D2075,"")&amp;IF(D2075="Township"," "&amp;"("&amp;VLOOKUP(A2075,counties,3,0)&amp;")",""),"  "," "))</f>
        <v>Pontiac City General Employees Retirment System</v>
      </c>
    </row>
    <row r="2076" spans="1:8" ht="15.75" thickBot="1" x14ac:dyDescent="0.3">
      <c r="A2076">
        <f t="shared" si="33"/>
        <v>63</v>
      </c>
      <c r="B2076" s="8">
        <v>2016</v>
      </c>
      <c r="C2076" s="1" t="s">
        <v>1820</v>
      </c>
      <c r="D2076" s="1" t="s">
        <v>17</v>
      </c>
      <c r="E2076" s="2" t="s">
        <v>7</v>
      </c>
      <c r="F2076" s="9" t="s">
        <v>8</v>
      </c>
      <c r="H2076" t="str">
        <f>TRIM(SUBSTITUTE(PROPER(C2076)&amp;" "&amp;IF(OR(D2076="County",D2076="Township",D2076="Village",D2076="Charter Township"),D2076,"")&amp;IF(D2076="Township"," "&amp;"("&amp;VLOOKUP(A2076,counties,3,0)&amp;")",""),"  "," "))</f>
        <v>Pontiac City Housing Commission</v>
      </c>
    </row>
    <row r="2077" spans="1:8" ht="15.75" thickBot="1" x14ac:dyDescent="0.3">
      <c r="A2077">
        <f t="shared" si="33"/>
        <v>63</v>
      </c>
      <c r="B2077" s="10">
        <v>2016</v>
      </c>
      <c r="C2077" s="3" t="s">
        <v>1821</v>
      </c>
      <c r="D2077" s="3" t="s">
        <v>42</v>
      </c>
      <c r="E2077" s="4" t="s">
        <v>7</v>
      </c>
      <c r="F2077" s="11" t="s">
        <v>8</v>
      </c>
      <c r="H2077" t="str">
        <f>TRIM(SUBSTITUTE(PROPER(C2077)&amp;" "&amp;IF(OR(D2077="County",D2077="Township",D2077="Village",D2077="Charter Township"),D2077,"")&amp;IF(D2077="Township"," "&amp;"("&amp;VLOOKUP(A2077,counties,3,0)&amp;")",""),"  "," "))</f>
        <v>Pontiac Public Library</v>
      </c>
    </row>
    <row r="2078" spans="1:8" ht="21.75" thickBot="1" x14ac:dyDescent="0.3">
      <c r="A2078">
        <f t="shared" si="33"/>
        <v>63</v>
      </c>
      <c r="B2078" s="8">
        <v>2016</v>
      </c>
      <c r="C2078" s="1" t="s">
        <v>1822</v>
      </c>
      <c r="D2078" s="1" t="s">
        <v>17</v>
      </c>
      <c r="E2078" s="2" t="s">
        <v>7</v>
      </c>
      <c r="F2078" s="9" t="s">
        <v>8</v>
      </c>
      <c r="H2078" t="str">
        <f>TRIM(SUBSTITUTE(PROPER(C2078)&amp;" "&amp;IF(OR(D2078="County",D2078="Township",D2078="Village",D2078="Charter Township"),D2078,"")&amp;IF(D2078="Township"," "&amp;"("&amp;VLOOKUP(A2078,counties,3,0)&amp;")",""),"  "," "))</f>
        <v>Resource Recovery/Recycling Auth Of Sw Oakland Co</v>
      </c>
    </row>
    <row r="2079" spans="1:8" ht="15.75" thickBot="1" x14ac:dyDescent="0.3">
      <c r="A2079">
        <f t="shared" si="33"/>
        <v>63</v>
      </c>
      <c r="B2079" s="10">
        <v>2016</v>
      </c>
      <c r="C2079" s="3" t="s">
        <v>1823</v>
      </c>
      <c r="D2079" s="3" t="s">
        <v>15</v>
      </c>
      <c r="E2079" s="4" t="s">
        <v>7</v>
      </c>
      <c r="F2079" s="11" t="s">
        <v>8</v>
      </c>
      <c r="H2079" t="str">
        <f>TRIM(SUBSTITUTE(PROPER(C2079)&amp;" "&amp;IF(OR(D2079="County",D2079="Township",D2079="Village",D2079="Charter Township"),D2079,"")&amp;IF(D2079="Township"," "&amp;"("&amp;VLOOKUP(A2079,counties,3,0)&amp;")",""),"  "," "))</f>
        <v>Rochester</v>
      </c>
    </row>
    <row r="2080" spans="1:8" ht="15.75" thickBot="1" x14ac:dyDescent="0.3">
      <c r="A2080">
        <f t="shared" si="33"/>
        <v>63</v>
      </c>
      <c r="B2080" s="8">
        <v>2016</v>
      </c>
      <c r="C2080" s="1" t="s">
        <v>1824</v>
      </c>
      <c r="D2080" s="1" t="s">
        <v>72</v>
      </c>
      <c r="E2080" s="2" t="s">
        <v>7</v>
      </c>
      <c r="F2080" s="9" t="s">
        <v>8</v>
      </c>
      <c r="H2080" t="str">
        <f>TRIM(SUBSTITUTE(PROPER(C2080)&amp;" "&amp;IF(OR(D2080="County",D2080="Township",D2080="Village",D2080="Charter Township"),D2080,"")&amp;IF(D2080="Township"," "&amp;"("&amp;VLOOKUP(A2080,counties,3,0)&amp;")",""),"  "," "))</f>
        <v>Rochester Avon Recreation Authority</v>
      </c>
    </row>
    <row r="2081" spans="1:8" ht="15.75" thickBot="1" x14ac:dyDescent="0.3">
      <c r="A2081">
        <f t="shared" si="33"/>
        <v>63</v>
      </c>
      <c r="B2081" s="10">
        <v>2016</v>
      </c>
      <c r="C2081" s="3" t="s">
        <v>1825</v>
      </c>
      <c r="D2081" s="3" t="s">
        <v>15</v>
      </c>
      <c r="E2081" s="4" t="s">
        <v>7</v>
      </c>
      <c r="F2081" s="11" t="s">
        <v>8</v>
      </c>
      <c r="H2081" t="str">
        <f>TRIM(SUBSTITUTE(PROPER(C2081)&amp;" "&amp;IF(OR(D2081="County",D2081="Township",D2081="Village",D2081="Charter Township"),D2081,"")&amp;IF(D2081="Township"," "&amp;"("&amp;VLOOKUP(A2081,counties,3,0)&amp;")",""),"  "," "))</f>
        <v>Rochester Hills</v>
      </c>
    </row>
    <row r="2082" spans="1:8" ht="15.75" thickBot="1" x14ac:dyDescent="0.3">
      <c r="A2082">
        <f t="shared" si="33"/>
        <v>63</v>
      </c>
      <c r="B2082" s="8">
        <v>2016</v>
      </c>
      <c r="C2082" s="1" t="s">
        <v>1826</v>
      </c>
      <c r="D2082" s="1" t="s">
        <v>42</v>
      </c>
      <c r="E2082" s="2" t="s">
        <v>7</v>
      </c>
      <c r="F2082" s="9" t="s">
        <v>8</v>
      </c>
      <c r="H2082" t="str">
        <f>TRIM(SUBSTITUTE(PROPER(C2082)&amp;" "&amp;IF(OR(D2082="County",D2082="Township",D2082="Village",D2082="Charter Township"),D2082,"")&amp;IF(D2082="Township"," "&amp;"("&amp;VLOOKUP(A2082,counties,3,0)&amp;")",""),"  "," "))</f>
        <v>Rochester Hills Public Library</v>
      </c>
    </row>
    <row r="2083" spans="1:8" ht="21.75" thickBot="1" x14ac:dyDescent="0.3">
      <c r="A2083">
        <f t="shared" si="33"/>
        <v>63</v>
      </c>
      <c r="B2083" s="10">
        <v>2016</v>
      </c>
      <c r="C2083" s="3" t="s">
        <v>1827</v>
      </c>
      <c r="D2083" s="3" t="s">
        <v>72</v>
      </c>
      <c r="E2083" s="4" t="s">
        <v>7</v>
      </c>
      <c r="F2083" s="11" t="s">
        <v>8</v>
      </c>
      <c r="H2083" t="str">
        <f>TRIM(SUBSTITUTE(PROPER(C2083)&amp;" "&amp;IF(OR(D2083="County",D2083="Township",D2083="Village",D2083="Charter Township"),D2083,"")&amp;IF(D2083="Township"," "&amp;"("&amp;VLOOKUP(A2083,counties,3,0)&amp;")",""),"  "," "))</f>
        <v>Rochester Hills-Oakland-Rochester Older Persons' Commission</v>
      </c>
    </row>
    <row r="2084" spans="1:8" ht="15.75" thickBot="1" x14ac:dyDescent="0.3">
      <c r="A2084">
        <f t="shared" si="33"/>
        <v>63</v>
      </c>
      <c r="B2084" s="8">
        <v>2016</v>
      </c>
      <c r="C2084" s="1" t="s">
        <v>1828</v>
      </c>
      <c r="D2084" s="1" t="s">
        <v>9</v>
      </c>
      <c r="E2084" s="2" t="s">
        <v>7</v>
      </c>
      <c r="F2084" s="9" t="s">
        <v>8</v>
      </c>
      <c r="H2084" t="str">
        <f>TRIM(SUBSTITUTE(PROPER(C2084)&amp;" "&amp;IF(OR(D2084="County",D2084="Township",D2084="Village",D2084="Charter Township"),D2084,"")&amp;IF(D2084="Township"," "&amp;"("&amp;VLOOKUP(A2084,counties,3,0)&amp;")",""),"  "," "))</f>
        <v>Rose Township (Oakland County)</v>
      </c>
    </row>
    <row r="2085" spans="1:8" ht="15.75" thickBot="1" x14ac:dyDescent="0.3">
      <c r="A2085">
        <f t="shared" si="33"/>
        <v>63</v>
      </c>
      <c r="B2085" s="10">
        <v>2016</v>
      </c>
      <c r="C2085" s="3" t="s">
        <v>1829</v>
      </c>
      <c r="D2085" s="3" t="s">
        <v>15</v>
      </c>
      <c r="E2085" s="4" t="s">
        <v>7</v>
      </c>
      <c r="F2085" s="11" t="s">
        <v>8</v>
      </c>
      <c r="H2085" t="str">
        <f>TRIM(SUBSTITUTE(PROPER(C2085)&amp;" "&amp;IF(OR(D2085="County",D2085="Township",D2085="Village",D2085="Charter Township"),D2085,"")&amp;IF(D2085="Township"," "&amp;"("&amp;VLOOKUP(A2085,counties,3,0)&amp;")",""),"  "," "))</f>
        <v>Royal Oak</v>
      </c>
    </row>
    <row r="2086" spans="1:8" ht="15.75" thickBot="1" x14ac:dyDescent="0.3">
      <c r="A2086">
        <f t="shared" si="33"/>
        <v>63</v>
      </c>
      <c r="B2086" s="8">
        <v>2016</v>
      </c>
      <c r="C2086" s="1" t="s">
        <v>1830</v>
      </c>
      <c r="D2086" s="1" t="s">
        <v>17</v>
      </c>
      <c r="E2086" s="2" t="s">
        <v>7</v>
      </c>
      <c r="F2086" s="9" t="s">
        <v>8</v>
      </c>
      <c r="H2086" t="str">
        <f>TRIM(SUBSTITUTE(PROPER(C2086)&amp;" "&amp;IF(OR(D2086="County",D2086="Township",D2086="Village",D2086="Charter Township"),D2086,"")&amp;IF(D2086="Township"," "&amp;"("&amp;VLOOKUP(A2086,counties,3,0)&amp;")",""),"  "," "))</f>
        <v>Royal Oak Twp Housing Commission</v>
      </c>
    </row>
    <row r="2087" spans="1:8" ht="15.75" thickBot="1" x14ac:dyDescent="0.3">
      <c r="A2087">
        <f t="shared" si="33"/>
        <v>63</v>
      </c>
      <c r="B2087" s="10">
        <v>2016</v>
      </c>
      <c r="C2087" s="3" t="s">
        <v>1831</v>
      </c>
      <c r="D2087" s="3" t="s">
        <v>42</v>
      </c>
      <c r="E2087" s="4" t="s">
        <v>7</v>
      </c>
      <c r="F2087" s="11" t="s">
        <v>8</v>
      </c>
      <c r="H2087" t="str">
        <f>TRIM(SUBSTITUTE(PROPER(C2087)&amp;" "&amp;IF(OR(D2087="County",D2087="Township",D2087="Village",D2087="Charter Township"),D2087,"")&amp;IF(D2087="Township"," "&amp;"("&amp;VLOOKUP(A2087,counties,3,0)&amp;")",""),"  "," "))</f>
        <v>Salem-South Lyon District Library</v>
      </c>
    </row>
    <row r="2088" spans="1:8" ht="15.75" thickBot="1" x14ac:dyDescent="0.3">
      <c r="A2088">
        <f t="shared" si="33"/>
        <v>63</v>
      </c>
      <c r="B2088" s="8">
        <v>2016</v>
      </c>
      <c r="C2088" s="1" t="s">
        <v>1832</v>
      </c>
      <c r="D2088" s="1" t="s">
        <v>15</v>
      </c>
      <c r="E2088" s="2" t="s">
        <v>7</v>
      </c>
      <c r="F2088" s="9" t="s">
        <v>8</v>
      </c>
      <c r="H2088" t="str">
        <f>TRIM(SUBSTITUTE(PROPER(C2088)&amp;" "&amp;IF(OR(D2088="County",D2088="Township",D2088="Village",D2088="Charter Township"),D2088,"")&amp;IF(D2088="Township"," "&amp;"("&amp;VLOOKUP(A2088,counties,3,0)&amp;")",""),"  "," "))</f>
        <v>South Lyon</v>
      </c>
    </row>
    <row r="2089" spans="1:8" ht="15.75" thickBot="1" x14ac:dyDescent="0.3">
      <c r="A2089">
        <f t="shared" si="33"/>
        <v>63</v>
      </c>
      <c r="B2089" s="10">
        <v>2016</v>
      </c>
      <c r="C2089" s="3" t="s">
        <v>1833</v>
      </c>
      <c r="D2089" s="3" t="s">
        <v>17</v>
      </c>
      <c r="E2089" s="4" t="s">
        <v>7</v>
      </c>
      <c r="F2089" s="11" t="s">
        <v>8</v>
      </c>
      <c r="H2089" t="str">
        <f>TRIM(SUBSTITUTE(PROPER(C2089)&amp;" "&amp;IF(OR(D2089="County",D2089="Township",D2089="Village",D2089="Charter Township"),D2089,"")&amp;IF(D2089="Township"," "&amp;"("&amp;VLOOKUP(A2089,counties,3,0)&amp;")",""),"  "," "))</f>
        <v>South Lyon Area Recreation Council</v>
      </c>
    </row>
    <row r="2090" spans="1:8" ht="21.75" thickBot="1" x14ac:dyDescent="0.3">
      <c r="A2090">
        <f t="shared" si="33"/>
        <v>63</v>
      </c>
      <c r="B2090" s="8">
        <v>2016</v>
      </c>
      <c r="C2090" s="1" t="s">
        <v>1834</v>
      </c>
      <c r="D2090" s="1" t="s">
        <v>17</v>
      </c>
      <c r="E2090" s="2" t="s">
        <v>7</v>
      </c>
      <c r="F2090" s="9" t="s">
        <v>8</v>
      </c>
      <c r="H2090" t="str">
        <f>TRIM(SUBSTITUTE(PROPER(C2090)&amp;" "&amp;IF(OR(D2090="County",D2090="Township",D2090="Village",D2090="Charter Township"),D2090,"")&amp;IF(D2090="Township"," "&amp;"("&amp;VLOOKUP(A2090,counties,3,0)&amp;")",""),"  "," "))</f>
        <v>Southeastern Oakland County Resource Recovery Auth</v>
      </c>
    </row>
    <row r="2091" spans="1:8" ht="15.75" thickBot="1" x14ac:dyDescent="0.3">
      <c r="A2091">
        <f t="shared" si="33"/>
        <v>63</v>
      </c>
      <c r="B2091" s="10">
        <v>2016</v>
      </c>
      <c r="C2091" s="3" t="s">
        <v>1835</v>
      </c>
      <c r="D2091" s="3" t="s">
        <v>17</v>
      </c>
      <c r="E2091" s="4" t="s">
        <v>7</v>
      </c>
      <c r="F2091" s="11" t="s">
        <v>8</v>
      </c>
      <c r="H2091" t="str">
        <f>TRIM(SUBSTITUTE(PROPER(C2091)&amp;" "&amp;IF(OR(D2091="County",D2091="Township",D2091="Village",D2091="Charter Township"),D2091,"")&amp;IF(D2091="Township"," "&amp;"("&amp;VLOOKUP(A2091,counties,3,0)&amp;")",""),"  "," "))</f>
        <v>Southeastern Oakland County Water Authority</v>
      </c>
    </row>
    <row r="2092" spans="1:8" ht="15.75" thickBot="1" x14ac:dyDescent="0.3">
      <c r="A2092">
        <f t="shared" si="33"/>
        <v>63</v>
      </c>
      <c r="B2092" s="8">
        <v>2016</v>
      </c>
      <c r="C2092" s="1" t="s">
        <v>1836</v>
      </c>
      <c r="D2092" s="1" t="s">
        <v>15</v>
      </c>
      <c r="E2092" s="2" t="s">
        <v>7</v>
      </c>
      <c r="F2092" s="9" t="s">
        <v>8</v>
      </c>
      <c r="H2092" t="str">
        <f>TRIM(SUBSTITUTE(PROPER(C2092)&amp;" "&amp;IF(OR(D2092="County",D2092="Township",D2092="Village",D2092="Charter Township"),D2092,"")&amp;IF(D2092="Township"," "&amp;"("&amp;VLOOKUP(A2092,counties,3,0)&amp;")",""),"  "," "))</f>
        <v>Southfield</v>
      </c>
    </row>
    <row r="2093" spans="1:8" ht="15.75" thickBot="1" x14ac:dyDescent="0.3">
      <c r="A2093">
        <f t="shared" si="33"/>
        <v>63</v>
      </c>
      <c r="B2093" s="10">
        <v>2016</v>
      </c>
      <c r="C2093" s="3" t="s">
        <v>1836</v>
      </c>
      <c r="D2093" s="3" t="s">
        <v>9</v>
      </c>
      <c r="E2093" s="4" t="s">
        <v>7</v>
      </c>
      <c r="F2093" s="11" t="s">
        <v>19</v>
      </c>
      <c r="H2093" t="str">
        <f>TRIM(SUBSTITUTE(PROPER(C2093)&amp;" "&amp;IF(OR(D2093="County",D2093="Township",D2093="Village",D2093="Charter Township"),D2093,"")&amp;IF(D2093="Township"," "&amp;"("&amp;VLOOKUP(A2093,counties,3,0)&amp;")",""),"  "," "))</f>
        <v>Southfield Township (Oakland County)</v>
      </c>
    </row>
    <row r="2094" spans="1:8" ht="15.75" thickBot="1" x14ac:dyDescent="0.3">
      <c r="A2094">
        <f t="shared" si="33"/>
        <v>63</v>
      </c>
      <c r="B2094" s="8">
        <v>2016</v>
      </c>
      <c r="C2094" s="1" t="s">
        <v>1837</v>
      </c>
      <c r="D2094" s="1" t="s">
        <v>17</v>
      </c>
      <c r="E2094" s="2" t="s">
        <v>7</v>
      </c>
      <c r="F2094" s="9" t="s">
        <v>8</v>
      </c>
      <c r="H2094" t="str">
        <f>TRIM(SUBSTITUTE(PROPER(C2094)&amp;" "&amp;IF(OR(D2094="County",D2094="Township",D2094="Village",D2094="Charter Township"),D2094,"")&amp;IF(D2094="Township"," "&amp;"("&amp;VLOOKUP(A2094,counties,3,0)&amp;")",""),"  "," "))</f>
        <v>Southwestern Oakland Cable Commission</v>
      </c>
    </row>
    <row r="2095" spans="1:8" ht="15.75" thickBot="1" x14ac:dyDescent="0.3">
      <c r="A2095">
        <f t="shared" si="33"/>
        <v>63</v>
      </c>
      <c r="B2095" s="10">
        <v>2016</v>
      </c>
      <c r="C2095" s="3" t="s">
        <v>1838</v>
      </c>
      <c r="D2095" s="3" t="s">
        <v>9</v>
      </c>
      <c r="E2095" s="4" t="s">
        <v>7</v>
      </c>
      <c r="F2095" s="11" t="s">
        <v>8</v>
      </c>
      <c r="H2095" t="str">
        <f>TRIM(SUBSTITUTE(PROPER(C2095)&amp;" "&amp;IF(OR(D2095="County",D2095="Township",D2095="Village",D2095="Charter Township"),D2095,"")&amp;IF(D2095="Township"," "&amp;"("&amp;VLOOKUP(A2095,counties,3,0)&amp;")",""),"  "," "))</f>
        <v>Springfield Charter Township Township (Oakland County)</v>
      </c>
    </row>
    <row r="2096" spans="1:8" ht="15.75" thickBot="1" x14ac:dyDescent="0.3">
      <c r="A2096">
        <f t="shared" si="33"/>
        <v>63</v>
      </c>
      <c r="B2096" s="8">
        <v>2016</v>
      </c>
      <c r="C2096" s="1" t="s">
        <v>1839</v>
      </c>
      <c r="D2096" s="1" t="s">
        <v>17</v>
      </c>
      <c r="E2096" s="2" t="s">
        <v>7</v>
      </c>
      <c r="F2096" s="9" t="s">
        <v>8</v>
      </c>
      <c r="H2096" t="str">
        <f>TRIM(SUBSTITUTE(PROPER(C2096)&amp;" "&amp;IF(OR(D2096="County",D2096="Township",D2096="Village",D2096="Charter Township"),D2096,"")&amp;IF(D2096="Township"," "&amp;"("&amp;VLOOKUP(A2096,counties,3,0)&amp;")",""),"  "," "))</f>
        <v>State Of Michigan 48Th Judicial District Court</v>
      </c>
    </row>
    <row r="2097" spans="1:8" ht="15.75" thickBot="1" x14ac:dyDescent="0.3">
      <c r="A2097">
        <f t="shared" si="33"/>
        <v>63</v>
      </c>
      <c r="B2097" s="10">
        <v>2016</v>
      </c>
      <c r="C2097" s="3" t="s">
        <v>1840</v>
      </c>
      <c r="D2097" s="3" t="s">
        <v>15</v>
      </c>
      <c r="E2097" s="4" t="s">
        <v>7</v>
      </c>
      <c r="F2097" s="11" t="s">
        <v>8</v>
      </c>
      <c r="H2097" t="str">
        <f>TRIM(SUBSTITUTE(PROPER(C2097)&amp;" "&amp;IF(OR(D2097="County",D2097="Township",D2097="Village",D2097="Charter Township"),D2097,"")&amp;IF(D2097="Township"," "&amp;"("&amp;VLOOKUP(A2097,counties,3,0)&amp;")",""),"  "," "))</f>
        <v>Sylvan Lake</v>
      </c>
    </row>
    <row r="2098" spans="1:8" ht="21.75" thickBot="1" x14ac:dyDescent="0.3">
      <c r="A2098">
        <f t="shared" si="33"/>
        <v>63</v>
      </c>
      <c r="B2098" s="8">
        <v>2016</v>
      </c>
      <c r="C2098" s="1" t="s">
        <v>1841</v>
      </c>
      <c r="D2098" s="1" t="s">
        <v>17</v>
      </c>
      <c r="E2098" s="2" t="s">
        <v>7</v>
      </c>
      <c r="F2098" s="9" t="s">
        <v>8</v>
      </c>
      <c r="H2098" t="str">
        <f>TRIM(SUBSTITUTE(PROPER(C2098)&amp;" "&amp;IF(OR(D2098="County",D2098="Township",D2098="Village",D2098="Charter Township"),D2098,"")&amp;IF(D2098="Township"," "&amp;"("&amp;VLOOKUP(A2098,counties,3,0)&amp;")",""),"  "," "))</f>
        <v>Tri-City Fire Dept/Keego Harb/Orchard Lk/Sylvan Lk</v>
      </c>
    </row>
    <row r="2099" spans="1:8" ht="15.75" thickBot="1" x14ac:dyDescent="0.3">
      <c r="A2099">
        <f t="shared" si="33"/>
        <v>63</v>
      </c>
      <c r="B2099" s="10">
        <v>2016</v>
      </c>
      <c r="C2099" s="3" t="s">
        <v>1743</v>
      </c>
      <c r="D2099" s="3" t="s">
        <v>15</v>
      </c>
      <c r="E2099" s="4" t="s">
        <v>7</v>
      </c>
      <c r="F2099" s="11" t="s">
        <v>8</v>
      </c>
      <c r="H2099" t="str">
        <f>TRIM(SUBSTITUTE(PROPER(C2099)&amp;" "&amp;IF(OR(D2099="County",D2099="Township",D2099="Village",D2099="Charter Township"),D2099,"")&amp;IF(D2099="Township"," "&amp;"("&amp;VLOOKUP(A2099,counties,3,0)&amp;")",""),"  "," "))</f>
        <v>Troy</v>
      </c>
    </row>
    <row r="2100" spans="1:8" ht="15.75" thickBot="1" x14ac:dyDescent="0.3">
      <c r="A2100">
        <f t="shared" si="33"/>
        <v>63</v>
      </c>
      <c r="B2100" s="8">
        <v>2016</v>
      </c>
      <c r="C2100" s="1" t="s">
        <v>1842</v>
      </c>
      <c r="D2100" s="1" t="s">
        <v>15</v>
      </c>
      <c r="E2100" s="2" t="s">
        <v>7</v>
      </c>
      <c r="F2100" s="9" t="s">
        <v>8</v>
      </c>
      <c r="H2100" t="str">
        <f>TRIM(SUBSTITUTE(PROPER(C2100)&amp;" "&amp;IF(OR(D2100="County",D2100="Township",D2100="Village",D2100="Charter Township"),D2100,"")&amp;IF(D2100="Township"," "&amp;"("&amp;VLOOKUP(A2100,counties,3,0)&amp;")",""),"  "," "))</f>
        <v>Walled Lake</v>
      </c>
    </row>
    <row r="2101" spans="1:8" ht="15.75" thickBot="1" x14ac:dyDescent="0.3">
      <c r="A2101">
        <f t="shared" si="33"/>
        <v>63</v>
      </c>
      <c r="B2101" s="10">
        <v>2016</v>
      </c>
      <c r="C2101" s="3" t="s">
        <v>1843</v>
      </c>
      <c r="D2101" s="3" t="s">
        <v>9</v>
      </c>
      <c r="E2101" s="4" t="s">
        <v>7</v>
      </c>
      <c r="F2101" s="11" t="s">
        <v>8</v>
      </c>
      <c r="H2101" t="str">
        <f>TRIM(SUBSTITUTE(PROPER(C2101)&amp;" "&amp;IF(OR(D2101="County",D2101="Township",D2101="Village",D2101="Charter Township"),D2101,"")&amp;IF(D2101="Township"," "&amp;"("&amp;VLOOKUP(A2101,counties,3,0)&amp;")",""),"  "," "))</f>
        <v>Waterford Charter Township (Oakland County)</v>
      </c>
    </row>
    <row r="2102" spans="1:8" ht="15.75" thickBot="1" x14ac:dyDescent="0.3">
      <c r="A2102">
        <f t="shared" si="33"/>
        <v>63</v>
      </c>
      <c r="B2102" s="8">
        <v>2016</v>
      </c>
      <c r="C2102" s="1" t="s">
        <v>1844</v>
      </c>
      <c r="D2102" s="1" t="s">
        <v>9</v>
      </c>
      <c r="E2102" s="2" t="s">
        <v>7</v>
      </c>
      <c r="F2102" s="9" t="s">
        <v>8</v>
      </c>
      <c r="H2102" t="str">
        <f>TRIM(SUBSTITUTE(PROPER(C2102)&amp;" "&amp;IF(OR(D2102="County",D2102="Township",D2102="Village",D2102="Charter Township"),D2102,"")&amp;IF(D2102="Township"," "&amp;"("&amp;VLOOKUP(A2102,counties,3,0)&amp;")",""),"  "," "))</f>
        <v>West Bloomfield Charter Township (Oakland County)</v>
      </c>
    </row>
    <row r="2103" spans="1:8" ht="15.75" thickBot="1" x14ac:dyDescent="0.3">
      <c r="A2103">
        <f t="shared" si="33"/>
        <v>63</v>
      </c>
      <c r="B2103" s="10">
        <v>2016</v>
      </c>
      <c r="C2103" s="3" t="s">
        <v>1845</v>
      </c>
      <c r="D2103" s="3" t="s">
        <v>42</v>
      </c>
      <c r="E2103" s="4" t="s">
        <v>7</v>
      </c>
      <c r="F2103" s="11" t="s">
        <v>8</v>
      </c>
      <c r="H2103" t="str">
        <f>TRIM(SUBSTITUTE(PROPER(C2103)&amp;" "&amp;IF(OR(D2103="County",D2103="Township",D2103="Village",D2103="Charter Township"),D2103,"")&amp;IF(D2103="Township"," "&amp;"("&amp;VLOOKUP(A2103,counties,3,0)&amp;")",""),"  "," "))</f>
        <v>West Bloomfield Township Public Library</v>
      </c>
    </row>
    <row r="2104" spans="1:8" ht="21.75" thickBot="1" x14ac:dyDescent="0.3">
      <c r="A2104">
        <f t="shared" si="33"/>
        <v>63</v>
      </c>
      <c r="B2104" s="8">
        <v>2016</v>
      </c>
      <c r="C2104" s="1" t="s">
        <v>1846</v>
      </c>
      <c r="D2104" s="1" t="s">
        <v>17</v>
      </c>
      <c r="E2104" s="2" t="s">
        <v>7</v>
      </c>
      <c r="F2104" s="9" t="s">
        <v>8</v>
      </c>
      <c r="H2104" t="str">
        <f>TRIM(SUBSTITUTE(PROPER(C2104)&amp;" "&amp;IF(OR(D2104="County",D2104="Township",D2104="Village",D2104="Charter Township"),D2104,"")&amp;IF(D2104="Township"," "&amp;"("&amp;VLOOKUP(A2104,counties,3,0)&amp;")",""),"  "," "))</f>
        <v>West Bloomfield Twp Parks &amp; Recreation Commission</v>
      </c>
    </row>
    <row r="2105" spans="1:8" ht="15.75" thickBot="1" x14ac:dyDescent="0.3">
      <c r="A2105">
        <f t="shared" si="33"/>
        <v>63</v>
      </c>
      <c r="B2105" s="10">
        <v>2016</v>
      </c>
      <c r="C2105" s="3" t="s">
        <v>1847</v>
      </c>
      <c r="D2105" s="3" t="s">
        <v>9</v>
      </c>
      <c r="E2105" s="4" t="s">
        <v>7</v>
      </c>
      <c r="F2105" s="11" t="s">
        <v>8</v>
      </c>
      <c r="H2105" t="str">
        <f>TRIM(SUBSTITUTE(PROPER(C2105)&amp;" "&amp;IF(OR(D2105="County",D2105="Township",D2105="Village",D2105="Charter Township"),D2105,"")&amp;IF(D2105="Township"," "&amp;"("&amp;VLOOKUP(A2105,counties,3,0)&amp;")",""),"  "," "))</f>
        <v>White Lake Charter Township Township (Oakland County)</v>
      </c>
    </row>
    <row r="2106" spans="1:8" ht="15.75" thickBot="1" x14ac:dyDescent="0.3">
      <c r="A2106">
        <f t="shared" si="33"/>
        <v>63</v>
      </c>
      <c r="B2106" s="8">
        <v>2016</v>
      </c>
      <c r="C2106" s="1" t="s">
        <v>1848</v>
      </c>
      <c r="D2106" s="1" t="s">
        <v>42</v>
      </c>
      <c r="E2106" s="2" t="s">
        <v>7</v>
      </c>
      <c r="F2106" s="9" t="s">
        <v>8</v>
      </c>
      <c r="H2106" t="str">
        <f>TRIM(SUBSTITUTE(PROPER(C2106)&amp;" "&amp;IF(OR(D2106="County",D2106="Township",D2106="Village",D2106="Charter Township"),D2106,"")&amp;IF(D2106="Township"," "&amp;"("&amp;VLOOKUP(A2106,counties,3,0)&amp;")",""),"  "," "))</f>
        <v>White Lake Township Public Library</v>
      </c>
    </row>
    <row r="2107" spans="1:8" ht="15.75" thickBot="1" x14ac:dyDescent="0.3">
      <c r="A2107">
        <f t="shared" si="33"/>
        <v>63</v>
      </c>
      <c r="B2107" s="10">
        <v>2016</v>
      </c>
      <c r="C2107" s="3" t="s">
        <v>1849</v>
      </c>
      <c r="D2107" s="3" t="s">
        <v>15</v>
      </c>
      <c r="E2107" s="4" t="s">
        <v>7</v>
      </c>
      <c r="F2107" s="11" t="s">
        <v>8</v>
      </c>
      <c r="H2107" t="str">
        <f>TRIM(SUBSTITUTE(PROPER(C2107)&amp;" "&amp;IF(OR(D2107="County",D2107="Township",D2107="Village",D2107="Charter Township"),D2107,"")&amp;IF(D2107="Township"," "&amp;"("&amp;VLOOKUP(A2107,counties,3,0)&amp;")",""),"  "," "))</f>
        <v>Wixom</v>
      </c>
    </row>
    <row r="2108" spans="1:8" ht="15.75" thickBot="1" x14ac:dyDescent="0.3">
      <c r="A2108">
        <f t="shared" si="33"/>
        <v>63</v>
      </c>
      <c r="B2108" s="8">
        <v>2016</v>
      </c>
      <c r="C2108" s="1" t="s">
        <v>1850</v>
      </c>
      <c r="D2108" s="1" t="s">
        <v>42</v>
      </c>
      <c r="E2108" s="2" t="s">
        <v>7</v>
      </c>
      <c r="F2108" s="9" t="s">
        <v>8</v>
      </c>
      <c r="H2108" t="str">
        <f>TRIM(SUBSTITUTE(PROPER(C2108)&amp;" "&amp;IF(OR(D2108="County",D2108="Township",D2108="Village",D2108="Charter Township"),D2108,"")&amp;IF(D2108="Township"," "&amp;"("&amp;VLOOKUP(A2108,counties,3,0)&amp;")",""),"  "," "))</f>
        <v>Wixom Public Library</v>
      </c>
    </row>
    <row r="2109" spans="1:8" ht="15.75" thickBot="1" x14ac:dyDescent="0.3">
      <c r="A2109">
        <f t="shared" si="33"/>
        <v>63</v>
      </c>
      <c r="B2109" s="12">
        <v>2016</v>
      </c>
      <c r="C2109" s="13" t="s">
        <v>1851</v>
      </c>
      <c r="D2109" s="13" t="s">
        <v>21</v>
      </c>
      <c r="E2109" s="14" t="s">
        <v>7</v>
      </c>
      <c r="F2109" s="15" t="s">
        <v>8</v>
      </c>
      <c r="H2109" t="str">
        <f>TRIM(SUBSTITUTE(PROPER(C2109)&amp;" "&amp;IF(OR(D2109="County",D2109="Township",D2109="Village",D2109="Charter Township"),D2109,"")&amp;IF(D2109="Township"," "&amp;"("&amp;VLOOKUP(A2109,counties,3,0)&amp;")",""),"  "," "))</f>
        <v>Wolverine Lake Village</v>
      </c>
    </row>
    <row r="2110" spans="1:8" ht="16.5" thickTop="1" thickBot="1" x14ac:dyDescent="0.3">
      <c r="A2110">
        <f t="shared" si="33"/>
        <v>64</v>
      </c>
      <c r="B2110" s="5" t="s">
        <v>0</v>
      </c>
      <c r="C2110" s="6" t="s">
        <v>1</v>
      </c>
      <c r="D2110" s="6" t="s">
        <v>2</v>
      </c>
      <c r="E2110" s="6" t="s">
        <v>3</v>
      </c>
      <c r="F2110" s="7" t="s">
        <v>4</v>
      </c>
      <c r="H2110" t="str">
        <f>TRIM(SUBSTITUTE(PROPER(C2110)&amp;" "&amp;IF(OR(D2110="County",D2110="Township",D2110="Village",D2110="Charter Township"),D2110,"")&amp;IF(D2110="Township"," "&amp;"("&amp;VLOOKUP(A2110,counties,3,0)&amp;")",""),"  "," "))</f>
        <v>Municipality</v>
      </c>
    </row>
    <row r="2111" spans="1:8" ht="15.75" thickBot="1" x14ac:dyDescent="0.3">
      <c r="A2111">
        <f t="shared" si="33"/>
        <v>64</v>
      </c>
      <c r="B2111" s="8">
        <v>2016</v>
      </c>
      <c r="C2111" s="1" t="s">
        <v>1852</v>
      </c>
      <c r="D2111" s="1" t="s">
        <v>9</v>
      </c>
      <c r="E2111" s="2" t="s">
        <v>7</v>
      </c>
      <c r="F2111" s="9" t="s">
        <v>19</v>
      </c>
      <c r="H2111" t="str">
        <f>TRIM(SUBSTITUTE(PROPER(C2111)&amp;" "&amp;IF(OR(D2111="County",D2111="Township",D2111="Village",D2111="Charter Township"),D2111,"")&amp;IF(D2111="Township"," "&amp;"("&amp;VLOOKUP(A2111,counties,3,0)&amp;")",""),"  "," "))</f>
        <v>Benona Township (Oceana County)</v>
      </c>
    </row>
    <row r="2112" spans="1:8" ht="15.75" thickBot="1" x14ac:dyDescent="0.3">
      <c r="A2112">
        <f t="shared" si="33"/>
        <v>64</v>
      </c>
      <c r="B2112" s="10">
        <v>2016</v>
      </c>
      <c r="C2112" s="3" t="s">
        <v>1645</v>
      </c>
      <c r="D2112" s="3" t="s">
        <v>9</v>
      </c>
      <c r="E2112" s="4" t="s">
        <v>7</v>
      </c>
      <c r="F2112" s="11" t="s">
        <v>8</v>
      </c>
      <c r="H2112" t="str">
        <f>TRIM(SUBSTITUTE(PROPER(C2112)&amp;" "&amp;IF(OR(D2112="County",D2112="Township",D2112="Village",D2112="Charter Township"),D2112,"")&amp;IF(D2112="Township"," "&amp;"("&amp;VLOOKUP(A2112,counties,3,0)&amp;")",""),"  "," "))</f>
        <v>Crystal Township (Oceana County)</v>
      </c>
    </row>
    <row r="2113" spans="1:8" ht="15.75" thickBot="1" x14ac:dyDescent="0.3">
      <c r="A2113">
        <f t="shared" si="33"/>
        <v>64</v>
      </c>
      <c r="B2113" s="8">
        <v>2016</v>
      </c>
      <c r="C2113" s="1" t="s">
        <v>1853</v>
      </c>
      <c r="D2113" s="1" t="s">
        <v>9</v>
      </c>
      <c r="E2113" s="2" t="s">
        <v>7</v>
      </c>
      <c r="F2113" s="9" t="s">
        <v>8</v>
      </c>
      <c r="H2113" t="str">
        <f>TRIM(SUBSTITUTE(PROPER(C2113)&amp;" "&amp;IF(OR(D2113="County",D2113="Township",D2113="Village",D2113="Charter Township"),D2113,"")&amp;IF(D2113="Township"," "&amp;"("&amp;VLOOKUP(A2113,counties,3,0)&amp;")",""),"  "," "))</f>
        <v>Golden Township (Oceana County)</v>
      </c>
    </row>
    <row r="2114" spans="1:8" ht="15.75" thickBot="1" x14ac:dyDescent="0.3">
      <c r="A2114">
        <f t="shared" si="33"/>
        <v>64</v>
      </c>
      <c r="B2114" s="10">
        <v>2016</v>
      </c>
      <c r="C2114" s="3" t="s">
        <v>449</v>
      </c>
      <c r="D2114" s="3" t="s">
        <v>9</v>
      </c>
      <c r="E2114" s="4" t="s">
        <v>7</v>
      </c>
      <c r="F2114" s="11" t="s">
        <v>8</v>
      </c>
      <c r="H2114" t="str">
        <f>TRIM(SUBSTITUTE(PROPER(C2114)&amp;" "&amp;IF(OR(D2114="County",D2114="Township",D2114="Village",D2114="Charter Township"),D2114,"")&amp;IF(D2114="Township"," "&amp;"("&amp;VLOOKUP(A2114,counties,3,0)&amp;")",""),"  "," "))</f>
        <v>Grant Township (Oceana County)</v>
      </c>
    </row>
    <row r="2115" spans="1:8" ht="15.75" thickBot="1" x14ac:dyDescent="0.3">
      <c r="A2115">
        <f t="shared" ref="A2115:A2178" si="34">IF(B2115="Year",A2114+1,A2114)</f>
        <v>64</v>
      </c>
      <c r="B2115" s="8">
        <v>2016</v>
      </c>
      <c r="C2115" s="1" t="s">
        <v>1854</v>
      </c>
      <c r="D2115" s="1" t="s">
        <v>15</v>
      </c>
      <c r="E2115" s="2" t="s">
        <v>7</v>
      </c>
      <c r="F2115" s="9" t="s">
        <v>8</v>
      </c>
      <c r="H2115" t="str">
        <f>TRIM(SUBSTITUTE(PROPER(C2115)&amp;" "&amp;IF(OR(D2115="County",D2115="Township",D2115="Village",D2115="Charter Township"),D2115,"")&amp;IF(D2115="Township"," "&amp;"("&amp;VLOOKUP(A2115,counties,3,0)&amp;")",""),"  "," "))</f>
        <v>Hart</v>
      </c>
    </row>
    <row r="2116" spans="1:8" ht="15.75" thickBot="1" x14ac:dyDescent="0.3">
      <c r="A2116">
        <f t="shared" si="34"/>
        <v>64</v>
      </c>
      <c r="B2116" s="10">
        <v>2016</v>
      </c>
      <c r="C2116" s="3" t="s">
        <v>1854</v>
      </c>
      <c r="D2116" s="3" t="s">
        <v>9</v>
      </c>
      <c r="E2116" s="4" t="s">
        <v>7</v>
      </c>
      <c r="F2116" s="11" t="s">
        <v>8</v>
      </c>
      <c r="H2116" t="str">
        <f>TRIM(SUBSTITUTE(PROPER(C2116)&amp;" "&amp;IF(OR(D2116="County",D2116="Township",D2116="Village",D2116="Charter Township"),D2116,"")&amp;IF(D2116="Township"," "&amp;"("&amp;VLOOKUP(A2116,counties,3,0)&amp;")",""),"  "," "))</f>
        <v>Hart Township (Oceana County)</v>
      </c>
    </row>
    <row r="2117" spans="1:8" ht="15.75" thickBot="1" x14ac:dyDescent="0.3">
      <c r="A2117">
        <f t="shared" si="34"/>
        <v>64</v>
      </c>
      <c r="B2117" s="8">
        <v>2016</v>
      </c>
      <c r="C2117" s="1" t="s">
        <v>1855</v>
      </c>
      <c r="D2117" s="1" t="s">
        <v>17</v>
      </c>
      <c r="E2117" s="2" t="s">
        <v>7</v>
      </c>
      <c r="F2117" s="9" t="s">
        <v>8</v>
      </c>
      <c r="H2117" t="str">
        <f>TRIM(SUBSTITUTE(PROPER(C2117)&amp;" "&amp;IF(OR(D2117="County",D2117="Township",D2117="Village",D2117="Charter Township"),D2117,"")&amp;IF(D2117="Township"," "&amp;"("&amp;VLOOKUP(A2117,counties,3,0)&amp;")",""),"  "," "))</f>
        <v>Hart Area Fire Administrative Board</v>
      </c>
    </row>
    <row r="2118" spans="1:8" ht="15.75" thickBot="1" x14ac:dyDescent="0.3">
      <c r="A2118">
        <f t="shared" si="34"/>
        <v>64</v>
      </c>
      <c r="B2118" s="10">
        <v>2016</v>
      </c>
      <c r="C2118" s="3" t="s">
        <v>1856</v>
      </c>
      <c r="D2118" s="3" t="s">
        <v>42</v>
      </c>
      <c r="E2118" s="4" t="s">
        <v>7</v>
      </c>
      <c r="F2118" s="11" t="s">
        <v>19</v>
      </c>
      <c r="H2118" t="str">
        <f>TRIM(SUBSTITUTE(PROPER(C2118)&amp;" "&amp;IF(OR(D2118="County",D2118="Township",D2118="Village",D2118="Charter Township"),D2118,"")&amp;IF(D2118="Township"," "&amp;"("&amp;VLOOKUP(A2118,counties,3,0)&amp;")",""),"  "," "))</f>
        <v>Hart Area Public Library</v>
      </c>
    </row>
    <row r="2119" spans="1:8" ht="15.75" thickBot="1" x14ac:dyDescent="0.3">
      <c r="A2119">
        <f t="shared" si="34"/>
        <v>64</v>
      </c>
      <c r="B2119" s="8">
        <v>2016</v>
      </c>
      <c r="C2119" s="1" t="s">
        <v>1857</v>
      </c>
      <c r="D2119" s="1" t="s">
        <v>21</v>
      </c>
      <c r="E2119" s="2" t="s">
        <v>7</v>
      </c>
      <c r="F2119" s="9" t="s">
        <v>8</v>
      </c>
      <c r="H2119" t="str">
        <f>TRIM(SUBSTITUTE(PROPER(C2119)&amp;" "&amp;IF(OR(D2119="County",D2119="Township",D2119="Village",D2119="Charter Township"),D2119,"")&amp;IF(D2119="Township"," "&amp;"("&amp;VLOOKUP(A2119,counties,3,0)&amp;")",""),"  "," "))</f>
        <v>Hesperia Village</v>
      </c>
    </row>
    <row r="2120" spans="1:8" ht="15.75" thickBot="1" x14ac:dyDescent="0.3">
      <c r="A2120">
        <f t="shared" si="34"/>
        <v>64</v>
      </c>
      <c r="B2120" s="10">
        <v>2016</v>
      </c>
      <c r="C2120" s="3" t="s">
        <v>1858</v>
      </c>
      <c r="D2120" s="3" t="s">
        <v>17</v>
      </c>
      <c r="E2120" s="4" t="s">
        <v>7</v>
      </c>
      <c r="F2120" s="11" t="s">
        <v>8</v>
      </c>
      <c r="H2120" t="str">
        <f>TRIM(SUBSTITUTE(PROPER(C2120)&amp;" "&amp;IF(OR(D2120="County",D2120="Township",D2120="Village",D2120="Charter Township"),D2120,"")&amp;IF(D2120="Township"," "&amp;"("&amp;VLOOKUP(A2120,counties,3,0)&amp;")",""),"  "," "))</f>
        <v>Hesperia Area Fire Authority</v>
      </c>
    </row>
    <row r="2121" spans="1:8" ht="15.75" thickBot="1" x14ac:dyDescent="0.3">
      <c r="A2121">
        <f t="shared" si="34"/>
        <v>64</v>
      </c>
      <c r="B2121" s="8">
        <v>2016</v>
      </c>
      <c r="C2121" s="1" t="s">
        <v>1859</v>
      </c>
      <c r="D2121" s="1" t="s">
        <v>9</v>
      </c>
      <c r="E2121" s="2" t="s">
        <v>7</v>
      </c>
      <c r="F2121" s="9" t="s">
        <v>8</v>
      </c>
      <c r="H2121" t="str">
        <f>TRIM(SUBSTITUTE(PROPER(C2121)&amp;" "&amp;IF(OR(D2121="County",D2121="Township",D2121="Village",D2121="Charter Township"),D2121,"")&amp;IF(D2121="Township"," "&amp;"("&amp;VLOOKUP(A2121,counties,3,0)&amp;")",""),"  "," "))</f>
        <v>Newfield Township (Oceana County)</v>
      </c>
    </row>
    <row r="2122" spans="1:8" ht="15.75" thickBot="1" x14ac:dyDescent="0.3">
      <c r="A2122">
        <f t="shared" si="34"/>
        <v>64</v>
      </c>
      <c r="B2122" s="10">
        <v>2016</v>
      </c>
      <c r="C2122" s="3" t="s">
        <v>1860</v>
      </c>
      <c r="D2122" s="3" t="s">
        <v>6</v>
      </c>
      <c r="E2122" s="4" t="s">
        <v>7</v>
      </c>
      <c r="F2122" s="11" t="s">
        <v>8</v>
      </c>
      <c r="H2122" t="str">
        <f>TRIM(SUBSTITUTE(PROPER(C2122)&amp;" "&amp;IF(OR(D2122="County",D2122="Township",D2122="Village",D2122="Charter Township"),D2122,"")&amp;IF(D2122="Township"," "&amp;"("&amp;VLOOKUP(A2122,counties,3,0)&amp;")",""),"  "," "))</f>
        <v>Oceana County</v>
      </c>
    </row>
    <row r="2123" spans="1:8" ht="15.75" thickBot="1" x14ac:dyDescent="0.3">
      <c r="A2123">
        <f t="shared" si="34"/>
        <v>64</v>
      </c>
      <c r="B2123" s="8">
        <v>2016</v>
      </c>
      <c r="C2123" s="1" t="s">
        <v>1861</v>
      </c>
      <c r="D2123" s="1" t="s">
        <v>17</v>
      </c>
      <c r="E2123" s="2" t="s">
        <v>7</v>
      </c>
      <c r="F2123" s="9" t="s">
        <v>8</v>
      </c>
      <c r="H2123" t="str">
        <f>TRIM(SUBSTITUTE(PROPER(C2123)&amp;" "&amp;IF(OR(D2123="County",D2123="Township",D2123="Village",D2123="Charter Township"),D2123,"")&amp;IF(D2123="Township"," "&amp;"("&amp;VLOOKUP(A2123,counties,3,0)&amp;")",""),"  "," "))</f>
        <v>Oceana County Medical Care Facility</v>
      </c>
    </row>
    <row r="2124" spans="1:8" ht="15.75" thickBot="1" x14ac:dyDescent="0.3">
      <c r="A2124">
        <f t="shared" si="34"/>
        <v>64</v>
      </c>
      <c r="B2124" s="10">
        <v>2016</v>
      </c>
      <c r="C2124" s="3" t="s">
        <v>1862</v>
      </c>
      <c r="D2124" s="3" t="s">
        <v>11</v>
      </c>
      <c r="E2124" s="4" t="s">
        <v>7</v>
      </c>
      <c r="F2124" s="11" t="s">
        <v>8</v>
      </c>
      <c r="H2124" t="str">
        <f>TRIM(SUBSTITUTE(PROPER(C2124)&amp;" "&amp;IF(OR(D2124="County",D2124="Township",D2124="Village",D2124="Charter Township"),D2124,"")&amp;IF(D2124="Township"," "&amp;"("&amp;VLOOKUP(A2124,counties,3,0)&amp;")",""),"  "," "))</f>
        <v>Oceana County Road Commission</v>
      </c>
    </row>
    <row r="2125" spans="1:8" ht="15.75" thickBot="1" x14ac:dyDescent="0.3">
      <c r="A2125">
        <f t="shared" si="34"/>
        <v>64</v>
      </c>
      <c r="B2125" s="8">
        <v>2016</v>
      </c>
      <c r="C2125" s="1" t="s">
        <v>1863</v>
      </c>
      <c r="D2125" s="1" t="s">
        <v>9</v>
      </c>
      <c r="E2125" s="2" t="s">
        <v>7</v>
      </c>
      <c r="F2125" s="9" t="s">
        <v>8</v>
      </c>
      <c r="H2125" t="str">
        <f>TRIM(SUBSTITUTE(PROPER(C2125)&amp;" "&amp;IF(OR(D2125="County",D2125="Township",D2125="Village",D2125="Charter Township"),D2125,"")&amp;IF(D2125="Township"," "&amp;"("&amp;VLOOKUP(A2125,counties,3,0)&amp;")",""),"  "," "))</f>
        <v>Otto Township (Oceana County)</v>
      </c>
    </row>
    <row r="2126" spans="1:8" ht="15.75" thickBot="1" x14ac:dyDescent="0.3">
      <c r="A2126">
        <f t="shared" si="34"/>
        <v>64</v>
      </c>
      <c r="B2126" s="10">
        <v>2016</v>
      </c>
      <c r="C2126" s="3" t="s">
        <v>1864</v>
      </c>
      <c r="D2126" s="3" t="s">
        <v>9</v>
      </c>
      <c r="E2126" s="4" t="s">
        <v>7</v>
      </c>
      <c r="F2126" s="11" t="s">
        <v>19</v>
      </c>
      <c r="H2126" t="str">
        <f>TRIM(SUBSTITUTE(PROPER(C2126)&amp;" "&amp;IF(OR(D2126="County",D2126="Township",D2126="Village",D2126="Charter Township"),D2126,"")&amp;IF(D2126="Township"," "&amp;"("&amp;VLOOKUP(A2126,counties,3,0)&amp;")",""),"  "," "))</f>
        <v>Pentwater Township (Oceana County)</v>
      </c>
    </row>
    <row r="2127" spans="1:8" ht="15.75" thickBot="1" x14ac:dyDescent="0.3">
      <c r="A2127">
        <f t="shared" si="34"/>
        <v>64</v>
      </c>
      <c r="B2127" s="8">
        <v>2016</v>
      </c>
      <c r="C2127" s="1" t="s">
        <v>1864</v>
      </c>
      <c r="D2127" s="1" t="s">
        <v>21</v>
      </c>
      <c r="E2127" s="2" t="s">
        <v>7</v>
      </c>
      <c r="F2127" s="9" t="s">
        <v>8</v>
      </c>
      <c r="H2127" t="str">
        <f>TRIM(SUBSTITUTE(PROPER(C2127)&amp;" "&amp;IF(OR(D2127="County",D2127="Township",D2127="Village",D2127="Charter Township"),D2127,"")&amp;IF(D2127="Township"," "&amp;"("&amp;VLOOKUP(A2127,counties,3,0)&amp;")",""),"  "," "))</f>
        <v>Pentwater Village</v>
      </c>
    </row>
    <row r="2128" spans="1:8" ht="15.75" thickBot="1" x14ac:dyDescent="0.3">
      <c r="A2128">
        <f t="shared" si="34"/>
        <v>64</v>
      </c>
      <c r="B2128" s="10">
        <v>2016</v>
      </c>
      <c r="C2128" s="3" t="s">
        <v>1865</v>
      </c>
      <c r="D2128" s="3" t="s">
        <v>9</v>
      </c>
      <c r="E2128" s="4" t="s">
        <v>7</v>
      </c>
      <c r="F2128" s="11" t="s">
        <v>8</v>
      </c>
      <c r="H2128" t="str">
        <f>TRIM(SUBSTITUTE(PROPER(C2128)&amp;" "&amp;IF(OR(D2128="County",D2128="Township",D2128="Village",D2128="Charter Township"),D2128,"")&amp;IF(D2128="Township"," "&amp;"("&amp;VLOOKUP(A2128,counties,3,0)&amp;")",""),"  "," "))</f>
        <v>Shelby Township (Oceana County)</v>
      </c>
    </row>
    <row r="2129" spans="1:8" ht="15.75" thickBot="1" x14ac:dyDescent="0.3">
      <c r="A2129">
        <f t="shared" si="34"/>
        <v>64</v>
      </c>
      <c r="B2129" s="8">
        <v>2016</v>
      </c>
      <c r="C2129" s="1" t="s">
        <v>1865</v>
      </c>
      <c r="D2129" s="1" t="s">
        <v>21</v>
      </c>
      <c r="E2129" s="2" t="s">
        <v>7</v>
      </c>
      <c r="F2129" s="9" t="s">
        <v>19</v>
      </c>
      <c r="H2129" t="str">
        <f>TRIM(SUBSTITUTE(PROPER(C2129)&amp;" "&amp;IF(OR(D2129="County",D2129="Township",D2129="Village",D2129="Charter Township"),D2129,"")&amp;IF(D2129="Township"," "&amp;"("&amp;VLOOKUP(A2129,counties,3,0)&amp;")",""),"  "," "))</f>
        <v>Shelby Village</v>
      </c>
    </row>
    <row r="2130" spans="1:8" ht="15.75" thickBot="1" x14ac:dyDescent="0.3">
      <c r="A2130">
        <f t="shared" si="34"/>
        <v>64</v>
      </c>
      <c r="B2130" s="10">
        <v>2016</v>
      </c>
      <c r="C2130" s="3" t="s">
        <v>1866</v>
      </c>
      <c r="D2130" s="3" t="s">
        <v>42</v>
      </c>
      <c r="E2130" s="4" t="s">
        <v>7</v>
      </c>
      <c r="F2130" s="11" t="s">
        <v>19</v>
      </c>
      <c r="H2130" t="str">
        <f>TRIM(SUBSTITUTE(PROPER(C2130)&amp;" "&amp;IF(OR(D2130="County",D2130="Township",D2130="Village",D2130="Charter Township"),D2130,"")&amp;IF(D2130="Township"," "&amp;"("&amp;VLOOKUP(A2130,counties,3,0)&amp;")",""),"  "," "))</f>
        <v>Shelby Area District Library</v>
      </c>
    </row>
    <row r="2131" spans="1:8" ht="15.75" thickBot="1" x14ac:dyDescent="0.3">
      <c r="A2131">
        <f t="shared" si="34"/>
        <v>64</v>
      </c>
      <c r="B2131" s="8">
        <v>2016</v>
      </c>
      <c r="C2131" s="1" t="s">
        <v>1867</v>
      </c>
      <c r="D2131" s="1" t="s">
        <v>17</v>
      </c>
      <c r="E2131" s="2" t="s">
        <v>7</v>
      </c>
      <c r="F2131" s="9" t="s">
        <v>8</v>
      </c>
      <c r="H2131" t="str">
        <f>TRIM(SUBSTITUTE(PROPER(C2131)&amp;" "&amp;IF(OR(D2131="County",D2131="Township",D2131="Village",D2131="Charter Township"),D2131,"")&amp;IF(D2131="Township"," "&amp;"("&amp;VLOOKUP(A2131,counties,3,0)&amp;")",""),"  "," "))</f>
        <v>Shelby-Benona Fire Department</v>
      </c>
    </row>
    <row r="2132" spans="1:8" ht="15.75" thickBot="1" x14ac:dyDescent="0.3">
      <c r="A2132">
        <f t="shared" si="34"/>
        <v>64</v>
      </c>
      <c r="B2132" s="10">
        <v>2016</v>
      </c>
      <c r="C2132" s="3" t="s">
        <v>1868</v>
      </c>
      <c r="D2132" s="3" t="s">
        <v>21</v>
      </c>
      <c r="E2132" s="4" t="s">
        <v>7</v>
      </c>
      <c r="F2132" s="11" t="s">
        <v>8</v>
      </c>
      <c r="H2132" t="str">
        <f>TRIM(SUBSTITUTE(PROPER(C2132)&amp;" "&amp;IF(OR(D2132="County",D2132="Township",D2132="Village",D2132="Charter Township"),D2132,"")&amp;IF(D2132="Township"," "&amp;"("&amp;VLOOKUP(A2132,counties,3,0)&amp;")",""),"  "," "))</f>
        <v>Walkerville Village</v>
      </c>
    </row>
    <row r="2133" spans="1:8" ht="15.75" thickBot="1" x14ac:dyDescent="0.3">
      <c r="A2133">
        <f t="shared" si="34"/>
        <v>64</v>
      </c>
      <c r="B2133" s="8">
        <v>2016</v>
      </c>
      <c r="C2133" s="1" t="s">
        <v>1869</v>
      </c>
      <c r="D2133" s="1" t="s">
        <v>17</v>
      </c>
      <c r="E2133" s="2" t="s">
        <v>7</v>
      </c>
      <c r="F2133" s="9" t="s">
        <v>8</v>
      </c>
      <c r="H2133" t="str">
        <f>TRIM(SUBSTITUTE(PROPER(C2133)&amp;" "&amp;IF(OR(D2133="County",D2133="Township",D2133="Village",D2133="Charter Township"),D2133,"")&amp;IF(D2133="Township"," "&amp;"("&amp;VLOOKUP(A2133,counties,3,0)&amp;")",""),"  "," "))</f>
        <v>Walkerville Area Fire And Rescue Dept</v>
      </c>
    </row>
    <row r="2134" spans="1:8" ht="15.75" thickBot="1" x14ac:dyDescent="0.3">
      <c r="A2134">
        <f t="shared" si="34"/>
        <v>64</v>
      </c>
      <c r="B2134" s="12">
        <v>2016</v>
      </c>
      <c r="C2134" s="13" t="s">
        <v>1870</v>
      </c>
      <c r="D2134" s="13" t="s">
        <v>9</v>
      </c>
      <c r="E2134" s="14" t="s">
        <v>7</v>
      </c>
      <c r="F2134" s="15" t="s">
        <v>8</v>
      </c>
      <c r="H2134" t="str">
        <f>TRIM(SUBSTITUTE(PROPER(C2134)&amp;" "&amp;IF(OR(D2134="County",D2134="Township",D2134="Village",D2134="Charter Township"),D2134,"")&amp;IF(D2134="Township"," "&amp;"("&amp;VLOOKUP(A2134,counties,3,0)&amp;")",""),"  "," "))</f>
        <v>Weare Township (Oceana County)</v>
      </c>
    </row>
    <row r="2135" spans="1:8" ht="16.5" thickTop="1" thickBot="1" x14ac:dyDescent="0.3">
      <c r="A2135">
        <f t="shared" si="34"/>
        <v>65</v>
      </c>
      <c r="B2135" s="5" t="s">
        <v>0</v>
      </c>
      <c r="C2135" s="6" t="s">
        <v>1</v>
      </c>
      <c r="D2135" s="6" t="s">
        <v>2</v>
      </c>
      <c r="E2135" s="6" t="s">
        <v>3</v>
      </c>
      <c r="F2135" s="7" t="s">
        <v>4</v>
      </c>
      <c r="H2135" t="str">
        <f>TRIM(SUBSTITUTE(PROPER(C2135)&amp;" "&amp;IF(OR(D2135="County",D2135="Township",D2135="Village",D2135="Charter Township"),D2135,"")&amp;IF(D2135="Township"," "&amp;"("&amp;VLOOKUP(A2135,counties,3,0)&amp;")",""),"  "," "))</f>
        <v>Municipality</v>
      </c>
    </row>
    <row r="2136" spans="1:8" ht="15.75" thickBot="1" x14ac:dyDescent="0.3">
      <c r="A2136">
        <f t="shared" si="34"/>
        <v>65</v>
      </c>
      <c r="B2136" s="8">
        <v>2016</v>
      </c>
      <c r="C2136" s="1" t="s">
        <v>1871</v>
      </c>
      <c r="D2136" s="1" t="s">
        <v>9</v>
      </c>
      <c r="E2136" s="2" t="s">
        <v>7</v>
      </c>
      <c r="F2136" s="9" t="s">
        <v>8</v>
      </c>
      <c r="H2136" t="str">
        <f>TRIM(SUBSTITUTE(PROPER(C2136)&amp;" "&amp;IF(OR(D2136="County",D2136="Township",D2136="Village",D2136="Charter Township"),D2136,"")&amp;IF(D2136="Township"," "&amp;"("&amp;VLOOKUP(A2136,counties,3,0)&amp;")",""),"  "," "))</f>
        <v>Cumming Township (Ogemaw County)</v>
      </c>
    </row>
    <row r="2137" spans="1:8" ht="15.75" thickBot="1" x14ac:dyDescent="0.3">
      <c r="A2137">
        <f t="shared" si="34"/>
        <v>65</v>
      </c>
      <c r="B2137" s="10">
        <v>2016</v>
      </c>
      <c r="C2137" s="3" t="s">
        <v>1872</v>
      </c>
      <c r="D2137" s="3" t="s">
        <v>17</v>
      </c>
      <c r="E2137" s="4" t="s">
        <v>7</v>
      </c>
      <c r="F2137" s="11" t="s">
        <v>8</v>
      </c>
      <c r="H2137" t="str">
        <f>TRIM(SUBSTITUTE(PROPER(C2137)&amp;" "&amp;IF(OR(D2137="County",D2137="Township",D2137="Village",D2137="Charter Township"),D2137,"")&amp;IF(D2137="Township"," "&amp;"("&amp;VLOOKUP(A2137,counties,3,0)&amp;")",""),"  "," "))</f>
        <v>District Health Department #2 Ogemaw County</v>
      </c>
    </row>
    <row r="2138" spans="1:8" ht="15.75" thickBot="1" x14ac:dyDescent="0.3">
      <c r="A2138">
        <f t="shared" si="34"/>
        <v>65</v>
      </c>
      <c r="B2138" s="8">
        <v>2016</v>
      </c>
      <c r="C2138" s="1" t="s">
        <v>1873</v>
      </c>
      <c r="D2138" s="1" t="s">
        <v>9</v>
      </c>
      <c r="E2138" s="2" t="s">
        <v>7</v>
      </c>
      <c r="F2138" s="9" t="s">
        <v>19</v>
      </c>
      <c r="H2138" t="str">
        <f>TRIM(SUBSTITUTE(PROPER(C2138)&amp;" "&amp;IF(OR(D2138="County",D2138="Township",D2138="Village",D2138="Charter Township"),D2138,"")&amp;IF(D2138="Township"," "&amp;"("&amp;VLOOKUP(A2138,counties,3,0)&amp;")",""),"  "," "))</f>
        <v>Foster Township (Ogemaw County)</v>
      </c>
    </row>
    <row r="2139" spans="1:8" ht="15.75" thickBot="1" x14ac:dyDescent="0.3">
      <c r="A2139">
        <f t="shared" si="34"/>
        <v>65</v>
      </c>
      <c r="B2139" s="10">
        <v>2016</v>
      </c>
      <c r="C2139" s="3" t="s">
        <v>1874</v>
      </c>
      <c r="D2139" s="3" t="s">
        <v>9</v>
      </c>
      <c r="E2139" s="4" t="s">
        <v>7</v>
      </c>
      <c r="F2139" s="11" t="s">
        <v>8</v>
      </c>
      <c r="H2139" t="str">
        <f>TRIM(SUBSTITUTE(PROPER(C2139)&amp;" "&amp;IF(OR(D2139="County",D2139="Township",D2139="Village",D2139="Charter Township"),D2139,"")&amp;IF(D2139="Township"," "&amp;"("&amp;VLOOKUP(A2139,counties,3,0)&amp;")",""),"  "," "))</f>
        <v>Goodar Township (Ogemaw County)</v>
      </c>
    </row>
    <row r="2140" spans="1:8" ht="15.75" thickBot="1" x14ac:dyDescent="0.3">
      <c r="A2140">
        <f t="shared" si="34"/>
        <v>65</v>
      </c>
      <c r="B2140" s="8">
        <v>2016</v>
      </c>
      <c r="C2140" s="1" t="s">
        <v>1875</v>
      </c>
      <c r="D2140" s="1" t="s">
        <v>9</v>
      </c>
      <c r="E2140" s="2" t="s">
        <v>7</v>
      </c>
      <c r="F2140" s="9" t="s">
        <v>8</v>
      </c>
      <c r="H2140" t="str">
        <f>TRIM(SUBSTITUTE(PROPER(C2140)&amp;" "&amp;IF(OR(D2140="County",D2140="Township",D2140="Village",D2140="Charter Township"),D2140,"")&amp;IF(D2140="Township"," "&amp;"("&amp;VLOOKUP(A2140,counties,3,0)&amp;")",""),"  "," "))</f>
        <v>Hill Township (Ogemaw County)</v>
      </c>
    </row>
    <row r="2141" spans="1:8" ht="15.75" thickBot="1" x14ac:dyDescent="0.3">
      <c r="A2141">
        <f t="shared" si="34"/>
        <v>65</v>
      </c>
      <c r="B2141" s="10">
        <v>2016</v>
      </c>
      <c r="C2141" s="3" t="s">
        <v>1876</v>
      </c>
      <c r="D2141" s="3" t="s">
        <v>9</v>
      </c>
      <c r="E2141" s="4" t="s">
        <v>7</v>
      </c>
      <c r="F2141" s="11" t="s">
        <v>8</v>
      </c>
      <c r="H2141" t="str">
        <f>TRIM(SUBSTITUTE(PROPER(C2141)&amp;" "&amp;IF(OR(D2141="County",D2141="Township",D2141="Village",D2141="Charter Township"),D2141,"")&amp;IF(D2141="Township"," "&amp;"("&amp;VLOOKUP(A2141,counties,3,0)&amp;")",""),"  "," "))</f>
        <v>Logan Township (Ogemaw County)</v>
      </c>
    </row>
    <row r="2142" spans="1:8" ht="15.75" thickBot="1" x14ac:dyDescent="0.3">
      <c r="A2142">
        <f t="shared" si="34"/>
        <v>65</v>
      </c>
      <c r="B2142" s="8">
        <v>2016</v>
      </c>
      <c r="C2142" s="1" t="s">
        <v>1577</v>
      </c>
      <c r="D2142" s="1" t="s">
        <v>9</v>
      </c>
      <c r="E2142" s="2" t="s">
        <v>7</v>
      </c>
      <c r="F2142" s="9" t="s">
        <v>8</v>
      </c>
      <c r="H2142" t="str">
        <f>TRIM(SUBSTITUTE(PROPER(C2142)&amp;" "&amp;IF(OR(D2142="County",D2142="Township",D2142="Village",D2142="Charter Township"),D2142,"")&amp;IF(D2142="Township"," "&amp;"("&amp;VLOOKUP(A2142,counties,3,0)&amp;")",""),"  "," "))</f>
        <v>Mills Township (Ogemaw County)</v>
      </c>
    </row>
    <row r="2143" spans="1:8" ht="15.75" thickBot="1" x14ac:dyDescent="0.3">
      <c r="A2143">
        <f t="shared" si="34"/>
        <v>65</v>
      </c>
      <c r="B2143" s="10">
        <v>2016</v>
      </c>
      <c r="C2143" s="3" t="s">
        <v>1877</v>
      </c>
      <c r="D2143" s="3" t="s">
        <v>6</v>
      </c>
      <c r="E2143" s="4" t="s">
        <v>7</v>
      </c>
      <c r="F2143" s="11" t="s">
        <v>8</v>
      </c>
      <c r="H2143" t="str">
        <f>TRIM(SUBSTITUTE(PROPER(C2143)&amp;" "&amp;IF(OR(D2143="County",D2143="Township",D2143="Village",D2143="Charter Township"),D2143,"")&amp;IF(D2143="Township"," "&amp;"("&amp;VLOOKUP(A2143,counties,3,0)&amp;")",""),"  "," "))</f>
        <v>Ogemaw County</v>
      </c>
    </row>
    <row r="2144" spans="1:8" ht="15.75" thickBot="1" x14ac:dyDescent="0.3">
      <c r="A2144">
        <f t="shared" si="34"/>
        <v>65</v>
      </c>
      <c r="B2144" s="8">
        <v>2016</v>
      </c>
      <c r="C2144" s="1" t="s">
        <v>1877</v>
      </c>
      <c r="D2144" s="1" t="s">
        <v>9</v>
      </c>
      <c r="E2144" s="2" t="s">
        <v>7</v>
      </c>
      <c r="F2144" s="9" t="s">
        <v>8</v>
      </c>
      <c r="H2144" t="str">
        <f>TRIM(SUBSTITUTE(PROPER(C2144)&amp;" "&amp;IF(OR(D2144="County",D2144="Township",D2144="Village",D2144="Charter Township"),D2144,"")&amp;IF(D2144="Township"," "&amp;"("&amp;VLOOKUP(A2144,counties,3,0)&amp;")",""),"  "," "))</f>
        <v>Ogemaw Township (Ogemaw County)</v>
      </c>
    </row>
    <row r="2145" spans="1:8" ht="21.75" thickBot="1" x14ac:dyDescent="0.3">
      <c r="A2145">
        <f t="shared" si="34"/>
        <v>65</v>
      </c>
      <c r="B2145" s="10">
        <v>2016</v>
      </c>
      <c r="C2145" s="3" t="s">
        <v>1878</v>
      </c>
      <c r="D2145" s="3" t="s">
        <v>17</v>
      </c>
      <c r="E2145" s="4" t="s">
        <v>7</v>
      </c>
      <c r="F2145" s="11" t="s">
        <v>8</v>
      </c>
      <c r="H2145" t="str">
        <f>TRIM(SUBSTITUTE(PROPER(C2145)&amp;" "&amp;IF(OR(D2145="County",D2145="Township",D2145="Village",D2145="Charter Township"),D2145,"")&amp;IF(D2145="Township"," "&amp;"("&amp;VLOOKUP(A2145,counties,3,0)&amp;")",""),"  "," "))</f>
        <v>Ogemaw City Emergency Medical Services Authority</v>
      </c>
    </row>
    <row r="2146" spans="1:8" ht="15.75" thickBot="1" x14ac:dyDescent="0.3">
      <c r="A2146">
        <f t="shared" si="34"/>
        <v>65</v>
      </c>
      <c r="B2146" s="8">
        <v>2016</v>
      </c>
      <c r="C2146" s="1" t="s">
        <v>1879</v>
      </c>
      <c r="D2146" s="1" t="s">
        <v>11</v>
      </c>
      <c r="E2146" s="2" t="s">
        <v>7</v>
      </c>
      <c r="F2146" s="9" t="s">
        <v>8</v>
      </c>
      <c r="H2146" t="str">
        <f>TRIM(SUBSTITUTE(PROPER(C2146)&amp;" "&amp;IF(OR(D2146="County",D2146="Township",D2146="Village",D2146="Charter Township"),D2146,"")&amp;IF(D2146="Township"," "&amp;"("&amp;VLOOKUP(A2146,counties,3,0)&amp;")",""),"  "," "))</f>
        <v>Ogemaw County Road Commission</v>
      </c>
    </row>
    <row r="2147" spans="1:8" ht="15.75" thickBot="1" x14ac:dyDescent="0.3">
      <c r="A2147">
        <f t="shared" si="34"/>
        <v>65</v>
      </c>
      <c r="B2147" s="10">
        <v>2016</v>
      </c>
      <c r="C2147" s="3" t="s">
        <v>1880</v>
      </c>
      <c r="D2147" s="3" t="s">
        <v>42</v>
      </c>
      <c r="E2147" s="4" t="s">
        <v>7</v>
      </c>
      <c r="F2147" s="11" t="s">
        <v>8</v>
      </c>
      <c r="H2147" t="str">
        <f>TRIM(SUBSTITUTE(PROPER(C2147)&amp;" "&amp;IF(OR(D2147="County",D2147="Township",D2147="Village",D2147="Charter Township"),D2147,"")&amp;IF(D2147="Township"," "&amp;"("&amp;VLOOKUP(A2147,counties,3,0)&amp;")",""),"  "," "))</f>
        <v>Ogemaw District Library</v>
      </c>
    </row>
    <row r="2148" spans="1:8" ht="15.75" thickBot="1" x14ac:dyDescent="0.3">
      <c r="A2148">
        <f t="shared" si="34"/>
        <v>65</v>
      </c>
      <c r="B2148" s="8">
        <v>2016</v>
      </c>
      <c r="C2148" s="1" t="s">
        <v>1881</v>
      </c>
      <c r="D2148" s="1" t="s">
        <v>17</v>
      </c>
      <c r="E2148" s="2" t="s">
        <v>7</v>
      </c>
      <c r="F2148" s="9" t="s">
        <v>8</v>
      </c>
      <c r="H2148" t="str">
        <f>TRIM(SUBSTITUTE(PROPER(C2148)&amp;" "&amp;IF(OR(D2148="County",D2148="Township",D2148="Village",D2148="Charter Township"),D2148,"")&amp;IF(D2148="Township"," "&amp;"("&amp;VLOOKUP(A2148,counties,3,0)&amp;")",""),"  "," "))</f>
        <v>Ogemaw Fire Department</v>
      </c>
    </row>
    <row r="2149" spans="1:8" ht="15.75" thickBot="1" x14ac:dyDescent="0.3">
      <c r="A2149">
        <f t="shared" si="34"/>
        <v>65</v>
      </c>
      <c r="B2149" s="10">
        <v>2016</v>
      </c>
      <c r="C2149" s="3" t="s">
        <v>1882</v>
      </c>
      <c r="D2149" s="3" t="s">
        <v>21</v>
      </c>
      <c r="E2149" s="4" t="s">
        <v>7</v>
      </c>
      <c r="F2149" s="11" t="s">
        <v>8</v>
      </c>
      <c r="H2149" t="str">
        <f>TRIM(SUBSTITUTE(PROPER(C2149)&amp;" "&amp;IF(OR(D2149="County",D2149="Township",D2149="Village",D2149="Charter Township"),D2149,"")&amp;IF(D2149="Township"," "&amp;"("&amp;VLOOKUP(A2149,counties,3,0)&amp;")",""),"  "," "))</f>
        <v>Prescott Village</v>
      </c>
    </row>
    <row r="2150" spans="1:8" ht="15.75" thickBot="1" x14ac:dyDescent="0.3">
      <c r="A2150">
        <f t="shared" si="34"/>
        <v>65</v>
      </c>
      <c r="B2150" s="8">
        <v>2016</v>
      </c>
      <c r="C2150" s="1" t="s">
        <v>1150</v>
      </c>
      <c r="D2150" s="1" t="s">
        <v>9</v>
      </c>
      <c r="E2150" s="2" t="s">
        <v>7</v>
      </c>
      <c r="F2150" s="9" t="s">
        <v>8</v>
      </c>
      <c r="H2150" t="str">
        <f>TRIM(SUBSTITUTE(PROPER(C2150)&amp;" "&amp;IF(OR(D2150="County",D2150="Township",D2150="Village",D2150="Charter Township"),D2150,"")&amp;IF(D2150="Township"," "&amp;"("&amp;VLOOKUP(A2150,counties,3,0)&amp;")",""),"  "," "))</f>
        <v>Richland Township (Ogemaw County)</v>
      </c>
    </row>
    <row r="2151" spans="1:8" ht="15.75" thickBot="1" x14ac:dyDescent="0.3">
      <c r="A2151">
        <f t="shared" si="34"/>
        <v>65</v>
      </c>
      <c r="B2151" s="10">
        <v>2016</v>
      </c>
      <c r="C2151" s="3" t="s">
        <v>1883</v>
      </c>
      <c r="D2151" s="3" t="s">
        <v>17</v>
      </c>
      <c r="E2151" s="4" t="s">
        <v>7</v>
      </c>
      <c r="F2151" s="11" t="s">
        <v>8</v>
      </c>
      <c r="H2151" t="str">
        <f>TRIM(SUBSTITUTE(PROPER(C2151)&amp;" "&amp;IF(OR(D2151="County",D2151="Township",D2151="Village",D2151="Charter Township"),D2151,"")&amp;IF(D2151="Township"," "&amp;"("&amp;VLOOKUP(A2151,counties,3,0)&amp;")",""),"  "," "))</f>
        <v>Richland-Logan Fire Authority</v>
      </c>
    </row>
    <row r="2152" spans="1:8" ht="15.75" thickBot="1" x14ac:dyDescent="0.3">
      <c r="A2152">
        <f t="shared" si="34"/>
        <v>65</v>
      </c>
      <c r="B2152" s="8">
        <v>2016</v>
      </c>
      <c r="C2152" s="1" t="s">
        <v>1884</v>
      </c>
      <c r="D2152" s="1" t="s">
        <v>15</v>
      </c>
      <c r="E2152" s="2" t="s">
        <v>7</v>
      </c>
      <c r="F2152" s="9" t="s">
        <v>8</v>
      </c>
      <c r="H2152" t="str">
        <f>TRIM(SUBSTITUTE(PROPER(C2152)&amp;" "&amp;IF(OR(D2152="County",D2152="Township",D2152="Village",D2152="Charter Township"),D2152,"")&amp;IF(D2152="Township"," "&amp;"("&amp;VLOOKUP(A2152,counties,3,0)&amp;")",""),"  "," "))</f>
        <v>Rose City</v>
      </c>
    </row>
    <row r="2153" spans="1:8" ht="15.75" thickBot="1" x14ac:dyDescent="0.3">
      <c r="A2153">
        <f t="shared" si="34"/>
        <v>65</v>
      </c>
      <c r="B2153" s="10">
        <v>2016</v>
      </c>
      <c r="C2153" s="3" t="s">
        <v>1885</v>
      </c>
      <c r="D2153" s="3" t="s">
        <v>17</v>
      </c>
      <c r="E2153" s="4" t="s">
        <v>7</v>
      </c>
      <c r="F2153" s="11" t="s">
        <v>8</v>
      </c>
      <c r="H2153" t="str">
        <f>TRIM(SUBSTITUTE(PROPER(C2153)&amp;" "&amp;IF(OR(D2153="County",D2153="Township",D2153="Village",D2153="Charter Township"),D2153,"")&amp;IF(D2153="Township"," "&amp;"("&amp;VLOOKUP(A2153,counties,3,0)&amp;")",""),"  "," "))</f>
        <v>Rose City Area Fire Board</v>
      </c>
    </row>
    <row r="2154" spans="1:8" ht="15.75" thickBot="1" x14ac:dyDescent="0.3">
      <c r="A2154">
        <f t="shared" si="34"/>
        <v>65</v>
      </c>
      <c r="B2154" s="8">
        <v>2016</v>
      </c>
      <c r="C2154" s="1" t="s">
        <v>1886</v>
      </c>
      <c r="D2154" s="1" t="s">
        <v>17</v>
      </c>
      <c r="E2154" s="2" t="s">
        <v>7</v>
      </c>
      <c r="F2154" s="9" t="s">
        <v>8</v>
      </c>
      <c r="H2154" t="str">
        <f>TRIM(SUBSTITUTE(PROPER(C2154)&amp;" "&amp;IF(OR(D2154="County",D2154="Township",D2154="Village",D2154="Charter Township"),D2154,"")&amp;IF(D2154="Township"," "&amp;"("&amp;VLOOKUP(A2154,counties,3,0)&amp;")",""),"  "," "))</f>
        <v>Sting-Strike Team Investigative Narcotics Group</v>
      </c>
    </row>
    <row r="2155" spans="1:8" ht="15.75" thickBot="1" x14ac:dyDescent="0.3">
      <c r="A2155">
        <f t="shared" si="34"/>
        <v>65</v>
      </c>
      <c r="B2155" s="10">
        <v>2016</v>
      </c>
      <c r="C2155" s="3" t="s">
        <v>1599</v>
      </c>
      <c r="D2155" s="3" t="s">
        <v>15</v>
      </c>
      <c r="E2155" s="4" t="s">
        <v>7</v>
      </c>
      <c r="F2155" s="11" t="s">
        <v>8</v>
      </c>
      <c r="H2155" t="str">
        <f>TRIM(SUBSTITUTE(PROPER(C2155)&amp;" "&amp;IF(OR(D2155="County",D2155="Township",D2155="Village",D2155="Charter Township"),D2155,"")&amp;IF(D2155="Township"," "&amp;"("&amp;VLOOKUP(A2155,counties,3,0)&amp;")",""),"  "," "))</f>
        <v>West Branch</v>
      </c>
    </row>
    <row r="2156" spans="1:8" ht="15.75" thickBot="1" x14ac:dyDescent="0.3">
      <c r="A2156">
        <f t="shared" si="34"/>
        <v>65</v>
      </c>
      <c r="B2156" s="8">
        <v>2016</v>
      </c>
      <c r="C2156" s="1" t="s">
        <v>1599</v>
      </c>
      <c r="D2156" s="1" t="s">
        <v>9</v>
      </c>
      <c r="E2156" s="2" t="s">
        <v>7</v>
      </c>
      <c r="F2156" s="9" t="s">
        <v>19</v>
      </c>
      <c r="H2156" t="str">
        <f>TRIM(SUBSTITUTE(PROPER(C2156)&amp;" "&amp;IF(OR(D2156="County",D2156="Township",D2156="Village",D2156="Charter Township"),D2156,"")&amp;IF(D2156="Township"," "&amp;"("&amp;VLOOKUP(A2156,counties,3,0)&amp;")",""),"  "," "))</f>
        <v>West Branch Township (Ogemaw County)</v>
      </c>
    </row>
    <row r="2157" spans="1:8" ht="21.75" thickBot="1" x14ac:dyDescent="0.3">
      <c r="A2157">
        <f t="shared" si="34"/>
        <v>65</v>
      </c>
      <c r="B2157" s="10">
        <v>2016</v>
      </c>
      <c r="C2157" s="3" t="s">
        <v>1887</v>
      </c>
      <c r="D2157" s="3" t="s">
        <v>17</v>
      </c>
      <c r="E2157" s="4" t="s">
        <v>7</v>
      </c>
      <c r="F2157" s="11" t="s">
        <v>8</v>
      </c>
      <c r="H2157" t="str">
        <f>TRIM(SUBSTITUTE(PROPER(C2157)&amp;" "&amp;IF(OR(D2157="County",D2157="Township",D2157="Village",D2157="Charter Township"),D2157,"")&amp;IF(D2157="Township"," "&amp;"("&amp;VLOOKUP(A2157,counties,3,0)&amp;")",""),"  "," "))</f>
        <v>West Branch Area Wastewater Treatment Plant Author</v>
      </c>
    </row>
    <row r="2158" spans="1:8" ht="15.75" thickBot="1" x14ac:dyDescent="0.3">
      <c r="A2158">
        <f t="shared" si="34"/>
        <v>65</v>
      </c>
      <c r="B2158" s="8">
        <v>2016</v>
      </c>
      <c r="C2158" s="1" t="s">
        <v>1888</v>
      </c>
      <c r="D2158" s="1" t="s">
        <v>17</v>
      </c>
      <c r="E2158" s="2" t="s">
        <v>7</v>
      </c>
      <c r="F2158" s="9" t="s">
        <v>8</v>
      </c>
      <c r="H2158" t="str">
        <f>TRIM(SUBSTITUTE(PROPER(C2158)&amp;" "&amp;IF(OR(D2158="County",D2158="Township",D2158="Village",D2158="Charter Township"),D2158,"")&amp;IF(D2158="Township"," "&amp;"("&amp;VLOOKUP(A2158,counties,3,0)&amp;")",""),"  "," "))</f>
        <v>West Branch Community Airport</v>
      </c>
    </row>
    <row r="2159" spans="1:8" ht="15.75" thickBot="1" x14ac:dyDescent="0.3">
      <c r="A2159">
        <f t="shared" si="34"/>
        <v>65</v>
      </c>
      <c r="B2159" s="12">
        <v>2016</v>
      </c>
      <c r="C2159" s="13" t="s">
        <v>1889</v>
      </c>
      <c r="D2159" s="13" t="s">
        <v>42</v>
      </c>
      <c r="E2159" s="14" t="s">
        <v>7</v>
      </c>
      <c r="F2159" s="15" t="s">
        <v>8</v>
      </c>
      <c r="H2159" t="str">
        <f>TRIM(SUBSTITUTE(PROPER(C2159)&amp;" "&amp;IF(OR(D2159="County",D2159="Township",D2159="Village",D2159="Charter Township"),D2159,"")&amp;IF(D2159="Township"," "&amp;"("&amp;VLOOKUP(A2159,counties,3,0)&amp;")",""),"  "," "))</f>
        <v>West Branch District Library</v>
      </c>
    </row>
    <row r="2160" spans="1:8" ht="16.5" thickTop="1" thickBot="1" x14ac:dyDescent="0.3">
      <c r="A2160">
        <f t="shared" si="34"/>
        <v>66</v>
      </c>
      <c r="B2160" s="5" t="s">
        <v>0</v>
      </c>
      <c r="C2160" s="6" t="s">
        <v>1</v>
      </c>
      <c r="D2160" s="6" t="s">
        <v>2</v>
      </c>
      <c r="E2160" s="6" t="s">
        <v>3</v>
      </c>
      <c r="F2160" s="7" t="s">
        <v>4</v>
      </c>
      <c r="H2160" t="str">
        <f>TRIM(SUBSTITUTE(PROPER(C2160)&amp;" "&amp;IF(OR(D2160="County",D2160="Township",D2160="Village",D2160="Charter Township"),D2160,"")&amp;IF(D2160="Township"," "&amp;"("&amp;VLOOKUP(A2160,counties,3,0)&amp;")",""),"  "," "))</f>
        <v>Municipality</v>
      </c>
    </row>
    <row r="2161" spans="1:8" ht="15.75" thickBot="1" x14ac:dyDescent="0.3">
      <c r="A2161">
        <f t="shared" si="34"/>
        <v>66</v>
      </c>
      <c r="B2161" s="8">
        <v>2016</v>
      </c>
      <c r="C2161" s="1" t="s">
        <v>1890</v>
      </c>
      <c r="D2161" s="1" t="s">
        <v>9</v>
      </c>
      <c r="E2161" s="2" t="s">
        <v>7</v>
      </c>
      <c r="F2161" s="9" t="s">
        <v>8</v>
      </c>
      <c r="H2161" t="str">
        <f>TRIM(SUBSTITUTE(PROPER(C2161)&amp;" "&amp;IF(OR(D2161="County",D2161="Township",D2161="Village",D2161="Charter Township"),D2161,"")&amp;IF(D2161="Township"," "&amp;"("&amp;VLOOKUP(A2161,counties,3,0)&amp;")",""),"  "," "))</f>
        <v>Bergland Township (Ontonagon County)</v>
      </c>
    </row>
    <row r="2162" spans="1:8" ht="15.75" thickBot="1" x14ac:dyDescent="0.3">
      <c r="A2162">
        <f t="shared" si="34"/>
        <v>66</v>
      </c>
      <c r="B2162" s="10">
        <v>2016</v>
      </c>
      <c r="C2162" s="3" t="s">
        <v>634</v>
      </c>
      <c r="D2162" s="3" t="s">
        <v>9</v>
      </c>
      <c r="E2162" s="4" t="s">
        <v>7</v>
      </c>
      <c r="F2162" s="11" t="s">
        <v>8</v>
      </c>
      <c r="H2162" t="str">
        <f>TRIM(SUBSTITUTE(PROPER(C2162)&amp;" "&amp;IF(OR(D2162="County",D2162="Township",D2162="Village",D2162="Charter Township"),D2162,"")&amp;IF(D2162="Township"," "&amp;"("&amp;VLOOKUP(A2162,counties,3,0)&amp;")",""),"  "," "))</f>
        <v>Carp Lake Township (Ontonagon County)</v>
      </c>
    </row>
    <row r="2163" spans="1:8" ht="15.75" thickBot="1" x14ac:dyDescent="0.3">
      <c r="A2163">
        <f t="shared" si="34"/>
        <v>66</v>
      </c>
      <c r="B2163" s="8">
        <v>2016</v>
      </c>
      <c r="C2163" s="1" t="s">
        <v>1891</v>
      </c>
      <c r="D2163" s="1" t="s">
        <v>9</v>
      </c>
      <c r="E2163" s="2" t="s">
        <v>7</v>
      </c>
      <c r="F2163" s="9" t="s">
        <v>8</v>
      </c>
      <c r="H2163" t="str">
        <f>TRIM(SUBSTITUTE(PROPER(C2163)&amp;" "&amp;IF(OR(D2163="County",D2163="Township",D2163="Village",D2163="Charter Township"),D2163,"")&amp;IF(D2163="Township"," "&amp;"("&amp;VLOOKUP(A2163,counties,3,0)&amp;")",""),"  "," "))</f>
        <v>Haight Township (Ontonagon County)</v>
      </c>
    </row>
    <row r="2164" spans="1:8" ht="15.75" thickBot="1" x14ac:dyDescent="0.3">
      <c r="A2164">
        <f t="shared" si="34"/>
        <v>66</v>
      </c>
      <c r="B2164" s="10">
        <v>2016</v>
      </c>
      <c r="C2164" s="3" t="s">
        <v>1892</v>
      </c>
      <c r="D2164" s="3" t="s">
        <v>9</v>
      </c>
      <c r="E2164" s="4" t="s">
        <v>7</v>
      </c>
      <c r="F2164" s="11" t="s">
        <v>8</v>
      </c>
      <c r="H2164" t="str">
        <f>TRIM(SUBSTITUTE(PROPER(C2164)&amp;" "&amp;IF(OR(D2164="County",D2164="Township",D2164="Village",D2164="Charter Township"),D2164,"")&amp;IF(D2164="Township"," "&amp;"("&amp;VLOOKUP(A2164,counties,3,0)&amp;")",""),"  "," "))</f>
        <v>Matchwood Township (Ontonagon County)</v>
      </c>
    </row>
    <row r="2165" spans="1:8" ht="15.75" thickBot="1" x14ac:dyDescent="0.3">
      <c r="A2165">
        <f t="shared" si="34"/>
        <v>66</v>
      </c>
      <c r="B2165" s="8">
        <v>2016</v>
      </c>
      <c r="C2165" s="1" t="s">
        <v>1386</v>
      </c>
      <c r="D2165" s="1" t="s">
        <v>9</v>
      </c>
      <c r="E2165" s="2" t="s">
        <v>7</v>
      </c>
      <c r="F2165" s="9" t="s">
        <v>8</v>
      </c>
      <c r="H2165" t="str">
        <f>TRIM(SUBSTITUTE(PROPER(C2165)&amp;" "&amp;IF(OR(D2165="County",D2165="Township",D2165="Village",D2165="Charter Township"),D2165,"")&amp;IF(D2165="Township"," "&amp;"("&amp;VLOOKUP(A2165,counties,3,0)&amp;")",""),"  "," "))</f>
        <v>Mcmillan Township (Ontonagon County)</v>
      </c>
    </row>
    <row r="2166" spans="1:8" ht="15.75" thickBot="1" x14ac:dyDescent="0.3">
      <c r="A2166">
        <f t="shared" si="34"/>
        <v>66</v>
      </c>
      <c r="B2166" s="10">
        <v>2016</v>
      </c>
      <c r="C2166" s="3" t="s">
        <v>1893</v>
      </c>
      <c r="D2166" s="3" t="s">
        <v>6</v>
      </c>
      <c r="E2166" s="4" t="s">
        <v>7</v>
      </c>
      <c r="F2166" s="11" t="s">
        <v>8</v>
      </c>
      <c r="H2166" t="str">
        <f>TRIM(SUBSTITUTE(PROPER(C2166)&amp;" "&amp;IF(OR(D2166="County",D2166="Township",D2166="Village",D2166="Charter Township"),D2166,"")&amp;IF(D2166="Township"," "&amp;"("&amp;VLOOKUP(A2166,counties,3,0)&amp;")",""),"  "," "))</f>
        <v>Ontonagon County</v>
      </c>
    </row>
    <row r="2167" spans="1:8" ht="15.75" thickBot="1" x14ac:dyDescent="0.3">
      <c r="A2167">
        <f t="shared" si="34"/>
        <v>66</v>
      </c>
      <c r="B2167" s="8">
        <v>2016</v>
      </c>
      <c r="C2167" s="1" t="s">
        <v>1893</v>
      </c>
      <c r="D2167" s="1" t="s">
        <v>21</v>
      </c>
      <c r="E2167" s="2" t="s">
        <v>7</v>
      </c>
      <c r="F2167" s="9" t="s">
        <v>8</v>
      </c>
      <c r="H2167" t="str">
        <f>TRIM(SUBSTITUTE(PROPER(C2167)&amp;" "&amp;IF(OR(D2167="County",D2167="Township",D2167="Village",D2167="Charter Township"),D2167,"")&amp;IF(D2167="Township"," "&amp;"("&amp;VLOOKUP(A2167,counties,3,0)&amp;")",""),"  "," "))</f>
        <v>Ontonagon Village</v>
      </c>
    </row>
    <row r="2168" spans="1:8" ht="15.75" thickBot="1" x14ac:dyDescent="0.3">
      <c r="A2168">
        <f t="shared" si="34"/>
        <v>66</v>
      </c>
      <c r="B2168" s="10">
        <v>2016</v>
      </c>
      <c r="C2168" s="3" t="s">
        <v>1894</v>
      </c>
      <c r="D2168" s="3" t="s">
        <v>17</v>
      </c>
      <c r="E2168" s="4" t="s">
        <v>7</v>
      </c>
      <c r="F2168" s="11" t="s">
        <v>8</v>
      </c>
      <c r="H2168" t="str">
        <f>TRIM(SUBSTITUTE(PROPER(C2168)&amp;" "&amp;IF(OR(D2168="County",D2168="Township",D2168="Village",D2168="Charter Township"),D2168,"")&amp;IF(D2168="Township"," "&amp;"("&amp;VLOOKUP(A2168,counties,3,0)&amp;")",""),"  "," "))</f>
        <v>Ontonagon Co Public Transit Fund</v>
      </c>
    </row>
    <row r="2169" spans="1:8" ht="15.75" thickBot="1" x14ac:dyDescent="0.3">
      <c r="A2169">
        <f t="shared" si="34"/>
        <v>66</v>
      </c>
      <c r="B2169" s="8">
        <v>2016</v>
      </c>
      <c r="C2169" s="1" t="s">
        <v>1895</v>
      </c>
      <c r="D2169" s="1" t="s">
        <v>11</v>
      </c>
      <c r="E2169" s="2" t="s">
        <v>7</v>
      </c>
      <c r="F2169" s="9" t="s">
        <v>8</v>
      </c>
      <c r="H2169" t="str">
        <f>TRIM(SUBSTITUTE(PROPER(C2169)&amp;" "&amp;IF(OR(D2169="County",D2169="Township",D2169="Village",D2169="Charter Township"),D2169,"")&amp;IF(D2169="Township"," "&amp;"("&amp;VLOOKUP(A2169,counties,3,0)&amp;")",""),"  "," "))</f>
        <v>Ontonagon Co Road Commission</v>
      </c>
    </row>
    <row r="2170" spans="1:8" ht="15.75" thickBot="1" x14ac:dyDescent="0.3">
      <c r="A2170">
        <f t="shared" si="34"/>
        <v>66</v>
      </c>
      <c r="B2170" s="10">
        <v>2016</v>
      </c>
      <c r="C2170" s="3" t="s">
        <v>1896</v>
      </c>
      <c r="D2170" s="3" t="s">
        <v>17</v>
      </c>
      <c r="E2170" s="4" t="s">
        <v>7</v>
      </c>
      <c r="F2170" s="11" t="s">
        <v>8</v>
      </c>
      <c r="H2170" t="str">
        <f>TRIM(SUBSTITUTE(PROPER(C2170)&amp;" "&amp;IF(OR(D2170="County",D2170="Township",D2170="Village",D2170="Charter Township"),D2170,"")&amp;IF(D2170="Township"," "&amp;"("&amp;VLOOKUP(A2170,counties,3,0)&amp;")",""),"  "," "))</f>
        <v>Ontonagon Village Housing Commission</v>
      </c>
    </row>
    <row r="2171" spans="1:8" ht="15.75" thickBot="1" x14ac:dyDescent="0.3">
      <c r="A2171">
        <f t="shared" si="34"/>
        <v>66</v>
      </c>
      <c r="B2171" s="8">
        <v>2016</v>
      </c>
      <c r="C2171" s="1" t="s">
        <v>1897</v>
      </c>
      <c r="D2171" s="1" t="s">
        <v>9</v>
      </c>
      <c r="E2171" s="2" t="s">
        <v>7</v>
      </c>
      <c r="F2171" s="9" t="s">
        <v>8</v>
      </c>
      <c r="H2171" t="str">
        <f>TRIM(SUBSTITUTE(PROPER(C2171)&amp;" "&amp;IF(OR(D2171="County",D2171="Township",D2171="Village",D2171="Charter Township"),D2171,"")&amp;IF(D2171="Township"," "&amp;"("&amp;VLOOKUP(A2171,counties,3,0)&amp;")",""),"  "," "))</f>
        <v>Rockland Township (Ontonagon County)</v>
      </c>
    </row>
    <row r="2172" spans="1:8" ht="15.75" thickBot="1" x14ac:dyDescent="0.3">
      <c r="A2172">
        <f t="shared" si="34"/>
        <v>66</v>
      </c>
      <c r="B2172" s="12">
        <v>2016</v>
      </c>
      <c r="C2172" s="13" t="s">
        <v>1898</v>
      </c>
      <c r="D2172" s="13" t="s">
        <v>9</v>
      </c>
      <c r="E2172" s="14" t="s">
        <v>7</v>
      </c>
      <c r="F2172" s="15" t="s">
        <v>19</v>
      </c>
      <c r="H2172" t="str">
        <f>TRIM(SUBSTITUTE(PROPER(C2172)&amp;" "&amp;IF(OR(D2172="County",D2172="Township",D2172="Village",D2172="Charter Township"),D2172,"")&amp;IF(D2172="Township"," "&amp;"("&amp;VLOOKUP(A2172,counties,3,0)&amp;")",""),"  "," "))</f>
        <v>Stannard Township (Ontonagon County)</v>
      </c>
    </row>
    <row r="2173" spans="1:8" ht="16.5" thickTop="1" thickBot="1" x14ac:dyDescent="0.3">
      <c r="A2173">
        <f t="shared" si="34"/>
        <v>67</v>
      </c>
      <c r="B2173" s="5" t="s">
        <v>0</v>
      </c>
      <c r="C2173" s="6" t="s">
        <v>1</v>
      </c>
      <c r="D2173" s="6" t="s">
        <v>2</v>
      </c>
      <c r="E2173" s="6" t="s">
        <v>3</v>
      </c>
      <c r="F2173" s="7" t="s">
        <v>4</v>
      </c>
      <c r="H2173" t="str">
        <f>TRIM(SUBSTITUTE(PROPER(C2173)&amp;" "&amp;IF(OR(D2173="County",D2173="Township",D2173="Village",D2173="Charter Township"),D2173,"")&amp;IF(D2173="Township"," "&amp;"("&amp;VLOOKUP(A2173,counties,3,0)&amp;")",""),"  "," "))</f>
        <v>Municipality</v>
      </c>
    </row>
    <row r="2174" spans="1:8" ht="15.75" thickBot="1" x14ac:dyDescent="0.3">
      <c r="A2174">
        <f t="shared" si="34"/>
        <v>67</v>
      </c>
      <c r="B2174" s="8">
        <v>2016</v>
      </c>
      <c r="C2174" s="1" t="s">
        <v>1899</v>
      </c>
      <c r="D2174" s="1" t="s">
        <v>9</v>
      </c>
      <c r="E2174" s="2" t="s">
        <v>7</v>
      </c>
      <c r="F2174" s="9" t="s">
        <v>19</v>
      </c>
      <c r="H2174" t="str">
        <f>TRIM(SUBSTITUTE(PROPER(C2174)&amp;" "&amp;IF(OR(D2174="County",D2174="Township",D2174="Village",D2174="Charter Township"),D2174,"")&amp;IF(D2174="Township"," "&amp;"("&amp;VLOOKUP(A2174,counties,3,0)&amp;")",""),"  "," "))</f>
        <v>Cedar Township (Osceola County)</v>
      </c>
    </row>
    <row r="2175" spans="1:8" ht="15.75" thickBot="1" x14ac:dyDescent="0.3">
      <c r="A2175">
        <f t="shared" si="34"/>
        <v>67</v>
      </c>
      <c r="B2175" s="10">
        <v>2016</v>
      </c>
      <c r="C2175" s="3" t="s">
        <v>1900</v>
      </c>
      <c r="D2175" s="3" t="s">
        <v>15</v>
      </c>
      <c r="E2175" s="4" t="s">
        <v>7</v>
      </c>
      <c r="F2175" s="11" t="s">
        <v>8</v>
      </c>
      <c r="H2175" t="str">
        <f>TRIM(SUBSTITUTE(PROPER(C2175)&amp;" "&amp;IF(OR(D2175="County",D2175="Township",D2175="Village",D2175="Charter Township"),D2175,"")&amp;IF(D2175="Township"," "&amp;"("&amp;VLOOKUP(A2175,counties,3,0)&amp;")",""),"  "," "))</f>
        <v>Evart</v>
      </c>
    </row>
    <row r="2176" spans="1:8" ht="15.75" thickBot="1" x14ac:dyDescent="0.3">
      <c r="A2176">
        <f t="shared" si="34"/>
        <v>67</v>
      </c>
      <c r="B2176" s="8">
        <v>2016</v>
      </c>
      <c r="C2176" s="1" t="s">
        <v>1901</v>
      </c>
      <c r="D2176" s="1" t="s">
        <v>17</v>
      </c>
      <c r="E2176" s="2" t="s">
        <v>7</v>
      </c>
      <c r="F2176" s="9" t="s">
        <v>8</v>
      </c>
      <c r="H2176" t="str">
        <f>TRIM(SUBSTITUTE(PROPER(C2176)&amp;" "&amp;IF(OR(D2176="County",D2176="Township",D2176="Village",D2176="Charter Township"),D2176,"")&amp;IF(D2176="Township"," "&amp;"("&amp;VLOOKUP(A2176,counties,3,0)&amp;")",""),"  "," "))</f>
        <v>Evart Area Joint Fire District</v>
      </c>
    </row>
    <row r="2177" spans="1:8" ht="15.75" thickBot="1" x14ac:dyDescent="0.3">
      <c r="A2177">
        <f t="shared" si="34"/>
        <v>67</v>
      </c>
      <c r="B2177" s="10">
        <v>2016</v>
      </c>
      <c r="C2177" s="3" t="s">
        <v>1902</v>
      </c>
      <c r="D2177" s="3" t="s">
        <v>17</v>
      </c>
      <c r="E2177" s="4" t="s">
        <v>7</v>
      </c>
      <c r="F2177" s="11" t="s">
        <v>8</v>
      </c>
      <c r="H2177" t="str">
        <f>TRIM(SUBSTITUTE(PROPER(C2177)&amp;" "&amp;IF(OR(D2177="County",D2177="Township",D2177="Village",D2177="Charter Township"),D2177,"")&amp;IF(D2177="Township"," "&amp;"("&amp;VLOOKUP(A2177,counties,3,0)&amp;")",""),"  "," "))</f>
        <v>Evart City Housing Commission</v>
      </c>
    </row>
    <row r="2178" spans="1:8" ht="15.75" thickBot="1" x14ac:dyDescent="0.3">
      <c r="A2178">
        <f t="shared" si="34"/>
        <v>67</v>
      </c>
      <c r="B2178" s="8">
        <v>2016</v>
      </c>
      <c r="C2178" s="1" t="s">
        <v>1903</v>
      </c>
      <c r="D2178" s="1" t="s">
        <v>42</v>
      </c>
      <c r="E2178" s="2" t="s">
        <v>7</v>
      </c>
      <c r="F2178" s="9" t="s">
        <v>8</v>
      </c>
      <c r="H2178" t="str">
        <f>TRIM(SUBSTITUTE(PROPER(C2178)&amp;" "&amp;IF(OR(D2178="County",D2178="Township",D2178="Village",D2178="Charter Township"),D2178,"")&amp;IF(D2178="Township"," "&amp;"("&amp;VLOOKUP(A2178,counties,3,0)&amp;")",""),"  "," "))</f>
        <v>Evart Public Library</v>
      </c>
    </row>
    <row r="2179" spans="1:8" ht="15.75" thickBot="1" x14ac:dyDescent="0.3">
      <c r="A2179">
        <f t="shared" ref="A2179:A2242" si="35">IF(B2179="Year",A2178+1,A2178)</f>
        <v>67</v>
      </c>
      <c r="B2179" s="10">
        <v>2016</v>
      </c>
      <c r="C2179" s="3" t="s">
        <v>1904</v>
      </c>
      <c r="D2179" s="3" t="s">
        <v>9</v>
      </c>
      <c r="E2179" s="4" t="s">
        <v>7</v>
      </c>
      <c r="F2179" s="11" t="s">
        <v>8</v>
      </c>
      <c r="H2179" t="str">
        <f>TRIM(SUBSTITUTE(PROPER(C2179)&amp;" "&amp;IF(OR(D2179="County",D2179="Township",D2179="Village",D2179="Charter Township"),D2179,"")&amp;IF(D2179="Township"," "&amp;"("&amp;VLOOKUP(A2179,counties,3,0)&amp;")",""),"  "," "))</f>
        <v>Hersey Township (Osceola County)</v>
      </c>
    </row>
    <row r="2180" spans="1:8" ht="15.75" thickBot="1" x14ac:dyDescent="0.3">
      <c r="A2180">
        <f t="shared" si="35"/>
        <v>67</v>
      </c>
      <c r="B2180" s="8">
        <v>2016</v>
      </c>
      <c r="C2180" s="1" t="s">
        <v>1904</v>
      </c>
      <c r="D2180" s="1" t="s">
        <v>21</v>
      </c>
      <c r="E2180" s="2" t="s">
        <v>7</v>
      </c>
      <c r="F2180" s="9" t="s">
        <v>8</v>
      </c>
      <c r="H2180" t="str">
        <f>TRIM(SUBSTITUTE(PROPER(C2180)&amp;" "&amp;IF(OR(D2180="County",D2180="Township",D2180="Village",D2180="Charter Township"),D2180,"")&amp;IF(D2180="Township"," "&amp;"("&amp;VLOOKUP(A2180,counties,3,0)&amp;")",""),"  "," "))</f>
        <v>Hersey Village</v>
      </c>
    </row>
    <row r="2181" spans="1:8" ht="15.75" thickBot="1" x14ac:dyDescent="0.3">
      <c r="A2181">
        <f t="shared" si="35"/>
        <v>67</v>
      </c>
      <c r="B2181" s="10">
        <v>2016</v>
      </c>
      <c r="C2181" s="3" t="s">
        <v>1905</v>
      </c>
      <c r="D2181" s="3" t="s">
        <v>42</v>
      </c>
      <c r="E2181" s="4" t="s">
        <v>7</v>
      </c>
      <c r="F2181" s="11" t="s">
        <v>8</v>
      </c>
      <c r="H2181" t="str">
        <f>TRIM(SUBSTITUTE(PROPER(C2181)&amp;" "&amp;IF(OR(D2181="County",D2181="Township",D2181="Village",D2181="Charter Township"),D2181,"")&amp;IF(D2181="Township"," "&amp;"("&amp;VLOOKUP(A2181,counties,3,0)&amp;")",""),"  "," "))</f>
        <v>Leroy Community Library</v>
      </c>
    </row>
    <row r="2182" spans="1:8" ht="15.75" thickBot="1" x14ac:dyDescent="0.3">
      <c r="A2182">
        <f t="shared" si="35"/>
        <v>67</v>
      </c>
      <c r="B2182" s="8">
        <v>2016</v>
      </c>
      <c r="C2182" s="1" t="s">
        <v>1906</v>
      </c>
      <c r="D2182" s="1" t="s">
        <v>17</v>
      </c>
      <c r="E2182" s="2" t="s">
        <v>7</v>
      </c>
      <c r="F2182" s="9" t="s">
        <v>19</v>
      </c>
      <c r="H2182" t="str">
        <f>TRIM(SUBSTITUTE(PROPER(C2182)&amp;" "&amp;IF(OR(D2182="County",D2182="Township",D2182="Village",D2182="Charter Township"),D2182,"")&amp;IF(D2182="Township"," "&amp;"("&amp;VLOOKUP(A2182,counties,3,0)&amp;")",""),"  "," "))</f>
        <v>Leroy-Rose Lake Fire District</v>
      </c>
    </row>
    <row r="2183" spans="1:8" ht="15.75" thickBot="1" x14ac:dyDescent="0.3">
      <c r="A2183">
        <f t="shared" si="35"/>
        <v>67</v>
      </c>
      <c r="B2183" s="10">
        <v>2016</v>
      </c>
      <c r="C2183" s="3" t="s">
        <v>20</v>
      </c>
      <c r="D2183" s="3" t="s">
        <v>9</v>
      </c>
      <c r="E2183" s="4" t="s">
        <v>7</v>
      </c>
      <c r="F2183" s="11" t="s">
        <v>8</v>
      </c>
      <c r="H2183" t="str">
        <f>TRIM(SUBSTITUTE(PROPER(C2183)&amp;" "&amp;IF(OR(D2183="County",D2183="Township",D2183="Village",D2183="Charter Township"),D2183,"")&amp;IF(D2183="Township"," "&amp;"("&amp;VLOOKUP(A2183,counties,3,0)&amp;")",""),"  "," "))</f>
        <v>Lincoln Township (Osceola County)</v>
      </c>
    </row>
    <row r="2184" spans="1:8" ht="15.75" thickBot="1" x14ac:dyDescent="0.3">
      <c r="A2184">
        <f t="shared" si="35"/>
        <v>67</v>
      </c>
      <c r="B2184" s="8">
        <v>2016</v>
      </c>
      <c r="C2184" s="1" t="s">
        <v>1371</v>
      </c>
      <c r="D2184" s="1" t="s">
        <v>9</v>
      </c>
      <c r="E2184" s="2" t="s">
        <v>7</v>
      </c>
      <c r="F2184" s="9" t="s">
        <v>8</v>
      </c>
      <c r="H2184" t="str">
        <f>TRIM(SUBSTITUTE(PROPER(C2184)&amp;" "&amp;IF(OR(D2184="County",D2184="Township",D2184="Village",D2184="Charter Township"),D2184,"")&amp;IF(D2184="Township"," "&amp;"("&amp;VLOOKUP(A2184,counties,3,0)&amp;")",""),"  "," "))</f>
        <v>Marion Township (Osceola County)</v>
      </c>
    </row>
    <row r="2185" spans="1:8" ht="15.75" thickBot="1" x14ac:dyDescent="0.3">
      <c r="A2185">
        <f t="shared" si="35"/>
        <v>67</v>
      </c>
      <c r="B2185" s="10">
        <v>2016</v>
      </c>
      <c r="C2185" s="3" t="s">
        <v>1371</v>
      </c>
      <c r="D2185" s="3" t="s">
        <v>21</v>
      </c>
      <c r="E2185" s="4" t="s">
        <v>7</v>
      </c>
      <c r="F2185" s="11" t="s">
        <v>8</v>
      </c>
      <c r="H2185" t="str">
        <f>TRIM(SUBSTITUTE(PROPER(C2185)&amp;" "&amp;IF(OR(D2185="County",D2185="Township",D2185="Village",D2185="Charter Township"),D2185,"")&amp;IF(D2185="Township"," "&amp;"("&amp;VLOOKUP(A2185,counties,3,0)&amp;")",""),"  "," "))</f>
        <v>Marion Village</v>
      </c>
    </row>
    <row r="2186" spans="1:8" ht="15.75" thickBot="1" x14ac:dyDescent="0.3">
      <c r="A2186">
        <f t="shared" si="35"/>
        <v>67</v>
      </c>
      <c r="B2186" s="8">
        <v>2016</v>
      </c>
      <c r="C2186" s="1" t="s">
        <v>1907</v>
      </c>
      <c r="D2186" s="1" t="s">
        <v>9</v>
      </c>
      <c r="E2186" s="2" t="s">
        <v>7</v>
      </c>
      <c r="F2186" s="9" t="s">
        <v>19</v>
      </c>
      <c r="H2186" t="str">
        <f>TRIM(SUBSTITUTE(PROPER(C2186)&amp;" "&amp;IF(OR(D2186="County",D2186="Township",D2186="Village",D2186="Charter Township"),D2186,"")&amp;IF(D2186="Township"," "&amp;"("&amp;VLOOKUP(A2186,counties,3,0)&amp;")",""),"  "," "))</f>
        <v>Orient Township (Osceola County)</v>
      </c>
    </row>
    <row r="2187" spans="1:8" ht="15.75" thickBot="1" x14ac:dyDescent="0.3">
      <c r="A2187">
        <f t="shared" si="35"/>
        <v>67</v>
      </c>
      <c r="B2187" s="10">
        <v>2016</v>
      </c>
      <c r="C2187" s="3" t="s">
        <v>866</v>
      </c>
      <c r="D2187" s="3" t="s">
        <v>6</v>
      </c>
      <c r="E2187" s="4" t="s">
        <v>7</v>
      </c>
      <c r="F2187" s="11" t="s">
        <v>8</v>
      </c>
      <c r="H2187" t="str">
        <f>TRIM(SUBSTITUTE(PROPER(C2187)&amp;" "&amp;IF(OR(D2187="County",D2187="Township",D2187="Village",D2187="Charter Township"),D2187,"")&amp;IF(D2187="Township"," "&amp;"("&amp;VLOOKUP(A2187,counties,3,0)&amp;")",""),"  "," "))</f>
        <v>Osceola County</v>
      </c>
    </row>
    <row r="2188" spans="1:8" ht="15.75" thickBot="1" x14ac:dyDescent="0.3">
      <c r="A2188">
        <f t="shared" si="35"/>
        <v>67</v>
      </c>
      <c r="B2188" s="8">
        <v>2016</v>
      </c>
      <c r="C2188" s="1" t="s">
        <v>866</v>
      </c>
      <c r="D2188" s="1" t="s">
        <v>9</v>
      </c>
      <c r="E2188" s="2" t="s">
        <v>7</v>
      </c>
      <c r="F2188" s="9" t="s">
        <v>8</v>
      </c>
      <c r="H2188" t="str">
        <f>TRIM(SUBSTITUTE(PROPER(C2188)&amp;" "&amp;IF(OR(D2188="County",D2188="Township",D2188="Village",D2188="Charter Township"),D2188,"")&amp;IF(D2188="Township"," "&amp;"("&amp;VLOOKUP(A2188,counties,3,0)&amp;")",""),"  "," "))</f>
        <v>Osceola Township (Osceola County)</v>
      </c>
    </row>
    <row r="2189" spans="1:8" ht="15.75" thickBot="1" x14ac:dyDescent="0.3">
      <c r="A2189">
        <f t="shared" si="35"/>
        <v>67</v>
      </c>
      <c r="B2189" s="10">
        <v>2016</v>
      </c>
      <c r="C2189" s="3" t="s">
        <v>1908</v>
      </c>
      <c r="D2189" s="3" t="s">
        <v>11</v>
      </c>
      <c r="E2189" s="4" t="s">
        <v>7</v>
      </c>
      <c r="F2189" s="11" t="s">
        <v>8</v>
      </c>
      <c r="H2189" t="str">
        <f>TRIM(SUBSTITUTE(PROPER(C2189)&amp;" "&amp;IF(OR(D2189="County",D2189="Township",D2189="Village",D2189="Charter Township"),D2189,"")&amp;IF(D2189="Township"," "&amp;"("&amp;VLOOKUP(A2189,counties,3,0)&amp;")",""),"  "," "))</f>
        <v>Osceola Co Road Commission</v>
      </c>
    </row>
    <row r="2190" spans="1:8" ht="15.75" thickBot="1" x14ac:dyDescent="0.3">
      <c r="A2190">
        <f t="shared" si="35"/>
        <v>67</v>
      </c>
      <c r="B2190" s="8">
        <v>2016</v>
      </c>
      <c r="C2190" s="1" t="s">
        <v>1909</v>
      </c>
      <c r="D2190" s="1" t="s">
        <v>15</v>
      </c>
      <c r="E2190" s="2" t="s">
        <v>7</v>
      </c>
      <c r="F2190" s="9" t="s">
        <v>8</v>
      </c>
      <c r="H2190" t="str">
        <f>TRIM(SUBSTITUTE(PROPER(C2190)&amp;" "&amp;IF(OR(D2190="County",D2190="Township",D2190="Village",D2190="Charter Township"),D2190,"")&amp;IF(D2190="Township"," "&amp;"("&amp;VLOOKUP(A2190,counties,3,0)&amp;")",""),"  "," "))</f>
        <v>Reed City</v>
      </c>
    </row>
    <row r="2191" spans="1:8" ht="15.75" thickBot="1" x14ac:dyDescent="0.3">
      <c r="A2191">
        <f t="shared" si="35"/>
        <v>67</v>
      </c>
      <c r="B2191" s="10">
        <v>2016</v>
      </c>
      <c r="C2191" s="3" t="s">
        <v>1910</v>
      </c>
      <c r="D2191" s="3" t="s">
        <v>42</v>
      </c>
      <c r="E2191" s="4" t="s">
        <v>7</v>
      </c>
      <c r="F2191" s="11" t="s">
        <v>8</v>
      </c>
      <c r="H2191" t="str">
        <f>TRIM(SUBSTITUTE(PROPER(C2191)&amp;" "&amp;IF(OR(D2191="County",D2191="Township",D2191="Village",D2191="Charter Township"),D2191,"")&amp;IF(D2191="Township"," "&amp;"("&amp;VLOOKUP(A2191,counties,3,0)&amp;")",""),"  "," "))</f>
        <v>Reed City Area District Library</v>
      </c>
    </row>
    <row r="2192" spans="1:8" ht="15.75" thickBot="1" x14ac:dyDescent="0.3">
      <c r="A2192">
        <f t="shared" si="35"/>
        <v>67</v>
      </c>
      <c r="B2192" s="8">
        <v>2016</v>
      </c>
      <c r="C2192" s="1" t="s">
        <v>1911</v>
      </c>
      <c r="D2192" s="1" t="s">
        <v>17</v>
      </c>
      <c r="E2192" s="2" t="s">
        <v>7</v>
      </c>
      <c r="F2192" s="9" t="s">
        <v>8</v>
      </c>
      <c r="H2192" t="str">
        <f>TRIM(SUBSTITUTE(PROPER(C2192)&amp;" "&amp;IF(OR(D2192="County",D2192="Township",D2192="Village",D2192="Charter Township"),D2192,"")&amp;IF(D2192="Township"," "&amp;"("&amp;VLOOKUP(A2192,counties,3,0)&amp;")",""),"  "," "))</f>
        <v>Reed City Housing Commission</v>
      </c>
    </row>
    <row r="2193" spans="1:8" ht="15.75" thickBot="1" x14ac:dyDescent="0.3">
      <c r="A2193">
        <f t="shared" si="35"/>
        <v>67</v>
      </c>
      <c r="B2193" s="10">
        <v>2016</v>
      </c>
      <c r="C2193" s="3" t="s">
        <v>1912</v>
      </c>
      <c r="D2193" s="3" t="s">
        <v>9</v>
      </c>
      <c r="E2193" s="4" t="s">
        <v>7</v>
      </c>
      <c r="F2193" s="11" t="s">
        <v>19</v>
      </c>
      <c r="H2193" t="str">
        <f>TRIM(SUBSTITUTE(PROPER(C2193)&amp;" "&amp;IF(OR(D2193="County",D2193="Township",D2193="Village",D2193="Charter Township"),D2193,"")&amp;IF(D2193="Township"," "&amp;"("&amp;VLOOKUP(A2193,counties,3,0)&amp;")",""),"  "," "))</f>
        <v>Rose Lake Township (Osceola County)</v>
      </c>
    </row>
    <row r="2194" spans="1:8" ht="15.75" thickBot="1" x14ac:dyDescent="0.3">
      <c r="A2194">
        <f t="shared" si="35"/>
        <v>67</v>
      </c>
      <c r="B2194" s="8">
        <v>2016</v>
      </c>
      <c r="C2194" s="1" t="s">
        <v>1913</v>
      </c>
      <c r="D2194" s="1" t="s">
        <v>9</v>
      </c>
      <c r="E2194" s="2" t="s">
        <v>7</v>
      </c>
      <c r="F2194" s="9" t="s">
        <v>19</v>
      </c>
      <c r="H2194" t="str">
        <f>TRIM(SUBSTITUTE(PROPER(C2194)&amp;" "&amp;IF(OR(D2194="County",D2194="Township",D2194="Village",D2194="Charter Township"),D2194,"")&amp;IF(D2194="Township"," "&amp;"("&amp;VLOOKUP(A2194,counties,3,0)&amp;")",""),"  "," "))</f>
        <v>Sylvan Township (Osceola County)</v>
      </c>
    </row>
    <row r="2195" spans="1:8" ht="15.75" thickBot="1" x14ac:dyDescent="0.3">
      <c r="A2195">
        <f t="shared" si="35"/>
        <v>67</v>
      </c>
      <c r="B2195" s="10">
        <v>2016</v>
      </c>
      <c r="C2195" s="3" t="s">
        <v>1914</v>
      </c>
      <c r="D2195" s="3" t="s">
        <v>21</v>
      </c>
      <c r="E2195" s="4" t="s">
        <v>7</v>
      </c>
      <c r="F2195" s="11" t="s">
        <v>19</v>
      </c>
      <c r="H2195" t="str">
        <f>TRIM(SUBSTITUTE(PROPER(C2195)&amp;" "&amp;IF(OR(D2195="County",D2195="Township",D2195="Village",D2195="Charter Township"),D2195,"")&amp;IF(D2195="Township"," "&amp;"("&amp;VLOOKUP(A2195,counties,3,0)&amp;")",""),"  "," "))</f>
        <v>Tustin Village</v>
      </c>
    </row>
    <row r="2196" spans="1:8" ht="15.75" thickBot="1" x14ac:dyDescent="0.3">
      <c r="A2196">
        <f t="shared" si="35"/>
        <v>67</v>
      </c>
      <c r="B2196" s="16">
        <v>2016</v>
      </c>
      <c r="C2196" s="17" t="s">
        <v>1915</v>
      </c>
      <c r="D2196" s="17" t="s">
        <v>17</v>
      </c>
      <c r="E2196" s="18" t="s">
        <v>7</v>
      </c>
      <c r="F2196" s="19" t="s">
        <v>19</v>
      </c>
      <c r="H2196" t="str">
        <f>TRIM(SUBSTITUTE(PROPER(C2196)&amp;" "&amp;IF(OR(D2196="County",D2196="Township",D2196="Village",D2196="Charter Township"),D2196,"")&amp;IF(D2196="Township"," "&amp;"("&amp;VLOOKUP(A2196,counties,3,0)&amp;")",""),"  "," "))</f>
        <v>Tustin Area Fire District</v>
      </c>
    </row>
    <row r="2197" spans="1:8" ht="16.5" thickTop="1" thickBot="1" x14ac:dyDescent="0.3">
      <c r="A2197">
        <f t="shared" si="35"/>
        <v>68</v>
      </c>
      <c r="B2197" s="5" t="s">
        <v>0</v>
      </c>
      <c r="C2197" s="6" t="s">
        <v>1</v>
      </c>
      <c r="D2197" s="6" t="s">
        <v>2</v>
      </c>
      <c r="E2197" s="6" t="s">
        <v>3</v>
      </c>
      <c r="F2197" s="7" t="s">
        <v>4</v>
      </c>
      <c r="H2197" t="str">
        <f>TRIM(SUBSTITUTE(PROPER(C2197)&amp;" "&amp;IF(OR(D2197="County",D2197="Township",D2197="Village",D2197="Charter Township"),D2197,"")&amp;IF(D2197="Township"," "&amp;"("&amp;VLOOKUP(A2197,counties,3,0)&amp;")",""),"  "," "))</f>
        <v>Municipality</v>
      </c>
    </row>
    <row r="2198" spans="1:8" ht="15.75" thickBot="1" x14ac:dyDescent="0.3">
      <c r="A2198">
        <f t="shared" si="35"/>
        <v>68</v>
      </c>
      <c r="B2198" s="8">
        <v>2016</v>
      </c>
      <c r="C2198" s="1" t="s">
        <v>1916</v>
      </c>
      <c r="D2198" s="1" t="s">
        <v>9</v>
      </c>
      <c r="E2198" s="2" t="s">
        <v>7</v>
      </c>
      <c r="F2198" s="9" t="s">
        <v>8</v>
      </c>
      <c r="H2198" t="str">
        <f>TRIM(SUBSTITUTE(PROPER(C2198)&amp;" "&amp;IF(OR(D2198="County",D2198="Township",D2198="Village",D2198="Charter Township"),D2198,"")&amp;IF(D2198="Township"," "&amp;"("&amp;VLOOKUP(A2198,counties,3,0)&amp;")",""),"  "," "))</f>
        <v>Big Creek Township (Oscoda County)</v>
      </c>
    </row>
    <row r="2199" spans="1:8" ht="15.75" thickBot="1" x14ac:dyDescent="0.3">
      <c r="A2199">
        <f t="shared" si="35"/>
        <v>68</v>
      </c>
      <c r="B2199" s="10">
        <v>2016</v>
      </c>
      <c r="C2199" s="3" t="s">
        <v>1917</v>
      </c>
      <c r="D2199" s="3" t="s">
        <v>17</v>
      </c>
      <c r="E2199" s="4" t="s">
        <v>7</v>
      </c>
      <c r="F2199" s="11" t="s">
        <v>8</v>
      </c>
      <c r="H2199" t="str">
        <f>TRIM(SUBSTITUTE(PROPER(C2199)&amp;" "&amp;IF(OR(D2199="County",D2199="Township",D2199="Village",D2199="Charter Township"),D2199,"")&amp;IF(D2199="Township"," "&amp;"("&amp;VLOOKUP(A2199,counties,3,0)&amp;")",""),"  "," "))</f>
        <v>Big Creek/Mentor Utility Auth</v>
      </c>
    </row>
    <row r="2200" spans="1:8" ht="15.75" thickBot="1" x14ac:dyDescent="0.3">
      <c r="A2200">
        <f t="shared" si="35"/>
        <v>68</v>
      </c>
      <c r="B2200" s="8">
        <v>2016</v>
      </c>
      <c r="C2200" s="1" t="s">
        <v>509</v>
      </c>
      <c r="D2200" s="1" t="s">
        <v>9</v>
      </c>
      <c r="E2200" s="2" t="s">
        <v>7</v>
      </c>
      <c r="F2200" s="9" t="s">
        <v>8</v>
      </c>
      <c r="H2200" t="str">
        <f>TRIM(SUBSTITUTE(PROPER(C2200)&amp;" "&amp;IF(OR(D2200="County",D2200="Township",D2200="Village",D2200="Charter Township"),D2200,"")&amp;IF(D2200="Township"," "&amp;"("&amp;VLOOKUP(A2200,counties,3,0)&amp;")",""),"  "," "))</f>
        <v>Clinton Township (Oscoda County)</v>
      </c>
    </row>
    <row r="2201" spans="1:8" ht="15.75" thickBot="1" x14ac:dyDescent="0.3">
      <c r="A2201">
        <f t="shared" si="35"/>
        <v>68</v>
      </c>
      <c r="B2201" s="10">
        <v>2016</v>
      </c>
      <c r="C2201" s="3" t="s">
        <v>1918</v>
      </c>
      <c r="D2201" s="3" t="s">
        <v>9</v>
      </c>
      <c r="E2201" s="4" t="s">
        <v>7</v>
      </c>
      <c r="F2201" s="11" t="s">
        <v>8</v>
      </c>
      <c r="H2201" t="str">
        <f>TRIM(SUBSTITUTE(PROPER(C2201)&amp;" "&amp;IF(OR(D2201="County",D2201="Township",D2201="Village",D2201="Charter Township"),D2201,"")&amp;IF(D2201="Township"," "&amp;"("&amp;VLOOKUP(A2201,counties,3,0)&amp;")",""),"  "," "))</f>
        <v>Comins Township (Oscoda County)</v>
      </c>
    </row>
    <row r="2202" spans="1:8" ht="15.75" thickBot="1" x14ac:dyDescent="0.3">
      <c r="A2202">
        <f t="shared" si="35"/>
        <v>68</v>
      </c>
      <c r="B2202" s="8">
        <v>2016</v>
      </c>
      <c r="C2202" s="1" t="s">
        <v>1919</v>
      </c>
      <c r="D2202" s="1" t="s">
        <v>9</v>
      </c>
      <c r="E2202" s="2" t="s">
        <v>7</v>
      </c>
      <c r="F2202" s="9" t="s">
        <v>8</v>
      </c>
      <c r="H2202" t="str">
        <f>TRIM(SUBSTITUTE(PROPER(C2202)&amp;" "&amp;IF(OR(D2202="County",D2202="Township",D2202="Village",D2202="Charter Township"),D2202,"")&amp;IF(D2202="Township"," "&amp;"("&amp;VLOOKUP(A2202,counties,3,0)&amp;")",""),"  "," "))</f>
        <v>Elmer Township (Oscoda County)</v>
      </c>
    </row>
    <row r="2203" spans="1:8" ht="15.75" thickBot="1" x14ac:dyDescent="0.3">
      <c r="A2203">
        <f t="shared" si="35"/>
        <v>68</v>
      </c>
      <c r="B2203" s="10">
        <v>2016</v>
      </c>
      <c r="C2203" s="3" t="s">
        <v>493</v>
      </c>
      <c r="D2203" s="3" t="s">
        <v>9</v>
      </c>
      <c r="E2203" s="4" t="s">
        <v>7</v>
      </c>
      <c r="F2203" s="11" t="s">
        <v>8</v>
      </c>
      <c r="H2203" t="str">
        <f>TRIM(SUBSTITUTE(PROPER(C2203)&amp;" "&amp;IF(OR(D2203="County",D2203="Township",D2203="Village",D2203="Charter Township"),D2203,"")&amp;IF(D2203="Township"," "&amp;"("&amp;VLOOKUP(A2203,counties,3,0)&amp;")",""),"  "," "))</f>
        <v>Greenwood Township (Oscoda County)</v>
      </c>
    </row>
    <row r="2204" spans="1:8" ht="15.75" thickBot="1" x14ac:dyDescent="0.3">
      <c r="A2204">
        <f t="shared" si="35"/>
        <v>68</v>
      </c>
      <c r="B2204" s="8">
        <v>2016</v>
      </c>
      <c r="C2204" s="1" t="s">
        <v>453</v>
      </c>
      <c r="D2204" s="1" t="s">
        <v>9</v>
      </c>
      <c r="E2204" s="2" t="s">
        <v>7</v>
      </c>
      <c r="F2204" s="9" t="s">
        <v>8</v>
      </c>
      <c r="H2204" t="str">
        <f>TRIM(SUBSTITUTE(PROPER(C2204)&amp;" "&amp;IF(OR(D2204="County",D2204="Township",D2204="Village",D2204="Charter Township"),D2204,"")&amp;IF(D2204="Township"," "&amp;"("&amp;VLOOKUP(A2204,counties,3,0)&amp;")",""),"  "," "))</f>
        <v>Mentor Township (Oscoda County)</v>
      </c>
    </row>
    <row r="2205" spans="1:8" ht="15.75" thickBot="1" x14ac:dyDescent="0.3">
      <c r="A2205">
        <f t="shared" si="35"/>
        <v>68</v>
      </c>
      <c r="B2205" s="10">
        <v>2016</v>
      </c>
      <c r="C2205" s="3" t="s">
        <v>1920</v>
      </c>
      <c r="D2205" s="3" t="s">
        <v>6</v>
      </c>
      <c r="E2205" s="4" t="s">
        <v>7</v>
      </c>
      <c r="F2205" s="11" t="s">
        <v>8</v>
      </c>
      <c r="H2205" t="str">
        <f>TRIM(SUBSTITUTE(PROPER(C2205)&amp;" "&amp;IF(OR(D2205="County",D2205="Township",D2205="Village",D2205="Charter Township"),D2205,"")&amp;IF(D2205="Township"," "&amp;"("&amp;VLOOKUP(A2205,counties,3,0)&amp;")",""),"  "," "))</f>
        <v>Oscoda County</v>
      </c>
    </row>
    <row r="2206" spans="1:8" ht="15.75" thickBot="1" x14ac:dyDescent="0.3">
      <c r="A2206">
        <f t="shared" si="35"/>
        <v>68</v>
      </c>
      <c r="B2206" s="8">
        <v>2016</v>
      </c>
      <c r="C2206" s="1" t="s">
        <v>1921</v>
      </c>
      <c r="D2206" s="1" t="s">
        <v>11</v>
      </c>
      <c r="E2206" s="2" t="s">
        <v>7</v>
      </c>
      <c r="F2206" s="9" t="s">
        <v>8</v>
      </c>
      <c r="H2206" t="str">
        <f>TRIM(SUBSTITUTE(PROPER(C2206)&amp;" "&amp;IF(OR(D2206="County",D2206="Township",D2206="Village",D2206="Charter Township"),D2206,"")&amp;IF(D2206="Township"," "&amp;"("&amp;VLOOKUP(A2206,counties,3,0)&amp;")",""),"  "," "))</f>
        <v>Oscoda County Road Commission</v>
      </c>
    </row>
    <row r="2207" spans="1:8" ht="15.75" thickBot="1" x14ac:dyDescent="0.3">
      <c r="A2207">
        <f t="shared" si="35"/>
        <v>68</v>
      </c>
      <c r="B2207" s="12">
        <v>2016</v>
      </c>
      <c r="C2207" s="13" t="s">
        <v>1922</v>
      </c>
      <c r="D2207" s="13" t="s">
        <v>17</v>
      </c>
      <c r="E2207" s="14" t="s">
        <v>7</v>
      </c>
      <c r="F2207" s="15" t="s">
        <v>8</v>
      </c>
      <c r="H2207" t="str">
        <f>TRIM(SUBSTITUTE(PROPER(C2207)&amp;" "&amp;IF(OR(D2207="County",D2207="Township",D2207="Village",D2207="Charter Township"),D2207,"")&amp;IF(D2207="Township"," "&amp;"("&amp;VLOOKUP(A2207,counties,3,0)&amp;")",""),"  "," "))</f>
        <v>Tri-Town Fire Dept-Big Creek/Elmer/Mentor Twps</v>
      </c>
    </row>
    <row r="2208" spans="1:8" ht="16.5" thickTop="1" thickBot="1" x14ac:dyDescent="0.3">
      <c r="A2208">
        <f t="shared" si="35"/>
        <v>69</v>
      </c>
      <c r="B2208" s="5" t="s">
        <v>0</v>
      </c>
      <c r="C2208" s="6" t="s">
        <v>1</v>
      </c>
      <c r="D2208" s="6" t="s">
        <v>2</v>
      </c>
      <c r="E2208" s="6" t="s">
        <v>3</v>
      </c>
      <c r="F2208" s="7" t="s">
        <v>4</v>
      </c>
      <c r="H2208" t="str">
        <f>TRIM(SUBSTITUTE(PROPER(C2208)&amp;" "&amp;IF(OR(D2208="County",D2208="Township",D2208="Village",D2208="Charter Township"),D2208,"")&amp;IF(D2208="Township"," "&amp;"("&amp;VLOOKUP(A2208,counties,3,0)&amp;")",""),"  "," "))</f>
        <v>Municipality</v>
      </c>
    </row>
    <row r="2209" spans="1:8" ht="15.75" thickBot="1" x14ac:dyDescent="0.3">
      <c r="A2209">
        <f t="shared" si="35"/>
        <v>69</v>
      </c>
      <c r="B2209" s="8">
        <v>2016</v>
      </c>
      <c r="C2209" s="1" t="s">
        <v>1923</v>
      </c>
      <c r="D2209" s="1" t="s">
        <v>9</v>
      </c>
      <c r="E2209" s="2" t="s">
        <v>7</v>
      </c>
      <c r="F2209" s="9" t="s">
        <v>8</v>
      </c>
      <c r="H2209" t="str">
        <f>TRIM(SUBSTITUTE(PROPER(C2209)&amp;" "&amp;IF(OR(D2209="County",D2209="Township",D2209="Village",D2209="Charter Township"),D2209,"")&amp;IF(D2209="Township"," "&amp;"("&amp;VLOOKUP(A2209,counties,3,0)&amp;")",""),"  "," "))</f>
        <v>Bagley Township (Otsego County)</v>
      </c>
    </row>
    <row r="2210" spans="1:8" ht="21.75" thickBot="1" x14ac:dyDescent="0.3">
      <c r="A2210">
        <f t="shared" si="35"/>
        <v>69</v>
      </c>
      <c r="B2210" s="10">
        <v>2016</v>
      </c>
      <c r="C2210" s="3" t="s">
        <v>1924</v>
      </c>
      <c r="D2210" s="3" t="s">
        <v>17</v>
      </c>
      <c r="E2210" s="4" t="s">
        <v>7</v>
      </c>
      <c r="F2210" s="11" t="s">
        <v>8</v>
      </c>
      <c r="H2210" t="str">
        <f>TRIM(SUBSTITUTE(PROPER(C2210)&amp;" "&amp;IF(OR(D2210="County",D2210="Township",D2210="Village",D2210="Charter Township"),D2210,"")&amp;IF(D2210="Township"," "&amp;"("&amp;VLOOKUP(A2210,counties,3,0)&amp;")",""),"  "," "))</f>
        <v>Bagley Township Downtown Development Authority</v>
      </c>
    </row>
    <row r="2211" spans="1:8" ht="15.75" thickBot="1" x14ac:dyDescent="0.3">
      <c r="A2211">
        <f t="shared" si="35"/>
        <v>69</v>
      </c>
      <c r="B2211" s="8">
        <v>2016</v>
      </c>
      <c r="C2211" s="1" t="s">
        <v>1925</v>
      </c>
      <c r="D2211" s="1" t="s">
        <v>9</v>
      </c>
      <c r="E2211" s="2" t="s">
        <v>7</v>
      </c>
      <c r="F2211" s="9" t="s">
        <v>8</v>
      </c>
      <c r="H2211" t="str">
        <f>TRIM(SUBSTITUTE(PROPER(C2211)&amp;" "&amp;IF(OR(D2211="County",D2211="Township",D2211="Village",D2211="Charter Township"),D2211,"")&amp;IF(D2211="Township"," "&amp;"("&amp;VLOOKUP(A2211,counties,3,0)&amp;")",""),"  "," "))</f>
        <v>Charlton Township (Otsego County)</v>
      </c>
    </row>
    <row r="2212" spans="1:8" ht="15.75" thickBot="1" x14ac:dyDescent="0.3">
      <c r="A2212">
        <f t="shared" si="35"/>
        <v>69</v>
      </c>
      <c r="B2212" s="10">
        <v>2016</v>
      </c>
      <c r="C2212" s="3" t="s">
        <v>601</v>
      </c>
      <c r="D2212" s="3" t="s">
        <v>9</v>
      </c>
      <c r="E2212" s="4" t="s">
        <v>7</v>
      </c>
      <c r="F2212" s="11" t="s">
        <v>8</v>
      </c>
      <c r="H2212" t="str">
        <f>TRIM(SUBSTITUTE(PROPER(C2212)&amp;" "&amp;IF(OR(D2212="County",D2212="Township",D2212="Village",D2212="Charter Township"),D2212,"")&amp;IF(D2212="Township"," "&amp;"("&amp;VLOOKUP(A2212,counties,3,0)&amp;")",""),"  "," "))</f>
        <v>Chester Township (Otsego County)</v>
      </c>
    </row>
    <row r="2213" spans="1:8" ht="15.75" thickBot="1" x14ac:dyDescent="0.3">
      <c r="A2213">
        <f t="shared" si="35"/>
        <v>69</v>
      </c>
      <c r="B2213" s="8">
        <v>2016</v>
      </c>
      <c r="C2213" s="1" t="s">
        <v>1926</v>
      </c>
      <c r="D2213" s="1" t="s">
        <v>9</v>
      </c>
      <c r="E2213" s="2" t="s">
        <v>7</v>
      </c>
      <c r="F2213" s="9" t="s">
        <v>8</v>
      </c>
      <c r="H2213" t="str">
        <f>TRIM(SUBSTITUTE(PROPER(C2213)&amp;" "&amp;IF(OR(D2213="County",D2213="Township",D2213="Village",D2213="Charter Township"),D2213,"")&amp;IF(D2213="Township"," "&amp;"("&amp;VLOOKUP(A2213,counties,3,0)&amp;")",""),"  "," "))</f>
        <v>Corwith Township (Otsego County)</v>
      </c>
    </row>
    <row r="2214" spans="1:8" ht="15.75" thickBot="1" x14ac:dyDescent="0.3">
      <c r="A2214">
        <f t="shared" si="35"/>
        <v>69</v>
      </c>
      <c r="B2214" s="10">
        <v>2016</v>
      </c>
      <c r="C2214" s="3" t="s">
        <v>1248</v>
      </c>
      <c r="D2214" s="3" t="s">
        <v>9</v>
      </c>
      <c r="E2214" s="4" t="s">
        <v>7</v>
      </c>
      <c r="F2214" s="11" t="s">
        <v>8</v>
      </c>
      <c r="H2214" t="str">
        <f>TRIM(SUBSTITUTE(PROPER(C2214)&amp;" "&amp;IF(OR(D2214="County",D2214="Township",D2214="Village",D2214="Charter Township"),D2214,"")&amp;IF(D2214="Township"," "&amp;"("&amp;VLOOKUP(A2214,counties,3,0)&amp;")",""),"  "," "))</f>
        <v>Dover Township (Otsego County)</v>
      </c>
    </row>
    <row r="2215" spans="1:8" ht="15.75" thickBot="1" x14ac:dyDescent="0.3">
      <c r="A2215">
        <f t="shared" si="35"/>
        <v>69</v>
      </c>
      <c r="B2215" s="8">
        <v>2016</v>
      </c>
      <c r="C2215" s="1" t="s">
        <v>1927</v>
      </c>
      <c r="D2215" s="1" t="s">
        <v>9</v>
      </c>
      <c r="E2215" s="2" t="s">
        <v>7</v>
      </c>
      <c r="F2215" s="9" t="s">
        <v>8</v>
      </c>
      <c r="H2215" t="str">
        <f>TRIM(SUBSTITUTE(PROPER(C2215)&amp;" "&amp;IF(OR(D2215="County",D2215="Township",D2215="Village",D2215="Charter Township"),D2215,"")&amp;IF(D2215="Township"," "&amp;"("&amp;VLOOKUP(A2215,counties,3,0)&amp;")",""),"  "," "))</f>
        <v>Elmira Township (Otsego County)</v>
      </c>
    </row>
    <row r="2216" spans="1:8" ht="15.75" thickBot="1" x14ac:dyDescent="0.3">
      <c r="A2216">
        <f t="shared" si="35"/>
        <v>69</v>
      </c>
      <c r="B2216" s="10">
        <v>2016</v>
      </c>
      <c r="C2216" s="3" t="s">
        <v>1928</v>
      </c>
      <c r="D2216" s="3" t="s">
        <v>15</v>
      </c>
      <c r="E2216" s="4" t="s">
        <v>7</v>
      </c>
      <c r="F2216" s="11" t="s">
        <v>8</v>
      </c>
      <c r="H2216" t="str">
        <f>TRIM(SUBSTITUTE(PROPER(C2216)&amp;" "&amp;IF(OR(D2216="County",D2216="Township",D2216="Village",D2216="Charter Township"),D2216,"")&amp;IF(D2216="Township"," "&amp;"("&amp;VLOOKUP(A2216,counties,3,0)&amp;")",""),"  "," "))</f>
        <v>Gaylord</v>
      </c>
    </row>
    <row r="2217" spans="1:8" ht="15.75" thickBot="1" x14ac:dyDescent="0.3">
      <c r="A2217">
        <f t="shared" si="35"/>
        <v>69</v>
      </c>
      <c r="B2217" s="8">
        <v>2016</v>
      </c>
      <c r="C2217" s="1" t="s">
        <v>431</v>
      </c>
      <c r="D2217" s="1" t="s">
        <v>9</v>
      </c>
      <c r="E2217" s="2" t="s">
        <v>7</v>
      </c>
      <c r="F2217" s="9" t="s">
        <v>8</v>
      </c>
      <c r="H2217" t="str">
        <f>TRIM(SUBSTITUTE(PROPER(C2217)&amp;" "&amp;IF(OR(D2217="County",D2217="Township",D2217="Village",D2217="Charter Township"),D2217,"")&amp;IF(D2217="Township"," "&amp;"("&amp;VLOOKUP(A2217,counties,3,0)&amp;")",""),"  "," "))</f>
        <v>Hayes Township (Otsego County)</v>
      </c>
    </row>
    <row r="2218" spans="1:8" ht="15.75" thickBot="1" x14ac:dyDescent="0.3">
      <c r="A2218">
        <f t="shared" si="35"/>
        <v>69</v>
      </c>
      <c r="B2218" s="10">
        <v>2016</v>
      </c>
      <c r="C2218" s="3" t="s">
        <v>1368</v>
      </c>
      <c r="D2218" s="3" t="s">
        <v>9</v>
      </c>
      <c r="E2218" s="4" t="s">
        <v>7</v>
      </c>
      <c r="F2218" s="11" t="s">
        <v>8</v>
      </c>
      <c r="H2218" t="str">
        <f>TRIM(SUBSTITUTE(PROPER(C2218)&amp;" "&amp;IF(OR(D2218="County",D2218="Township",D2218="Village",D2218="Charter Township"),D2218,"")&amp;IF(D2218="Township"," "&amp;"("&amp;VLOOKUP(A2218,counties,3,0)&amp;")",""),"  "," "))</f>
        <v>Livingston Township (Otsego County)</v>
      </c>
    </row>
    <row r="2219" spans="1:8" ht="15.75" thickBot="1" x14ac:dyDescent="0.3">
      <c r="A2219">
        <f t="shared" si="35"/>
        <v>69</v>
      </c>
      <c r="B2219" s="8">
        <v>2016</v>
      </c>
      <c r="C2219" s="1" t="s">
        <v>74</v>
      </c>
      <c r="D2219" s="1" t="s">
        <v>6</v>
      </c>
      <c r="E2219" s="2" t="s">
        <v>7</v>
      </c>
      <c r="F2219" s="9" t="s">
        <v>8</v>
      </c>
      <c r="H2219" t="str">
        <f>TRIM(SUBSTITUTE(PROPER(C2219)&amp;" "&amp;IF(OR(D2219="County",D2219="Township",D2219="Village",D2219="Charter Township"),D2219,"")&amp;IF(D2219="Township"," "&amp;"("&amp;VLOOKUP(A2219,counties,3,0)&amp;")",""),"  "," "))</f>
        <v>Otsego County</v>
      </c>
    </row>
    <row r="2220" spans="1:8" ht="15.75" thickBot="1" x14ac:dyDescent="0.3">
      <c r="A2220">
        <f t="shared" si="35"/>
        <v>69</v>
      </c>
      <c r="B2220" s="10">
        <v>2016</v>
      </c>
      <c r="C2220" s="3" t="s">
        <v>1929</v>
      </c>
      <c r="D2220" s="3" t="s">
        <v>17</v>
      </c>
      <c r="E2220" s="4" t="s">
        <v>7</v>
      </c>
      <c r="F2220" s="11" t="s">
        <v>8</v>
      </c>
      <c r="H2220" t="str">
        <f>TRIM(SUBSTITUTE(PROPER(C2220)&amp;" "&amp;IF(OR(D2220="County",D2220="Township",D2220="Village",D2220="Charter Township"),D2220,"")&amp;IF(D2220="Township"," "&amp;"("&amp;VLOOKUP(A2220,counties,3,0)&amp;")",""),"  "," "))</f>
        <v>Otsego County Bus System</v>
      </c>
    </row>
    <row r="2221" spans="1:8" ht="15.75" thickBot="1" x14ac:dyDescent="0.3">
      <c r="A2221">
        <f t="shared" si="35"/>
        <v>69</v>
      </c>
      <c r="B2221" s="8">
        <v>2016</v>
      </c>
      <c r="C2221" s="1" t="s">
        <v>1930</v>
      </c>
      <c r="D2221" s="1" t="s">
        <v>17</v>
      </c>
      <c r="E2221" s="2" t="s">
        <v>7</v>
      </c>
      <c r="F2221" s="9" t="s">
        <v>8</v>
      </c>
      <c r="H2221" t="str">
        <f>TRIM(SUBSTITUTE(PROPER(C2221)&amp;" "&amp;IF(OR(D2221="County",D2221="Township",D2221="Village",D2221="Charter Township"),D2221,"")&amp;IF(D2221="Township"," "&amp;"("&amp;VLOOKUP(A2221,counties,3,0)&amp;")",""),"  "," "))</f>
        <v>Otsego County Fire Board</v>
      </c>
    </row>
    <row r="2222" spans="1:8" ht="15.75" thickBot="1" x14ac:dyDescent="0.3">
      <c r="A2222">
        <f t="shared" si="35"/>
        <v>69</v>
      </c>
      <c r="B2222" s="10">
        <v>2016</v>
      </c>
      <c r="C2222" s="3" t="s">
        <v>1931</v>
      </c>
      <c r="D2222" s="3" t="s">
        <v>11</v>
      </c>
      <c r="E2222" s="4" t="s">
        <v>7</v>
      </c>
      <c r="F2222" s="11" t="s">
        <v>8</v>
      </c>
      <c r="H2222" t="str">
        <f>TRIM(SUBSTITUTE(PROPER(C2222)&amp;" "&amp;IF(OR(D2222="County",D2222="Township",D2222="Village",D2222="Charter Township"),D2222,"")&amp;IF(D2222="Township"," "&amp;"("&amp;VLOOKUP(A2222,counties,3,0)&amp;")",""),"  "," "))</f>
        <v>Otsego County Road Commission</v>
      </c>
    </row>
    <row r="2223" spans="1:8" ht="15.75" thickBot="1" x14ac:dyDescent="0.3">
      <c r="A2223">
        <f t="shared" si="35"/>
        <v>69</v>
      </c>
      <c r="B2223" s="8">
        <v>2016</v>
      </c>
      <c r="C2223" s="1" t="s">
        <v>1932</v>
      </c>
      <c r="D2223" s="1" t="s">
        <v>9</v>
      </c>
      <c r="E2223" s="2" t="s">
        <v>7</v>
      </c>
      <c r="F2223" s="9" t="s">
        <v>8</v>
      </c>
      <c r="H2223" t="str">
        <f>TRIM(SUBSTITUTE(PROPER(C2223)&amp;" "&amp;IF(OR(D2223="County",D2223="Township",D2223="Village",D2223="Charter Township"),D2223,"")&amp;IF(D2223="Township"," "&amp;"("&amp;VLOOKUP(A2223,counties,3,0)&amp;")",""),"  "," "))</f>
        <v>Otsego Lake Township (Otsego County)</v>
      </c>
    </row>
    <row r="2224" spans="1:8" ht="15.75" thickBot="1" x14ac:dyDescent="0.3">
      <c r="A2224">
        <f t="shared" si="35"/>
        <v>69</v>
      </c>
      <c r="B2224" s="10">
        <v>2016</v>
      </c>
      <c r="C2224" s="3" t="s">
        <v>1933</v>
      </c>
      <c r="D2224" s="3" t="s">
        <v>21</v>
      </c>
      <c r="E2224" s="4" t="s">
        <v>7</v>
      </c>
      <c r="F2224" s="11" t="s">
        <v>8</v>
      </c>
      <c r="H2224" t="str">
        <f>TRIM(SUBSTITUTE(PROPER(C2224)&amp;" "&amp;IF(OR(D2224="County",D2224="Township",D2224="Village",D2224="Charter Township"),D2224,"")&amp;IF(D2224="Township"," "&amp;"("&amp;VLOOKUP(A2224,counties,3,0)&amp;")",""),"  "," "))</f>
        <v>Vanderbilt Village</v>
      </c>
    </row>
    <row r="2225" spans="1:8" ht="15.75" thickBot="1" x14ac:dyDescent="0.3">
      <c r="A2225">
        <f t="shared" si="35"/>
        <v>69</v>
      </c>
      <c r="B2225" s="16">
        <v>2016</v>
      </c>
      <c r="C2225" s="17" t="s">
        <v>1934</v>
      </c>
      <c r="D2225" s="17" t="s">
        <v>17</v>
      </c>
      <c r="E2225" s="18" t="s">
        <v>7</v>
      </c>
      <c r="F2225" s="19" t="s">
        <v>8</v>
      </c>
      <c r="H2225" t="str">
        <f>TRIM(SUBSTITUTE(PROPER(C2225)&amp;" "&amp;IF(OR(D2225="County",D2225="Township",D2225="Village",D2225="Charter Township"),D2225,"")&amp;IF(D2225="Township"," "&amp;"("&amp;VLOOKUP(A2225,counties,3,0)&amp;")",""),"  "," "))</f>
        <v>Vanderbilt Corwith Fire And Rescue Board</v>
      </c>
    </row>
    <row r="2226" spans="1:8" ht="16.5" thickTop="1" thickBot="1" x14ac:dyDescent="0.3">
      <c r="A2226">
        <f t="shared" si="35"/>
        <v>70</v>
      </c>
      <c r="B2226" s="5" t="s">
        <v>0</v>
      </c>
      <c r="C2226" s="6" t="s">
        <v>1</v>
      </c>
      <c r="D2226" s="6" t="s">
        <v>2</v>
      </c>
      <c r="E2226" s="6" t="s">
        <v>3</v>
      </c>
      <c r="F2226" s="7" t="s">
        <v>4</v>
      </c>
      <c r="H2226" t="str">
        <f>TRIM(SUBSTITUTE(PROPER(C2226)&amp;" "&amp;IF(OR(D2226="County",D2226="Township",D2226="Village",D2226="Charter Township"),D2226,"")&amp;IF(D2226="Township"," "&amp;"("&amp;VLOOKUP(A2226,counties,3,0)&amp;")",""),"  "," "))</f>
        <v>Municipality</v>
      </c>
    </row>
    <row r="2227" spans="1:8" ht="15.75" thickBot="1" x14ac:dyDescent="0.3">
      <c r="A2227">
        <f t="shared" si="35"/>
        <v>70</v>
      </c>
      <c r="B2227" s="8">
        <v>2016</v>
      </c>
      <c r="C2227" s="1" t="s">
        <v>1935</v>
      </c>
      <c r="D2227" s="1" t="s">
        <v>9</v>
      </c>
      <c r="E2227" s="2" t="s">
        <v>7</v>
      </c>
      <c r="F2227" s="9" t="s">
        <v>8</v>
      </c>
      <c r="H2227" t="str">
        <f>TRIM(SUBSTITUTE(PROPER(C2227)&amp;" "&amp;IF(OR(D2227="County",D2227="Township",D2227="Village",D2227="Charter Township"),D2227,"")&amp;IF(D2227="Township"," "&amp;"("&amp;VLOOKUP(A2227,counties,3,0)&amp;")",""),"  "," "))</f>
        <v>Allendale Charter Township (Ottawa County)</v>
      </c>
    </row>
    <row r="2228" spans="1:8" ht="15.75" thickBot="1" x14ac:dyDescent="0.3">
      <c r="A2228">
        <f t="shared" si="35"/>
        <v>70</v>
      </c>
      <c r="B2228" s="10">
        <v>2016</v>
      </c>
      <c r="C2228" s="3" t="s">
        <v>1936</v>
      </c>
      <c r="D2228" s="3" t="s">
        <v>9</v>
      </c>
      <c r="E2228" s="4" t="s">
        <v>7</v>
      </c>
      <c r="F2228" s="11" t="s">
        <v>8</v>
      </c>
      <c r="H2228" t="str">
        <f>TRIM(SUBSTITUTE(PROPER(C2228)&amp;" "&amp;IF(OR(D2228="County",D2228="Township",D2228="Village",D2228="Charter Township"),D2228,"")&amp;IF(D2228="Township"," "&amp;"("&amp;VLOOKUP(A2228,counties,3,0)&amp;")",""),"  "," "))</f>
        <v>Blendon Township (Ottawa County)</v>
      </c>
    </row>
    <row r="2229" spans="1:8" ht="15.75" thickBot="1" x14ac:dyDescent="0.3">
      <c r="A2229">
        <f t="shared" si="35"/>
        <v>70</v>
      </c>
      <c r="B2229" s="8">
        <v>2016</v>
      </c>
      <c r="C2229" s="1" t="s">
        <v>1937</v>
      </c>
      <c r="D2229" s="1" t="s">
        <v>17</v>
      </c>
      <c r="E2229" s="2" t="s">
        <v>7</v>
      </c>
      <c r="F2229" s="9" t="s">
        <v>8</v>
      </c>
      <c r="H2229" t="str">
        <f>TRIM(SUBSTITUTE(PROPER(C2229)&amp;" "&amp;IF(OR(D2229="County",D2229="Township",D2229="Village",D2229="Charter Township"),D2229,"")&amp;IF(D2229="Township"," "&amp;"("&amp;VLOOKUP(A2229,counties,3,0)&amp;")",""),"  "," "))</f>
        <v>Community Mental Health Of Ottawa County</v>
      </c>
    </row>
    <row r="2230" spans="1:8" ht="15.75" thickBot="1" x14ac:dyDescent="0.3">
      <c r="A2230">
        <f t="shared" si="35"/>
        <v>70</v>
      </c>
      <c r="B2230" s="10">
        <v>2016</v>
      </c>
      <c r="C2230" s="3" t="s">
        <v>1938</v>
      </c>
      <c r="D2230" s="3" t="s">
        <v>15</v>
      </c>
      <c r="E2230" s="4" t="s">
        <v>7</v>
      </c>
      <c r="F2230" s="11" t="s">
        <v>8</v>
      </c>
      <c r="H2230" t="str">
        <f>TRIM(SUBSTITUTE(PROPER(C2230)&amp;" "&amp;IF(OR(D2230="County",D2230="Township",D2230="Village",D2230="Charter Township"),D2230,"")&amp;IF(D2230="Township"," "&amp;"("&amp;VLOOKUP(A2230,counties,3,0)&amp;")",""),"  "," "))</f>
        <v>Coopersville</v>
      </c>
    </row>
    <row r="2231" spans="1:8" ht="15.75" thickBot="1" x14ac:dyDescent="0.3">
      <c r="A2231">
        <f t="shared" si="35"/>
        <v>70</v>
      </c>
      <c r="B2231" s="8">
        <v>2016</v>
      </c>
      <c r="C2231" s="1" t="s">
        <v>1939</v>
      </c>
      <c r="D2231" s="1" t="s">
        <v>42</v>
      </c>
      <c r="E2231" s="2" t="s">
        <v>7</v>
      </c>
      <c r="F2231" s="9" t="s">
        <v>8</v>
      </c>
      <c r="H2231" t="str">
        <f>TRIM(SUBSTITUTE(PROPER(C2231)&amp;" "&amp;IF(OR(D2231="County",D2231="Township",D2231="Village",D2231="Charter Township"),D2231,"")&amp;IF(D2231="Township"," "&amp;"("&amp;VLOOKUP(A2231,counties,3,0)&amp;")",""),"  "," "))</f>
        <v>Coopersville Area District Library</v>
      </c>
    </row>
    <row r="2232" spans="1:8" ht="15.75" thickBot="1" x14ac:dyDescent="0.3">
      <c r="A2232">
        <f t="shared" si="35"/>
        <v>70</v>
      </c>
      <c r="B2232" s="10">
        <v>2016</v>
      </c>
      <c r="C2232" s="3" t="s">
        <v>1940</v>
      </c>
      <c r="D2232" s="3" t="s">
        <v>17</v>
      </c>
      <c r="E2232" s="4" t="s">
        <v>7</v>
      </c>
      <c r="F2232" s="11" t="s">
        <v>8</v>
      </c>
      <c r="H2232" t="str">
        <f>TRIM(SUBSTITUTE(PROPER(C2232)&amp;" "&amp;IF(OR(D2232="County",D2232="Township",D2232="Village",D2232="Charter Township"),D2232,"")&amp;IF(D2232="Township"," "&amp;"("&amp;VLOOKUP(A2232,counties,3,0)&amp;")",""),"  "," "))</f>
        <v>Coopersville Polkton Area Fire Protection Auth</v>
      </c>
    </row>
    <row r="2233" spans="1:8" ht="15.75" thickBot="1" x14ac:dyDescent="0.3">
      <c r="A2233">
        <f t="shared" si="35"/>
        <v>70</v>
      </c>
      <c r="B2233" s="8">
        <v>2016</v>
      </c>
      <c r="C2233" s="1" t="s">
        <v>1941</v>
      </c>
      <c r="D2233" s="1" t="s">
        <v>9</v>
      </c>
      <c r="E2233" s="2" t="s">
        <v>7</v>
      </c>
      <c r="F2233" s="9" t="s">
        <v>8</v>
      </c>
      <c r="H2233" t="str">
        <f>TRIM(SUBSTITUTE(PROPER(C2233)&amp;" "&amp;IF(OR(D2233="County",D2233="Township",D2233="Village",D2233="Charter Township"),D2233,"")&amp;IF(D2233="Township"," "&amp;"("&amp;VLOOKUP(A2233,counties,3,0)&amp;")",""),"  "," "))</f>
        <v>Crockery Township (Ottawa County)</v>
      </c>
    </row>
    <row r="2234" spans="1:8" ht="15.75" thickBot="1" x14ac:dyDescent="0.3">
      <c r="A2234">
        <f t="shared" si="35"/>
        <v>70</v>
      </c>
      <c r="B2234" s="10">
        <v>2016</v>
      </c>
      <c r="C2234" s="3" t="s">
        <v>1942</v>
      </c>
      <c r="D2234" s="3" t="s">
        <v>15</v>
      </c>
      <c r="E2234" s="4" t="s">
        <v>7</v>
      </c>
      <c r="F2234" s="11" t="s">
        <v>8</v>
      </c>
      <c r="H2234" t="str">
        <f>TRIM(SUBSTITUTE(PROPER(C2234)&amp;" "&amp;IF(OR(D2234="County",D2234="Township",D2234="Village",D2234="Charter Township"),D2234,"")&amp;IF(D2234="Township"," "&amp;"("&amp;VLOOKUP(A2234,counties,3,0)&amp;")",""),"  "," "))</f>
        <v>Ferrysburg</v>
      </c>
    </row>
    <row r="2235" spans="1:8" ht="15.75" thickBot="1" x14ac:dyDescent="0.3">
      <c r="A2235">
        <f t="shared" si="35"/>
        <v>70</v>
      </c>
      <c r="B2235" s="8">
        <v>2016</v>
      </c>
      <c r="C2235" s="1" t="s">
        <v>1943</v>
      </c>
      <c r="D2235" s="1" t="s">
        <v>9</v>
      </c>
      <c r="E2235" s="2" t="s">
        <v>7</v>
      </c>
      <c r="F2235" s="9" t="s">
        <v>8</v>
      </c>
      <c r="H2235" t="str">
        <f>TRIM(SUBSTITUTE(PROPER(C2235)&amp;" "&amp;IF(OR(D2235="County",D2235="Township",D2235="Village",D2235="Charter Township"),D2235,"")&amp;IF(D2235="Township"," "&amp;"("&amp;VLOOKUP(A2235,counties,3,0)&amp;")",""),"  "," "))</f>
        <v>Georgetown Charter Township (Ottawa County)</v>
      </c>
    </row>
    <row r="2236" spans="1:8" ht="15.75" thickBot="1" x14ac:dyDescent="0.3">
      <c r="A2236">
        <f t="shared" si="35"/>
        <v>70</v>
      </c>
      <c r="B2236" s="10">
        <v>2016</v>
      </c>
      <c r="C2236" s="3" t="s">
        <v>1944</v>
      </c>
      <c r="D2236" s="3" t="s">
        <v>15</v>
      </c>
      <c r="E2236" s="4" t="s">
        <v>7</v>
      </c>
      <c r="F2236" s="11" t="s">
        <v>8</v>
      </c>
      <c r="H2236" t="str">
        <f>TRIM(SUBSTITUTE(PROPER(C2236)&amp;" "&amp;IF(OR(D2236="County",D2236="Township",D2236="Village",D2236="Charter Township"),D2236,"")&amp;IF(D2236="Township"," "&amp;"("&amp;VLOOKUP(A2236,counties,3,0)&amp;")",""),"  "," "))</f>
        <v>Grand Haven</v>
      </c>
    </row>
    <row r="2237" spans="1:8" ht="15.75" thickBot="1" x14ac:dyDescent="0.3">
      <c r="A2237">
        <f t="shared" si="35"/>
        <v>70</v>
      </c>
      <c r="B2237" s="8">
        <v>2016</v>
      </c>
      <c r="C2237" s="1" t="s">
        <v>1945</v>
      </c>
      <c r="D2237" s="1" t="s">
        <v>72</v>
      </c>
      <c r="E2237" s="2" t="s">
        <v>7</v>
      </c>
      <c r="F2237" s="9" t="s">
        <v>8</v>
      </c>
      <c r="H2237" t="str">
        <f>TRIM(SUBSTITUTE(PROPER(C2237)&amp;" "&amp;IF(OR(D2237="County",D2237="Township",D2237="Village",D2237="Charter Township"),D2237,"")&amp;IF(D2237="Township"," "&amp;"("&amp;VLOOKUP(A2237,counties,3,0)&amp;")",""),"  "," "))</f>
        <v>Grand Haven Board Of Light And Power</v>
      </c>
    </row>
    <row r="2238" spans="1:8" ht="15.75" thickBot="1" x14ac:dyDescent="0.3">
      <c r="A2238">
        <f t="shared" si="35"/>
        <v>70</v>
      </c>
      <c r="B2238" s="10">
        <v>2016</v>
      </c>
      <c r="C2238" s="3" t="s">
        <v>1946</v>
      </c>
      <c r="D2238" s="3" t="s">
        <v>9</v>
      </c>
      <c r="E2238" s="4" t="s">
        <v>7</v>
      </c>
      <c r="F2238" s="11" t="s">
        <v>8</v>
      </c>
      <c r="H2238" t="str">
        <f>TRIM(SUBSTITUTE(PROPER(C2238)&amp;" "&amp;IF(OR(D2238="County",D2238="Township",D2238="Village",D2238="Charter Township"),D2238,"")&amp;IF(D2238="Township"," "&amp;"("&amp;VLOOKUP(A2238,counties,3,0)&amp;")",""),"  "," "))</f>
        <v>Grand Haven Charter Township (Ottawa County)</v>
      </c>
    </row>
    <row r="2239" spans="1:8" ht="15.75" thickBot="1" x14ac:dyDescent="0.3">
      <c r="A2239">
        <f t="shared" si="35"/>
        <v>70</v>
      </c>
      <c r="B2239" s="8">
        <v>2016</v>
      </c>
      <c r="C2239" s="1" t="s">
        <v>1947</v>
      </c>
      <c r="D2239" s="1" t="s">
        <v>17</v>
      </c>
      <c r="E2239" s="2" t="s">
        <v>7</v>
      </c>
      <c r="F2239" s="9" t="s">
        <v>8</v>
      </c>
      <c r="H2239" t="str">
        <f>TRIM(SUBSTITUTE(PROPER(C2239)&amp;" "&amp;IF(OR(D2239="County",D2239="Township",D2239="Village",D2239="Charter Township"),D2239,"")&amp;IF(D2239="Township"," "&amp;"("&amp;VLOOKUP(A2239,counties,3,0)&amp;")",""),"  "," "))</f>
        <v>Grand Haven-Spring Lake Sewer Authority</v>
      </c>
    </row>
    <row r="2240" spans="1:8" ht="15.75" thickBot="1" x14ac:dyDescent="0.3">
      <c r="A2240">
        <f t="shared" si="35"/>
        <v>70</v>
      </c>
      <c r="B2240" s="10">
        <v>2016</v>
      </c>
      <c r="C2240" s="3" t="s">
        <v>1948</v>
      </c>
      <c r="D2240" s="3" t="s">
        <v>17</v>
      </c>
      <c r="E2240" s="4" t="s">
        <v>7</v>
      </c>
      <c r="F2240" s="11" t="s">
        <v>8</v>
      </c>
      <c r="H2240" t="str">
        <f>TRIM(SUBSTITUTE(PROPER(C2240)&amp;" "&amp;IF(OR(D2240="County",D2240="Township",D2240="Village",D2240="Charter Township"),D2240,"")&amp;IF(D2240="Township"," "&amp;"("&amp;VLOOKUP(A2240,counties,3,0)&amp;")",""),"  "," "))</f>
        <v>Harbor Transit Multi-Modal Transportation System</v>
      </c>
    </row>
    <row r="2241" spans="1:8" ht="15.75" thickBot="1" x14ac:dyDescent="0.3">
      <c r="A2241">
        <f t="shared" si="35"/>
        <v>70</v>
      </c>
      <c r="B2241" s="8">
        <v>2016</v>
      </c>
      <c r="C2241" s="1" t="s">
        <v>1949</v>
      </c>
      <c r="D2241" s="1" t="s">
        <v>42</v>
      </c>
      <c r="E2241" s="2" t="s">
        <v>7</v>
      </c>
      <c r="F2241" s="9" t="s">
        <v>8</v>
      </c>
      <c r="H2241" t="str">
        <f>TRIM(SUBSTITUTE(PROPER(C2241)&amp;" "&amp;IF(OR(D2241="County",D2241="Township",D2241="Village",D2241="Charter Township"),D2241,"")&amp;IF(D2241="Township"," "&amp;"("&amp;VLOOKUP(A2241,counties,3,0)&amp;")",""),"  "," "))</f>
        <v>Herrick District Library</v>
      </c>
    </row>
    <row r="2242" spans="1:8" ht="15.75" thickBot="1" x14ac:dyDescent="0.3">
      <c r="A2242">
        <f t="shared" si="35"/>
        <v>70</v>
      </c>
      <c r="B2242" s="10">
        <v>2016</v>
      </c>
      <c r="C2242" s="3" t="s">
        <v>1587</v>
      </c>
      <c r="D2242" s="3" t="s">
        <v>15</v>
      </c>
      <c r="E2242" s="4" t="s">
        <v>7</v>
      </c>
      <c r="F2242" s="11" t="s">
        <v>8</v>
      </c>
      <c r="H2242" t="str">
        <f>TRIM(SUBSTITUTE(PROPER(C2242)&amp;" "&amp;IF(OR(D2242="County",D2242="Township",D2242="Village",D2242="Charter Township"),D2242,"")&amp;IF(D2242="Township"," "&amp;"("&amp;VLOOKUP(A2242,counties,3,0)&amp;")",""),"  "," "))</f>
        <v>Holland</v>
      </c>
    </row>
    <row r="2243" spans="1:8" ht="15.75" thickBot="1" x14ac:dyDescent="0.3">
      <c r="A2243">
        <f t="shared" ref="A2243:A2306" si="36">IF(B2243="Year",A2242+1,A2242)</f>
        <v>70</v>
      </c>
      <c r="B2243" s="8">
        <v>2016</v>
      </c>
      <c r="C2243" s="1" t="s">
        <v>1950</v>
      </c>
      <c r="D2243" s="1" t="s">
        <v>17</v>
      </c>
      <c r="E2243" s="2" t="s">
        <v>7</v>
      </c>
      <c r="F2243" s="9" t="s">
        <v>8</v>
      </c>
      <c r="H2243" t="str">
        <f>TRIM(SUBSTITUTE(PROPER(C2243)&amp;" "&amp;IF(OR(D2243="County",D2243="Township",D2243="Village",D2243="Charter Township"),D2243,"")&amp;IF(D2243="Township"," "&amp;"("&amp;VLOOKUP(A2243,counties,3,0)&amp;")",""),"  "," "))</f>
        <v>Holland Area Center Joint Building Authority</v>
      </c>
    </row>
    <row r="2244" spans="1:8" ht="15.75" thickBot="1" x14ac:dyDescent="0.3">
      <c r="A2244">
        <f t="shared" si="36"/>
        <v>70</v>
      </c>
      <c r="B2244" s="10">
        <v>2016</v>
      </c>
      <c r="C2244" s="3" t="s">
        <v>1951</v>
      </c>
      <c r="D2244" s="3" t="s">
        <v>17</v>
      </c>
      <c r="E2244" s="4" t="s">
        <v>7</v>
      </c>
      <c r="F2244" s="11" t="s">
        <v>8</v>
      </c>
      <c r="H2244" t="str">
        <f>TRIM(SUBSTITUTE(PROPER(C2244)&amp;" "&amp;IF(OR(D2244="County",D2244="Township",D2244="Village",D2244="Charter Township"),D2244,"")&amp;IF(D2244="Township"," "&amp;"("&amp;VLOOKUP(A2244,counties,3,0)&amp;")",""),"  "," "))</f>
        <v>Holland Area Community Swimming Pool Authority</v>
      </c>
    </row>
    <row r="2245" spans="1:8" ht="15.75" thickBot="1" x14ac:dyDescent="0.3">
      <c r="A2245">
        <f t="shared" si="36"/>
        <v>70</v>
      </c>
      <c r="B2245" s="8">
        <v>2016</v>
      </c>
      <c r="C2245" s="1" t="s">
        <v>1952</v>
      </c>
      <c r="D2245" s="1" t="s">
        <v>9</v>
      </c>
      <c r="E2245" s="2" t="s">
        <v>7</v>
      </c>
      <c r="F2245" s="9" t="s">
        <v>8</v>
      </c>
      <c r="H2245" t="str">
        <f>TRIM(SUBSTITUTE(PROPER(C2245)&amp;" "&amp;IF(OR(D2245="County",D2245="Township",D2245="Village",D2245="Charter Township"),D2245,"")&amp;IF(D2245="Township"," "&amp;"("&amp;VLOOKUP(A2245,counties,3,0)&amp;")",""),"  "," "))</f>
        <v>Holland Charter Township (Ottawa County)</v>
      </c>
    </row>
    <row r="2246" spans="1:8" ht="15.75" thickBot="1" x14ac:dyDescent="0.3">
      <c r="A2246">
        <f t="shared" si="36"/>
        <v>70</v>
      </c>
      <c r="B2246" s="10">
        <v>2016</v>
      </c>
      <c r="C2246" s="3" t="s">
        <v>1953</v>
      </c>
      <c r="D2246" s="3" t="s">
        <v>17</v>
      </c>
      <c r="E2246" s="4" t="s">
        <v>7</v>
      </c>
      <c r="F2246" s="11" t="s">
        <v>8</v>
      </c>
      <c r="H2246" t="str">
        <f>TRIM(SUBSTITUTE(PROPER(C2246)&amp;" "&amp;IF(OR(D2246="County",D2246="Township",D2246="Village",D2246="Charter Township"),D2246,"")&amp;IF(D2246="Township"," "&amp;"("&amp;VLOOKUP(A2246,counties,3,0)&amp;")",""),"  "," "))</f>
        <v>Holland City Board Of Public Works</v>
      </c>
    </row>
    <row r="2247" spans="1:8" ht="15.75" thickBot="1" x14ac:dyDescent="0.3">
      <c r="A2247">
        <f t="shared" si="36"/>
        <v>70</v>
      </c>
      <c r="B2247" s="8">
        <v>2016</v>
      </c>
      <c r="C2247" s="1" t="s">
        <v>1954</v>
      </c>
      <c r="D2247" s="1" t="s">
        <v>15</v>
      </c>
      <c r="E2247" s="2" t="s">
        <v>7</v>
      </c>
      <c r="F2247" s="9" t="s">
        <v>8</v>
      </c>
      <c r="H2247" t="str">
        <f>TRIM(SUBSTITUTE(PROPER(C2247)&amp;" "&amp;IF(OR(D2247="County",D2247="Township",D2247="Village",D2247="Charter Township"),D2247,"")&amp;IF(D2247="Township"," "&amp;"("&amp;VLOOKUP(A2247,counties,3,0)&amp;")",""),"  "," "))</f>
        <v>Hudsonville</v>
      </c>
    </row>
    <row r="2248" spans="1:8" ht="15.75" thickBot="1" x14ac:dyDescent="0.3">
      <c r="A2248">
        <f t="shared" si="36"/>
        <v>70</v>
      </c>
      <c r="B2248" s="10">
        <v>2016</v>
      </c>
      <c r="C2248" s="3" t="s">
        <v>1955</v>
      </c>
      <c r="D2248" s="3" t="s">
        <v>9</v>
      </c>
      <c r="E2248" s="4" t="s">
        <v>7</v>
      </c>
      <c r="F2248" s="11" t="s">
        <v>19</v>
      </c>
      <c r="H2248" t="str">
        <f>TRIM(SUBSTITUTE(PROPER(C2248)&amp;" "&amp;IF(OR(D2248="County",D2248="Township",D2248="Village",D2248="Charter Township"),D2248,"")&amp;IF(D2248="Township"," "&amp;"("&amp;VLOOKUP(A2248,counties,3,0)&amp;")",""),"  "," "))</f>
        <v>Jamestown Charter Township (Ottawa County)</v>
      </c>
    </row>
    <row r="2249" spans="1:8" ht="15.75" thickBot="1" x14ac:dyDescent="0.3">
      <c r="A2249">
        <f t="shared" si="36"/>
        <v>70</v>
      </c>
      <c r="B2249" s="8">
        <v>2016</v>
      </c>
      <c r="C2249" s="1" t="s">
        <v>1956</v>
      </c>
      <c r="D2249" s="1" t="s">
        <v>42</v>
      </c>
      <c r="E2249" s="2" t="s">
        <v>7</v>
      </c>
      <c r="F2249" s="9" t="s">
        <v>8</v>
      </c>
      <c r="H2249" t="str">
        <f>TRIM(SUBSTITUTE(PROPER(C2249)&amp;" "&amp;IF(OR(D2249="County",D2249="Township",D2249="Village",D2249="Charter Township"),D2249,"")&amp;IF(D2249="Township"," "&amp;"("&amp;VLOOKUP(A2249,counties,3,0)&amp;")",""),"  "," "))</f>
        <v>Loutit District Library</v>
      </c>
    </row>
    <row r="2250" spans="1:8" ht="15.75" thickBot="1" x14ac:dyDescent="0.3">
      <c r="A2250">
        <f t="shared" si="36"/>
        <v>70</v>
      </c>
      <c r="B2250" s="10">
        <v>2016</v>
      </c>
      <c r="C2250" s="3" t="s">
        <v>1957</v>
      </c>
      <c r="D2250" s="3" t="s">
        <v>17</v>
      </c>
      <c r="E2250" s="4" t="s">
        <v>7</v>
      </c>
      <c r="F2250" s="11" t="s">
        <v>8</v>
      </c>
      <c r="H2250" t="str">
        <f>TRIM(SUBSTITUTE(PROPER(C2250)&amp;" "&amp;IF(OR(D2250="County",D2250="Township",D2250="Village",D2250="Charter Township"),D2250,"")&amp;IF(D2250="Township"," "&amp;"("&amp;VLOOKUP(A2250,counties,3,0)&amp;")",""),"  "," "))</f>
        <v>Macatawa Area Coordinating Council</v>
      </c>
    </row>
    <row r="2251" spans="1:8" ht="15.75" thickBot="1" x14ac:dyDescent="0.3">
      <c r="A2251">
        <f t="shared" si="36"/>
        <v>70</v>
      </c>
      <c r="B2251" s="8">
        <v>2016</v>
      </c>
      <c r="C2251" s="1" t="s">
        <v>1958</v>
      </c>
      <c r="D2251" s="1" t="s">
        <v>17</v>
      </c>
      <c r="E2251" s="2" t="s">
        <v>7</v>
      </c>
      <c r="F2251" s="9" t="s">
        <v>8</v>
      </c>
      <c r="H2251" t="str">
        <f>TRIM(SUBSTITUTE(PROPER(C2251)&amp;" "&amp;IF(OR(D2251="County",D2251="Township",D2251="Village",D2251="Charter Township"),D2251,"")&amp;IF(D2251="Township"," "&amp;"("&amp;VLOOKUP(A2251,counties,3,0)&amp;")",""),"  "," "))</f>
        <v>Macatawa Area Express Transportation Authority</v>
      </c>
    </row>
    <row r="2252" spans="1:8" ht="15.75" thickBot="1" x14ac:dyDescent="0.3">
      <c r="A2252">
        <f t="shared" si="36"/>
        <v>70</v>
      </c>
      <c r="B2252" s="10">
        <v>2016</v>
      </c>
      <c r="C2252" s="3" t="s">
        <v>1959</v>
      </c>
      <c r="D2252" s="3" t="s">
        <v>17</v>
      </c>
      <c r="E2252" s="4" t="s">
        <v>7</v>
      </c>
      <c r="F2252" s="11" t="s">
        <v>8</v>
      </c>
      <c r="H2252" t="str">
        <f>TRIM(SUBSTITUTE(PROPER(C2252)&amp;" "&amp;IF(OR(D2252="County",D2252="Township",D2252="Village",D2252="Charter Township"),D2252,"")&amp;IF(D2252="Township"," "&amp;"("&amp;VLOOKUP(A2252,counties,3,0)&amp;")",""),"  "," "))</f>
        <v>Michigan Insurance Authority/Ottawa Co</v>
      </c>
    </row>
    <row r="2253" spans="1:8" ht="15.75" thickBot="1" x14ac:dyDescent="0.3">
      <c r="A2253">
        <f t="shared" si="36"/>
        <v>70</v>
      </c>
      <c r="B2253" s="8">
        <v>2016</v>
      </c>
      <c r="C2253" s="1" t="s">
        <v>1960</v>
      </c>
      <c r="D2253" s="1" t="s">
        <v>17</v>
      </c>
      <c r="E2253" s="2" t="s">
        <v>7</v>
      </c>
      <c r="F2253" s="9" t="s">
        <v>8</v>
      </c>
      <c r="H2253" t="str">
        <f>TRIM(SUBSTITUTE(PROPER(C2253)&amp;" "&amp;IF(OR(D2253="County",D2253="Township",D2253="Village",D2253="Charter Township"),D2253,"")&amp;IF(D2253="Township"," "&amp;"("&amp;VLOOKUP(A2253,counties,3,0)&amp;")",""),"  "," "))</f>
        <v>Northwest Ottawa Water Treatment Plant</v>
      </c>
    </row>
    <row r="2254" spans="1:8" ht="15.75" thickBot="1" x14ac:dyDescent="0.3">
      <c r="A2254">
        <f t="shared" si="36"/>
        <v>70</v>
      </c>
      <c r="B2254" s="10">
        <v>2016</v>
      </c>
      <c r="C2254" s="3" t="s">
        <v>1961</v>
      </c>
      <c r="D2254" s="3" t="s">
        <v>9</v>
      </c>
      <c r="E2254" s="4" t="s">
        <v>7</v>
      </c>
      <c r="F2254" s="11" t="s">
        <v>19</v>
      </c>
      <c r="H2254" t="str">
        <f>TRIM(SUBSTITUTE(PROPER(C2254)&amp;" "&amp;IF(OR(D2254="County",D2254="Township",D2254="Village",D2254="Charter Township"),D2254,"")&amp;IF(D2254="Township"," "&amp;"("&amp;VLOOKUP(A2254,counties,3,0)&amp;")",""),"  "," "))</f>
        <v>Olive Township (Ottawa County)</v>
      </c>
    </row>
    <row r="2255" spans="1:8" ht="15.75" thickBot="1" x14ac:dyDescent="0.3">
      <c r="A2255">
        <f t="shared" si="36"/>
        <v>70</v>
      </c>
      <c r="B2255" s="8">
        <v>2016</v>
      </c>
      <c r="C2255" s="1" t="s">
        <v>1962</v>
      </c>
      <c r="D2255" s="1" t="s">
        <v>6</v>
      </c>
      <c r="E2255" s="2" t="s">
        <v>7</v>
      </c>
      <c r="F2255" s="9" t="s">
        <v>8</v>
      </c>
      <c r="H2255" t="str">
        <f>TRIM(SUBSTITUTE(PROPER(C2255)&amp;" "&amp;IF(OR(D2255="County",D2255="Township",D2255="Village",D2255="Charter Township"),D2255,"")&amp;IF(D2255="Township"," "&amp;"("&amp;VLOOKUP(A2255,counties,3,0)&amp;")",""),"  "," "))</f>
        <v>Ottawa County</v>
      </c>
    </row>
    <row r="2256" spans="1:8" ht="15.75" thickBot="1" x14ac:dyDescent="0.3">
      <c r="A2256">
        <f t="shared" si="36"/>
        <v>70</v>
      </c>
      <c r="B2256" s="10">
        <v>2016</v>
      </c>
      <c r="C2256" s="3" t="s">
        <v>1963</v>
      </c>
      <c r="D2256" s="3" t="s">
        <v>11</v>
      </c>
      <c r="E2256" s="4" t="s">
        <v>7</v>
      </c>
      <c r="F2256" s="11" t="s">
        <v>8</v>
      </c>
      <c r="H2256" t="str">
        <f>TRIM(SUBSTITUTE(PROPER(C2256)&amp;" "&amp;IF(OR(D2256="County",D2256="Township",D2256="Village",D2256="Charter Township"),D2256,"")&amp;IF(D2256="Township"," "&amp;"("&amp;VLOOKUP(A2256,counties,3,0)&amp;")",""),"  "," "))</f>
        <v>Ottawa Co Road Commission</v>
      </c>
    </row>
    <row r="2257" spans="1:8" ht="15.75" thickBot="1" x14ac:dyDescent="0.3">
      <c r="A2257">
        <f t="shared" si="36"/>
        <v>70</v>
      </c>
      <c r="B2257" s="8">
        <v>2016</v>
      </c>
      <c r="C2257" s="1" t="s">
        <v>1964</v>
      </c>
      <c r="D2257" s="1" t="s">
        <v>17</v>
      </c>
      <c r="E2257" s="2" t="s">
        <v>7</v>
      </c>
      <c r="F2257" s="9" t="s">
        <v>8</v>
      </c>
      <c r="H2257" t="str">
        <f>TRIM(SUBSTITUTE(PROPER(C2257)&amp;" "&amp;IF(OR(D2257="County",D2257="Township",D2257="Village",D2257="Charter Township"),D2257,"")&amp;IF(D2257="Township"," "&amp;"("&amp;VLOOKUP(A2257,counties,3,0)&amp;")",""),"  "," "))</f>
        <v>Ottawa County Central Dispatch Authority</v>
      </c>
    </row>
    <row r="2258" spans="1:8" ht="15.75" thickBot="1" x14ac:dyDescent="0.3">
      <c r="A2258">
        <f t="shared" si="36"/>
        <v>70</v>
      </c>
      <c r="B2258" s="10">
        <v>2016</v>
      </c>
      <c r="C2258" s="3" t="s">
        <v>1965</v>
      </c>
      <c r="D2258" s="3" t="s">
        <v>17</v>
      </c>
      <c r="E2258" s="4" t="s">
        <v>7</v>
      </c>
      <c r="F2258" s="11" t="s">
        <v>8</v>
      </c>
      <c r="H2258" t="str">
        <f>TRIM(SUBSTITUTE(PROPER(C2258)&amp;" "&amp;IF(OR(D2258="County",D2258="Township",D2258="Village",D2258="Charter Township"),D2258,"")&amp;IF(D2258="Township"," "&amp;"("&amp;VLOOKUP(A2258,counties,3,0)&amp;")",""),"  "," "))</f>
        <v>Ottawa County Drain Commission</v>
      </c>
    </row>
    <row r="2259" spans="1:8" ht="15.75" thickBot="1" x14ac:dyDescent="0.3">
      <c r="A2259">
        <f t="shared" si="36"/>
        <v>70</v>
      </c>
      <c r="B2259" s="8">
        <v>2016</v>
      </c>
      <c r="C2259" s="1" t="s">
        <v>1966</v>
      </c>
      <c r="D2259" s="1" t="s">
        <v>17</v>
      </c>
      <c r="E2259" s="2" t="s">
        <v>7</v>
      </c>
      <c r="F2259" s="9" t="s">
        <v>8</v>
      </c>
      <c r="H2259" t="str">
        <f>TRIM(SUBSTITUTE(PROPER(C2259)&amp;" "&amp;IF(OR(D2259="County",D2259="Township",D2259="Village",D2259="Charter Township"),D2259,"")&amp;IF(D2259="Township"," "&amp;"("&amp;VLOOKUP(A2259,counties,3,0)&amp;")",""),"  "," "))</f>
        <v>Ottawa County Public Utilities System</v>
      </c>
    </row>
    <row r="2260" spans="1:8" ht="15.75" thickBot="1" x14ac:dyDescent="0.3">
      <c r="A2260">
        <f t="shared" si="36"/>
        <v>70</v>
      </c>
      <c r="B2260" s="10">
        <v>2016</v>
      </c>
      <c r="C2260" s="3" t="s">
        <v>1967</v>
      </c>
      <c r="D2260" s="3" t="s">
        <v>9</v>
      </c>
      <c r="E2260" s="4" t="s">
        <v>7</v>
      </c>
      <c r="F2260" s="11" t="s">
        <v>19</v>
      </c>
      <c r="H2260" t="str">
        <f>TRIM(SUBSTITUTE(PROPER(C2260)&amp;" "&amp;IF(OR(D2260="County",D2260="Township",D2260="Village",D2260="Charter Township"),D2260,"")&amp;IF(D2260="Township"," "&amp;"("&amp;VLOOKUP(A2260,counties,3,0)&amp;")",""),"  "," "))</f>
        <v>Park Township (Ottawa County)</v>
      </c>
    </row>
    <row r="2261" spans="1:8" ht="15.75" thickBot="1" x14ac:dyDescent="0.3">
      <c r="A2261">
        <f t="shared" si="36"/>
        <v>70</v>
      </c>
      <c r="B2261" s="8">
        <v>2016</v>
      </c>
      <c r="C2261" s="1" t="s">
        <v>1968</v>
      </c>
      <c r="D2261" s="1" t="s">
        <v>17</v>
      </c>
      <c r="E2261" s="2" t="s">
        <v>7</v>
      </c>
      <c r="F2261" s="9" t="s">
        <v>8</v>
      </c>
      <c r="H2261" t="str">
        <f>TRIM(SUBSTITUTE(PROPER(C2261)&amp;" "&amp;IF(OR(D2261="County",D2261="Township",D2261="Village",D2261="Charter Township"),D2261,"")&amp;IF(D2261="Township"," "&amp;"("&amp;VLOOKUP(A2261,counties,3,0)&amp;")",""),"  "," "))</f>
        <v>Park-Holland Township Water &amp; Sewer Authority</v>
      </c>
    </row>
    <row r="2262" spans="1:8" ht="15.75" thickBot="1" x14ac:dyDescent="0.3">
      <c r="A2262">
        <f t="shared" si="36"/>
        <v>70</v>
      </c>
      <c r="B2262" s="10">
        <v>2016</v>
      </c>
      <c r="C2262" s="3" t="s">
        <v>1969</v>
      </c>
      <c r="D2262" s="3" t="s">
        <v>9</v>
      </c>
      <c r="E2262" s="4" t="s">
        <v>7</v>
      </c>
      <c r="F2262" s="11" t="s">
        <v>8</v>
      </c>
      <c r="H2262" t="str">
        <f>TRIM(SUBSTITUTE(PROPER(C2262)&amp;" "&amp;IF(OR(D2262="County",D2262="Township",D2262="Village",D2262="Charter Township"),D2262,"")&amp;IF(D2262="Township"," "&amp;"("&amp;VLOOKUP(A2262,counties,3,0)&amp;")",""),"  "," "))</f>
        <v>Polkton Charter Township (Ottawa County)</v>
      </c>
    </row>
    <row r="2263" spans="1:8" ht="15.75" thickBot="1" x14ac:dyDescent="0.3">
      <c r="A2263">
        <f t="shared" si="36"/>
        <v>70</v>
      </c>
      <c r="B2263" s="8">
        <v>2016</v>
      </c>
      <c r="C2263" s="1" t="s">
        <v>1970</v>
      </c>
      <c r="D2263" s="1" t="s">
        <v>9</v>
      </c>
      <c r="E2263" s="2" t="s">
        <v>7</v>
      </c>
      <c r="F2263" s="9" t="s">
        <v>19</v>
      </c>
      <c r="H2263" t="str">
        <f>TRIM(SUBSTITUTE(PROPER(C2263)&amp;" "&amp;IF(OR(D2263="County",D2263="Township",D2263="Village",D2263="Charter Township"),D2263,"")&amp;IF(D2263="Township"," "&amp;"("&amp;VLOOKUP(A2263,counties,3,0)&amp;")",""),"  "," "))</f>
        <v>Port Sheldon Township (Ottawa County)</v>
      </c>
    </row>
    <row r="2264" spans="1:8" ht="15.75" thickBot="1" x14ac:dyDescent="0.3">
      <c r="A2264">
        <f t="shared" si="36"/>
        <v>70</v>
      </c>
      <c r="B2264" s="10">
        <v>2016</v>
      </c>
      <c r="C2264" s="3" t="s">
        <v>1971</v>
      </c>
      <c r="D2264" s="3" t="s">
        <v>9</v>
      </c>
      <c r="E2264" s="4" t="s">
        <v>7</v>
      </c>
      <c r="F2264" s="11" t="s">
        <v>19</v>
      </c>
      <c r="H2264" t="str">
        <f>TRIM(SUBSTITUTE(PROPER(C2264)&amp;" "&amp;IF(OR(D2264="County",D2264="Township",D2264="Village",D2264="Charter Township"),D2264,"")&amp;IF(D2264="Township"," "&amp;"("&amp;VLOOKUP(A2264,counties,3,0)&amp;")",""),"  "," "))</f>
        <v>Robinson Township (Ottawa County)</v>
      </c>
    </row>
    <row r="2265" spans="1:8" ht="15.75" thickBot="1" x14ac:dyDescent="0.3">
      <c r="A2265">
        <f t="shared" si="36"/>
        <v>70</v>
      </c>
      <c r="B2265" s="8">
        <v>2016</v>
      </c>
      <c r="C2265" s="1" t="s">
        <v>1972</v>
      </c>
      <c r="D2265" s="1" t="s">
        <v>9</v>
      </c>
      <c r="E2265" s="2" t="s">
        <v>7</v>
      </c>
      <c r="F2265" s="9" t="s">
        <v>19</v>
      </c>
      <c r="H2265" t="str">
        <f>TRIM(SUBSTITUTE(PROPER(C2265)&amp;" "&amp;IF(OR(D2265="County",D2265="Township",D2265="Village",D2265="Charter Township"),D2265,"")&amp;IF(D2265="Township"," "&amp;"("&amp;VLOOKUP(A2265,counties,3,0)&amp;")",""),"  "," "))</f>
        <v>Spring Lake Township (Ottawa County)</v>
      </c>
    </row>
    <row r="2266" spans="1:8" ht="15.75" thickBot="1" x14ac:dyDescent="0.3">
      <c r="A2266">
        <f t="shared" si="36"/>
        <v>70</v>
      </c>
      <c r="B2266" s="10">
        <v>2016</v>
      </c>
      <c r="C2266" s="3" t="s">
        <v>1972</v>
      </c>
      <c r="D2266" s="3" t="s">
        <v>21</v>
      </c>
      <c r="E2266" s="4" t="s">
        <v>7</v>
      </c>
      <c r="F2266" s="11" t="s">
        <v>8</v>
      </c>
      <c r="H2266" t="str">
        <f>TRIM(SUBSTITUTE(PROPER(C2266)&amp;" "&amp;IF(OR(D2266="County",D2266="Township",D2266="Village",D2266="Charter Township"),D2266,"")&amp;IF(D2266="Township"," "&amp;"("&amp;VLOOKUP(A2266,counties,3,0)&amp;")",""),"  "," "))</f>
        <v>Spring Lake Village</v>
      </c>
    </row>
    <row r="2267" spans="1:8" ht="15.75" thickBot="1" x14ac:dyDescent="0.3">
      <c r="A2267">
        <f t="shared" si="36"/>
        <v>70</v>
      </c>
      <c r="B2267" s="8">
        <v>2016</v>
      </c>
      <c r="C2267" s="1" t="s">
        <v>1973</v>
      </c>
      <c r="D2267" s="1" t="s">
        <v>42</v>
      </c>
      <c r="E2267" s="2" t="s">
        <v>7</v>
      </c>
      <c r="F2267" s="9" t="s">
        <v>8</v>
      </c>
      <c r="H2267" t="str">
        <f>TRIM(SUBSTITUTE(PROPER(C2267)&amp;" "&amp;IF(OR(D2267="County",D2267="Township",D2267="Village",D2267="Charter Township"),D2267,"")&amp;IF(D2267="Township"," "&amp;"("&amp;VLOOKUP(A2267,counties,3,0)&amp;")",""),"  "," "))</f>
        <v>Spring Lake District Library</v>
      </c>
    </row>
    <row r="2268" spans="1:8" ht="15.75" thickBot="1" x14ac:dyDescent="0.3">
      <c r="A2268">
        <f t="shared" si="36"/>
        <v>70</v>
      </c>
      <c r="B2268" s="10">
        <v>2016</v>
      </c>
      <c r="C2268" s="3" t="s">
        <v>1974</v>
      </c>
      <c r="D2268" s="3" t="s">
        <v>9</v>
      </c>
      <c r="E2268" s="4" t="s">
        <v>7</v>
      </c>
      <c r="F2268" s="11" t="s">
        <v>8</v>
      </c>
      <c r="H2268" t="str">
        <f>TRIM(SUBSTITUTE(PROPER(C2268)&amp;" "&amp;IF(OR(D2268="County",D2268="Township",D2268="Village",D2268="Charter Township"),D2268,"")&amp;IF(D2268="Township"," "&amp;"("&amp;VLOOKUP(A2268,counties,3,0)&amp;")",""),"  "," "))</f>
        <v>Tallmadge Charter Township Township (Ottawa County)</v>
      </c>
    </row>
    <row r="2269" spans="1:8" ht="15.75" thickBot="1" x14ac:dyDescent="0.3">
      <c r="A2269">
        <f t="shared" si="36"/>
        <v>70</v>
      </c>
      <c r="B2269" s="8">
        <v>2016</v>
      </c>
      <c r="C2269" s="1" t="s">
        <v>1975</v>
      </c>
      <c r="D2269" s="1" t="s">
        <v>17</v>
      </c>
      <c r="E2269" s="2" t="s">
        <v>7</v>
      </c>
      <c r="F2269" s="9" t="s">
        <v>8</v>
      </c>
      <c r="H2269" t="str">
        <f>TRIM(SUBSTITUTE(PROPER(C2269)&amp;" "&amp;IF(OR(D2269="County",D2269="Township",D2269="Village",D2269="Charter Township"),D2269,"")&amp;IF(D2269="Township"," "&amp;"("&amp;VLOOKUP(A2269,counties,3,0)&amp;")",""),"  "," "))</f>
        <v>West Mi Enforcement Team-Wemet</v>
      </c>
    </row>
    <row r="2270" spans="1:8" ht="15.75" thickBot="1" x14ac:dyDescent="0.3">
      <c r="A2270">
        <f t="shared" si="36"/>
        <v>70</v>
      </c>
      <c r="B2270" s="10">
        <v>2016</v>
      </c>
      <c r="C2270" s="3" t="s">
        <v>1976</v>
      </c>
      <c r="D2270" s="3" t="s">
        <v>17</v>
      </c>
      <c r="E2270" s="4" t="s">
        <v>7</v>
      </c>
      <c r="F2270" s="11" t="s">
        <v>8</v>
      </c>
      <c r="H2270" t="str">
        <f>TRIM(SUBSTITUTE(PROPER(C2270)&amp;" "&amp;IF(OR(D2270="County",D2270="Township",D2270="Village",D2270="Charter Township"),D2270,"")&amp;IF(D2270="Township"," "&amp;"("&amp;VLOOKUP(A2270,counties,3,0)&amp;")",""),"  "," "))</f>
        <v>West Michigan Airport Authority</v>
      </c>
    </row>
    <row r="2271" spans="1:8" ht="15.75" thickBot="1" x14ac:dyDescent="0.3">
      <c r="A2271">
        <f t="shared" si="36"/>
        <v>70</v>
      </c>
      <c r="B2271" s="8">
        <v>2016</v>
      </c>
      <c r="C2271" s="1" t="s">
        <v>848</v>
      </c>
      <c r="D2271" s="1" t="s">
        <v>9</v>
      </c>
      <c r="E2271" s="2" t="s">
        <v>7</v>
      </c>
      <c r="F2271" s="9" t="s">
        <v>8</v>
      </c>
      <c r="H2271" t="str">
        <f>TRIM(SUBSTITUTE(PROPER(C2271)&amp;" "&amp;IF(OR(D2271="County",D2271="Township",D2271="Village",D2271="Charter Township"),D2271,"")&amp;IF(D2271="Township"," "&amp;"("&amp;VLOOKUP(A2271,counties,3,0)&amp;")",""),"  "," "))</f>
        <v>Wright Township (Ottawa County)</v>
      </c>
    </row>
    <row r="2272" spans="1:8" ht="15.75" thickBot="1" x14ac:dyDescent="0.3">
      <c r="A2272">
        <f t="shared" si="36"/>
        <v>70</v>
      </c>
      <c r="B2272" s="10">
        <v>2016</v>
      </c>
      <c r="C2272" s="3" t="s">
        <v>1977</v>
      </c>
      <c r="D2272" s="3" t="s">
        <v>15</v>
      </c>
      <c r="E2272" s="4" t="s">
        <v>7</v>
      </c>
      <c r="F2272" s="11" t="s">
        <v>8</v>
      </c>
      <c r="H2272" t="str">
        <f>TRIM(SUBSTITUTE(PROPER(C2272)&amp;" "&amp;IF(OR(D2272="County",D2272="Township",D2272="Village",D2272="Charter Township"),D2272,"")&amp;IF(D2272="Township"," "&amp;"("&amp;VLOOKUP(A2272,counties,3,0)&amp;")",""),"  "," "))</f>
        <v>Zeeland</v>
      </c>
    </row>
    <row r="2273" spans="1:8" ht="15.75" thickBot="1" x14ac:dyDescent="0.3">
      <c r="A2273">
        <f t="shared" si="36"/>
        <v>70</v>
      </c>
      <c r="B2273" s="16">
        <v>2016</v>
      </c>
      <c r="C2273" s="17" t="s">
        <v>1978</v>
      </c>
      <c r="D2273" s="17" t="s">
        <v>9</v>
      </c>
      <c r="E2273" s="18" t="s">
        <v>7</v>
      </c>
      <c r="F2273" s="19" t="s">
        <v>8</v>
      </c>
      <c r="H2273" t="str">
        <f>TRIM(SUBSTITUTE(PROPER(C2273)&amp;" "&amp;IF(OR(D2273="County",D2273="Township",D2273="Village",D2273="Charter Township"),D2273,"")&amp;IF(D2273="Township"," "&amp;"("&amp;VLOOKUP(A2273,counties,3,0)&amp;")",""),"  "," "))</f>
        <v>Zeeland Charter Township (Ottawa County)</v>
      </c>
    </row>
    <row r="2274" spans="1:8" ht="16.5" thickTop="1" thickBot="1" x14ac:dyDescent="0.3">
      <c r="A2274">
        <f t="shared" si="36"/>
        <v>71</v>
      </c>
      <c r="B2274" s="5" t="s">
        <v>0</v>
      </c>
      <c r="C2274" s="6" t="s">
        <v>1</v>
      </c>
      <c r="D2274" s="6" t="s">
        <v>2</v>
      </c>
      <c r="E2274" s="6" t="s">
        <v>3</v>
      </c>
      <c r="F2274" s="7" t="s">
        <v>4</v>
      </c>
      <c r="H2274" t="str">
        <f>TRIM(SUBSTITUTE(PROPER(C2274)&amp;" "&amp;IF(OR(D2274="County",D2274="Township",D2274="Village",D2274="Charter Township"),D2274,"")&amp;IF(D2274="Township"," "&amp;"("&amp;VLOOKUP(A2274,counties,3,0)&amp;")",""),"  "," "))</f>
        <v>Municipality</v>
      </c>
    </row>
    <row r="2275" spans="1:8" ht="15.75" thickBot="1" x14ac:dyDescent="0.3">
      <c r="A2275">
        <f t="shared" si="36"/>
        <v>71</v>
      </c>
      <c r="B2275" s="8">
        <v>2016</v>
      </c>
      <c r="C2275" s="1" t="s">
        <v>1979</v>
      </c>
      <c r="D2275" s="1" t="s">
        <v>9</v>
      </c>
      <c r="E2275" s="2" t="s">
        <v>7</v>
      </c>
      <c r="F2275" s="9" t="s">
        <v>8</v>
      </c>
      <c r="H2275" t="str">
        <f>TRIM(SUBSTITUTE(PROPER(C2275)&amp;" "&amp;IF(OR(D2275="County",D2275="Township",D2275="Village",D2275="Charter Township"),D2275,"")&amp;IF(D2275="Township"," "&amp;"("&amp;VLOOKUP(A2275,counties,3,0)&amp;")",""),"  "," "))</f>
        <v>Bearinger Township (Presque Isle County)</v>
      </c>
    </row>
    <row r="2276" spans="1:8" ht="15.75" thickBot="1" x14ac:dyDescent="0.3">
      <c r="A2276">
        <f t="shared" si="36"/>
        <v>71</v>
      </c>
      <c r="B2276" s="10">
        <v>2016</v>
      </c>
      <c r="C2276" s="3" t="s">
        <v>1980</v>
      </c>
      <c r="D2276" s="3" t="s">
        <v>9</v>
      </c>
      <c r="E2276" s="4" t="s">
        <v>7</v>
      </c>
      <c r="F2276" s="11" t="s">
        <v>8</v>
      </c>
      <c r="H2276" t="str">
        <f>TRIM(SUBSTITUTE(PROPER(C2276)&amp;" "&amp;IF(OR(D2276="County",D2276="Township",D2276="Village",D2276="Charter Township"),D2276,"")&amp;IF(D2276="Township"," "&amp;"("&amp;VLOOKUP(A2276,counties,3,0)&amp;")",""),"  "," "))</f>
        <v>Belknap Township (Presque Isle County)</v>
      </c>
    </row>
    <row r="2277" spans="1:8" ht="15.75" thickBot="1" x14ac:dyDescent="0.3">
      <c r="A2277">
        <f t="shared" si="36"/>
        <v>71</v>
      </c>
      <c r="B2277" s="8">
        <v>2016</v>
      </c>
      <c r="C2277" s="1" t="s">
        <v>1981</v>
      </c>
      <c r="D2277" s="1" t="s">
        <v>9</v>
      </c>
      <c r="E2277" s="2" t="s">
        <v>7</v>
      </c>
      <c r="F2277" s="9" t="s">
        <v>8</v>
      </c>
      <c r="H2277" t="str">
        <f>TRIM(SUBSTITUTE(PROPER(C2277)&amp;" "&amp;IF(OR(D2277="County",D2277="Township",D2277="Village",D2277="Charter Township"),D2277,"")&amp;IF(D2277="Township"," "&amp;"("&amp;VLOOKUP(A2277,counties,3,0)&amp;")",""),"  "," "))</f>
        <v>Case Township (Presque Isle County)</v>
      </c>
    </row>
    <row r="2278" spans="1:8" ht="15.75" thickBot="1" x14ac:dyDescent="0.3">
      <c r="A2278">
        <f t="shared" si="36"/>
        <v>71</v>
      </c>
      <c r="B2278" s="10">
        <v>2016</v>
      </c>
      <c r="C2278" s="3" t="s">
        <v>1982</v>
      </c>
      <c r="D2278" s="3" t="s">
        <v>9</v>
      </c>
      <c r="E2278" s="4" t="s">
        <v>7</v>
      </c>
      <c r="F2278" s="11" t="s">
        <v>8</v>
      </c>
      <c r="H2278" t="str">
        <f>TRIM(SUBSTITUTE(PROPER(C2278)&amp;" "&amp;IF(OR(D2278="County",D2278="Township",D2278="Village",D2278="Charter Township"),D2278,"")&amp;IF(D2278="Township"," "&amp;"("&amp;VLOOKUP(A2278,counties,3,0)&amp;")",""),"  "," "))</f>
        <v>Krakow Township (Presque Isle County)</v>
      </c>
    </row>
    <row r="2279" spans="1:8" ht="15.75" thickBot="1" x14ac:dyDescent="0.3">
      <c r="A2279">
        <f t="shared" si="36"/>
        <v>71</v>
      </c>
      <c r="B2279" s="8">
        <v>2016</v>
      </c>
      <c r="C2279" s="1" t="s">
        <v>1983</v>
      </c>
      <c r="D2279" s="1" t="s">
        <v>9</v>
      </c>
      <c r="E2279" s="2" t="s">
        <v>7</v>
      </c>
      <c r="F2279" s="9" t="s">
        <v>8</v>
      </c>
      <c r="H2279" t="str">
        <f>TRIM(SUBSTITUTE(PROPER(C2279)&amp;" "&amp;IF(OR(D2279="County",D2279="Township",D2279="Village",D2279="Charter Township"),D2279,"")&amp;IF(D2279="Township"," "&amp;"("&amp;VLOOKUP(A2279,counties,3,0)&amp;")",""),"  "," "))</f>
        <v>Metz Township (Presque Isle County)</v>
      </c>
    </row>
    <row r="2280" spans="1:8" ht="15.75" thickBot="1" x14ac:dyDescent="0.3">
      <c r="A2280">
        <f t="shared" si="36"/>
        <v>71</v>
      </c>
      <c r="B2280" s="10">
        <v>2016</v>
      </c>
      <c r="C2280" s="3" t="s">
        <v>1984</v>
      </c>
      <c r="D2280" s="3" t="s">
        <v>21</v>
      </c>
      <c r="E2280" s="4" t="s">
        <v>7</v>
      </c>
      <c r="F2280" s="11" t="s">
        <v>8</v>
      </c>
      <c r="H2280" t="str">
        <f>TRIM(SUBSTITUTE(PROPER(C2280)&amp;" "&amp;IF(OR(D2280="County",D2280="Township",D2280="Village",D2280="Charter Township"),D2280,"")&amp;IF(D2280="Township"," "&amp;"("&amp;VLOOKUP(A2280,counties,3,0)&amp;")",""),"  "," "))</f>
        <v>Millersburg Village</v>
      </c>
    </row>
    <row r="2281" spans="1:8" ht="15.75" thickBot="1" x14ac:dyDescent="0.3">
      <c r="A2281">
        <f t="shared" si="36"/>
        <v>71</v>
      </c>
      <c r="B2281" s="8">
        <v>2016</v>
      </c>
      <c r="C2281" s="1" t="s">
        <v>1985</v>
      </c>
      <c r="D2281" s="1" t="s">
        <v>9</v>
      </c>
      <c r="E2281" s="2" t="s">
        <v>7</v>
      </c>
      <c r="F2281" s="9" t="s">
        <v>8</v>
      </c>
      <c r="H2281" t="str">
        <f>TRIM(SUBSTITUTE(PROPER(C2281)&amp;" "&amp;IF(OR(D2281="County",D2281="Township",D2281="Village",D2281="Charter Township"),D2281,"")&amp;IF(D2281="Township"," "&amp;"("&amp;VLOOKUP(A2281,counties,3,0)&amp;")",""),"  "," "))</f>
        <v>North Allis Township (Presque Isle County)</v>
      </c>
    </row>
    <row r="2282" spans="1:8" ht="15.75" thickBot="1" x14ac:dyDescent="0.3">
      <c r="A2282">
        <f t="shared" si="36"/>
        <v>71</v>
      </c>
      <c r="B2282" s="10">
        <v>2016</v>
      </c>
      <c r="C2282" s="3" t="s">
        <v>1986</v>
      </c>
      <c r="D2282" s="3" t="s">
        <v>17</v>
      </c>
      <c r="E2282" s="4" t="s">
        <v>7</v>
      </c>
      <c r="F2282" s="11" t="s">
        <v>8</v>
      </c>
      <c r="H2282" t="str">
        <f>TRIM(SUBSTITUTE(PROPER(C2282)&amp;" "&amp;IF(OR(D2282="County",D2282="Township",D2282="Village",D2282="Charter Township"),D2282,"")&amp;IF(D2282="Township"," "&amp;"("&amp;VLOOKUP(A2282,counties,3,0)&amp;")",""),"  "," "))</f>
        <v>Northeast Michigan Consortium</v>
      </c>
    </row>
    <row r="2283" spans="1:8" ht="15.75" thickBot="1" x14ac:dyDescent="0.3">
      <c r="A2283">
        <f t="shared" si="36"/>
        <v>71</v>
      </c>
      <c r="B2283" s="8">
        <v>2016</v>
      </c>
      <c r="C2283" s="1" t="s">
        <v>1987</v>
      </c>
      <c r="D2283" s="1" t="s">
        <v>15</v>
      </c>
      <c r="E2283" s="2" t="s">
        <v>7</v>
      </c>
      <c r="F2283" s="9" t="s">
        <v>8</v>
      </c>
      <c r="H2283" t="str">
        <f>TRIM(SUBSTITUTE(PROPER(C2283)&amp;" "&amp;IF(OR(D2283="County",D2283="Township",D2283="Village",D2283="Charter Township"),D2283,"")&amp;IF(D2283="Township"," "&amp;"("&amp;VLOOKUP(A2283,counties,3,0)&amp;")",""),"  "," "))</f>
        <v>Onaway</v>
      </c>
    </row>
    <row r="2284" spans="1:8" ht="15.75" thickBot="1" x14ac:dyDescent="0.3">
      <c r="A2284">
        <f t="shared" si="36"/>
        <v>71</v>
      </c>
      <c r="B2284" s="10">
        <v>2016</v>
      </c>
      <c r="C2284" s="3" t="s">
        <v>1988</v>
      </c>
      <c r="D2284" s="3" t="s">
        <v>17</v>
      </c>
      <c r="E2284" s="4" t="s">
        <v>7</v>
      </c>
      <c r="F2284" s="11" t="s">
        <v>8</v>
      </c>
      <c r="H2284" t="str">
        <f>TRIM(SUBSTITUTE(PROPER(C2284)&amp;" "&amp;IF(OR(D2284="County",D2284="Township",D2284="Village",D2284="Charter Township"),D2284,"")&amp;IF(D2284="Township"," "&amp;"("&amp;VLOOKUP(A2284,counties,3,0)&amp;")",""),"  "," "))</f>
        <v>Onaway Area Ambulance Service</v>
      </c>
    </row>
    <row r="2285" spans="1:8" ht="15.75" thickBot="1" x14ac:dyDescent="0.3">
      <c r="A2285">
        <f t="shared" si="36"/>
        <v>71</v>
      </c>
      <c r="B2285" s="8">
        <v>2016</v>
      </c>
      <c r="C2285" s="1" t="s">
        <v>1989</v>
      </c>
      <c r="D2285" s="1" t="s">
        <v>9</v>
      </c>
      <c r="E2285" s="2" t="s">
        <v>7</v>
      </c>
      <c r="F2285" s="9" t="s">
        <v>8</v>
      </c>
      <c r="H2285" t="str">
        <f>TRIM(SUBSTITUTE(PROPER(C2285)&amp;" "&amp;IF(OR(D2285="County",D2285="Township",D2285="Village",D2285="Charter Township"),D2285,"")&amp;IF(D2285="Township"," "&amp;"("&amp;VLOOKUP(A2285,counties,3,0)&amp;")",""),"  "," "))</f>
        <v>Posen Township (Presque Isle County)</v>
      </c>
    </row>
    <row r="2286" spans="1:8" ht="15.75" thickBot="1" x14ac:dyDescent="0.3">
      <c r="A2286">
        <f t="shared" si="36"/>
        <v>71</v>
      </c>
      <c r="B2286" s="10">
        <v>2016</v>
      </c>
      <c r="C2286" s="3" t="s">
        <v>1989</v>
      </c>
      <c r="D2286" s="3" t="s">
        <v>21</v>
      </c>
      <c r="E2286" s="4" t="s">
        <v>7</v>
      </c>
      <c r="F2286" s="11" t="s">
        <v>8</v>
      </c>
      <c r="H2286" t="str">
        <f>TRIM(SUBSTITUTE(PROPER(C2286)&amp;" "&amp;IF(OR(D2286="County",D2286="Township",D2286="Village",D2286="Charter Township"),D2286,"")&amp;IF(D2286="Township"," "&amp;"("&amp;VLOOKUP(A2286,counties,3,0)&amp;")",""),"  "," "))</f>
        <v>Posen Village</v>
      </c>
    </row>
    <row r="2287" spans="1:8" ht="15.75" thickBot="1" x14ac:dyDescent="0.3">
      <c r="A2287">
        <f t="shared" si="36"/>
        <v>71</v>
      </c>
      <c r="B2287" s="8">
        <v>2016</v>
      </c>
      <c r="C2287" s="1" t="s">
        <v>1990</v>
      </c>
      <c r="D2287" s="1" t="s">
        <v>17</v>
      </c>
      <c r="E2287" s="2" t="s">
        <v>7</v>
      </c>
      <c r="F2287" s="9" t="s">
        <v>8</v>
      </c>
      <c r="H2287" t="str">
        <f>TRIM(SUBSTITUTE(PROPER(C2287)&amp;" "&amp;IF(OR(D2287="County",D2287="Township",D2287="Village",D2287="Charter Township"),D2287,"")&amp;IF(D2287="Township"," "&amp;"("&amp;VLOOKUP(A2287,counties,3,0)&amp;")",""),"  "," "))</f>
        <v>Posen Area Fire And Rescue</v>
      </c>
    </row>
    <row r="2288" spans="1:8" ht="15.75" thickBot="1" x14ac:dyDescent="0.3">
      <c r="A2288">
        <f t="shared" si="36"/>
        <v>71</v>
      </c>
      <c r="B2288" s="10">
        <v>2016</v>
      </c>
      <c r="C2288" s="3" t="s">
        <v>1991</v>
      </c>
      <c r="D2288" s="3" t="s">
        <v>6</v>
      </c>
      <c r="E2288" s="4" t="s">
        <v>7</v>
      </c>
      <c r="F2288" s="11" t="s">
        <v>8</v>
      </c>
      <c r="H2288" t="str">
        <f>TRIM(SUBSTITUTE(PROPER(C2288)&amp;" "&amp;IF(OR(D2288="County",D2288="Township",D2288="Village",D2288="Charter Township"),D2288,"")&amp;IF(D2288="Township"," "&amp;"("&amp;VLOOKUP(A2288,counties,3,0)&amp;")",""),"  "," "))</f>
        <v>Presque Isle County</v>
      </c>
    </row>
    <row r="2289" spans="1:8" ht="15.75" thickBot="1" x14ac:dyDescent="0.3">
      <c r="A2289">
        <f t="shared" si="36"/>
        <v>71</v>
      </c>
      <c r="B2289" s="8">
        <v>2016</v>
      </c>
      <c r="C2289" s="1" t="s">
        <v>1991</v>
      </c>
      <c r="D2289" s="1" t="s">
        <v>9</v>
      </c>
      <c r="E2289" s="2" t="s">
        <v>7</v>
      </c>
      <c r="F2289" s="9" t="s">
        <v>8</v>
      </c>
      <c r="H2289" t="str">
        <f>TRIM(SUBSTITUTE(PROPER(C2289)&amp;" "&amp;IF(OR(D2289="County",D2289="Township",D2289="Village",D2289="Charter Township"),D2289,"")&amp;IF(D2289="Township"," "&amp;"("&amp;VLOOKUP(A2289,counties,3,0)&amp;")",""),"  "," "))</f>
        <v>Presque Isle Township (Presque Isle County)</v>
      </c>
    </row>
    <row r="2290" spans="1:8" ht="15.75" thickBot="1" x14ac:dyDescent="0.3">
      <c r="A2290">
        <f t="shared" si="36"/>
        <v>71</v>
      </c>
      <c r="B2290" s="10">
        <v>2016</v>
      </c>
      <c r="C2290" s="3" t="s">
        <v>1992</v>
      </c>
      <c r="D2290" s="3" t="s">
        <v>11</v>
      </c>
      <c r="E2290" s="4" t="s">
        <v>7</v>
      </c>
      <c r="F2290" s="11" t="s">
        <v>8</v>
      </c>
      <c r="H2290" t="str">
        <f>TRIM(SUBSTITUTE(PROPER(C2290)&amp;" "&amp;IF(OR(D2290="County",D2290="Township",D2290="Village",D2290="Charter Township"),D2290,"")&amp;IF(D2290="Township"," "&amp;"("&amp;VLOOKUP(A2290,counties,3,0)&amp;")",""),"  "," "))</f>
        <v>Presque Isle County Road Commission</v>
      </c>
    </row>
    <row r="2291" spans="1:8" ht="15.75" thickBot="1" x14ac:dyDescent="0.3">
      <c r="A2291">
        <f t="shared" si="36"/>
        <v>71</v>
      </c>
      <c r="B2291" s="8">
        <v>2016</v>
      </c>
      <c r="C2291" s="1" t="s">
        <v>1993</v>
      </c>
      <c r="D2291" s="1" t="s">
        <v>42</v>
      </c>
      <c r="E2291" s="2" t="s">
        <v>7</v>
      </c>
      <c r="F2291" s="9" t="s">
        <v>8</v>
      </c>
      <c r="H2291" t="str">
        <f>TRIM(SUBSTITUTE(PROPER(C2291)&amp;" "&amp;IF(OR(D2291="County",D2291="Township",D2291="Village",D2291="Charter Township"),D2291,"")&amp;IF(D2291="Township"," "&amp;"("&amp;VLOOKUP(A2291,counties,3,0)&amp;")",""),"  "," "))</f>
        <v>Presque Isle District Library</v>
      </c>
    </row>
    <row r="2292" spans="1:8" ht="15.75" thickBot="1" x14ac:dyDescent="0.3">
      <c r="A2292">
        <f t="shared" si="36"/>
        <v>71</v>
      </c>
      <c r="B2292" s="10">
        <v>2016</v>
      </c>
      <c r="C2292" s="3" t="s">
        <v>1994</v>
      </c>
      <c r="D2292" s="3" t="s">
        <v>9</v>
      </c>
      <c r="E2292" s="4" t="s">
        <v>7</v>
      </c>
      <c r="F2292" s="11" t="s">
        <v>8</v>
      </c>
      <c r="H2292" t="str">
        <f>TRIM(SUBSTITUTE(PROPER(C2292)&amp;" "&amp;IF(OR(D2292="County",D2292="Township",D2292="Village",D2292="Charter Township"),D2292,"")&amp;IF(D2292="Township"," "&amp;"("&amp;VLOOKUP(A2292,counties,3,0)&amp;")",""),"  "," "))</f>
        <v>Pulawski Township (Presque Isle County)</v>
      </c>
    </row>
    <row r="2293" spans="1:8" ht="15.75" thickBot="1" x14ac:dyDescent="0.3">
      <c r="A2293">
        <f t="shared" si="36"/>
        <v>71</v>
      </c>
      <c r="B2293" s="8">
        <v>2016</v>
      </c>
      <c r="C2293" s="1" t="s">
        <v>1995</v>
      </c>
      <c r="D2293" s="1" t="s">
        <v>9</v>
      </c>
      <c r="E2293" s="2" t="s">
        <v>7</v>
      </c>
      <c r="F2293" s="9" t="s">
        <v>8</v>
      </c>
      <c r="H2293" t="str">
        <f>TRIM(SUBSTITUTE(PROPER(C2293)&amp;" "&amp;IF(OR(D2293="County",D2293="Township",D2293="Village",D2293="Charter Township"),D2293,"")&amp;IF(D2293="Township"," "&amp;"("&amp;VLOOKUP(A2293,counties,3,0)&amp;")",""),"  "," "))</f>
        <v>Rogers Township (Presque Isle County)</v>
      </c>
    </row>
    <row r="2294" spans="1:8" ht="15.75" thickBot="1" x14ac:dyDescent="0.3">
      <c r="A2294">
        <f t="shared" si="36"/>
        <v>71</v>
      </c>
      <c r="B2294" s="10">
        <v>2016</v>
      </c>
      <c r="C2294" s="3" t="s">
        <v>1996</v>
      </c>
      <c r="D2294" s="3" t="s">
        <v>15</v>
      </c>
      <c r="E2294" s="4" t="s">
        <v>7</v>
      </c>
      <c r="F2294" s="11" t="s">
        <v>8</v>
      </c>
      <c r="H2294" t="str">
        <f>TRIM(SUBSTITUTE(PROPER(C2294)&amp;" "&amp;IF(OR(D2294="County",D2294="Township",D2294="Village",D2294="Charter Township"),D2294,"")&amp;IF(D2294="Township"," "&amp;"("&amp;VLOOKUP(A2294,counties,3,0)&amp;")",""),"  "," "))</f>
        <v>Rogers City</v>
      </c>
    </row>
    <row r="2295" spans="1:8" ht="15.75" thickBot="1" x14ac:dyDescent="0.3">
      <c r="A2295">
        <f t="shared" si="36"/>
        <v>71</v>
      </c>
      <c r="B2295" s="8">
        <v>2016</v>
      </c>
      <c r="C2295" s="1" t="s">
        <v>1997</v>
      </c>
      <c r="D2295" s="1" t="s">
        <v>17</v>
      </c>
      <c r="E2295" s="2" t="s">
        <v>7</v>
      </c>
      <c r="F2295" s="9" t="s">
        <v>8</v>
      </c>
      <c r="H2295" t="str">
        <f>TRIM(SUBSTITUTE(PROPER(C2295)&amp;" "&amp;IF(OR(D2295="County",D2295="Township",D2295="Village",D2295="Charter Township"),D2295,"")&amp;IF(D2295="Township"," "&amp;"("&amp;VLOOKUP(A2295,counties,3,0)&amp;")",""),"  "," "))</f>
        <v>Rogers City Area Ambulance Authority</v>
      </c>
    </row>
    <row r="2296" spans="1:8" ht="15.75" thickBot="1" x14ac:dyDescent="0.3">
      <c r="A2296">
        <f t="shared" si="36"/>
        <v>71</v>
      </c>
      <c r="B2296" s="10">
        <v>2016</v>
      </c>
      <c r="C2296" s="3" t="s">
        <v>1998</v>
      </c>
      <c r="D2296" s="3" t="s">
        <v>17</v>
      </c>
      <c r="E2296" s="4" t="s">
        <v>7</v>
      </c>
      <c r="F2296" s="11" t="s">
        <v>8</v>
      </c>
      <c r="H2296" t="str">
        <f>TRIM(SUBSTITUTE(PROPER(C2296)&amp;" "&amp;IF(OR(D2296="County",D2296="Township",D2296="Village",D2296="Charter Township"),D2296,"")&amp;IF(D2296="Township"," "&amp;"("&amp;VLOOKUP(A2296,counties,3,0)&amp;")",""),"  "," "))</f>
        <v>Rogers City Area Fire Authority</v>
      </c>
    </row>
    <row r="2297" spans="1:8" ht="15.75" thickBot="1" x14ac:dyDescent="0.3">
      <c r="A2297">
        <f t="shared" si="36"/>
        <v>71</v>
      </c>
      <c r="B2297" s="16">
        <v>2016</v>
      </c>
      <c r="C2297" s="17" t="s">
        <v>1999</v>
      </c>
      <c r="D2297" s="17" t="s">
        <v>17</v>
      </c>
      <c r="E2297" s="18" t="s">
        <v>7</v>
      </c>
      <c r="F2297" s="19" t="s">
        <v>8</v>
      </c>
      <c r="H2297" t="str">
        <f>TRIM(SUBSTITUTE(PROPER(C2297)&amp;" "&amp;IF(OR(D2297="County",D2297="Township",D2297="Village",D2297="Charter Township"),D2297,"")&amp;IF(D2297="Township"," "&amp;"("&amp;VLOOKUP(A2297,counties,3,0)&amp;")",""),"  "," "))</f>
        <v>Rogers City Housing Commission</v>
      </c>
    </row>
    <row r="2298" spans="1:8" ht="16.5" thickTop="1" thickBot="1" x14ac:dyDescent="0.3">
      <c r="A2298">
        <f t="shared" si="36"/>
        <v>72</v>
      </c>
      <c r="B2298" s="5" t="s">
        <v>0</v>
      </c>
      <c r="C2298" s="6" t="s">
        <v>1</v>
      </c>
      <c r="D2298" s="6" t="s">
        <v>2</v>
      </c>
      <c r="E2298" s="6" t="s">
        <v>3</v>
      </c>
      <c r="F2298" s="7" t="s">
        <v>4</v>
      </c>
      <c r="H2298" t="str">
        <f>TRIM(SUBSTITUTE(PROPER(C2298)&amp;" "&amp;IF(OR(D2298="County",D2298="Township",D2298="Village",D2298="Charter Township"),D2298,"")&amp;IF(D2298="Township"," "&amp;"("&amp;VLOOKUP(A2298,counties,3,0)&amp;")",""),"  "," "))</f>
        <v>Municipality</v>
      </c>
    </row>
    <row r="2299" spans="1:8" ht="15.75" thickBot="1" x14ac:dyDescent="0.3">
      <c r="A2299">
        <f t="shared" si="36"/>
        <v>72</v>
      </c>
      <c r="B2299" s="8">
        <v>2016</v>
      </c>
      <c r="C2299" s="1" t="s">
        <v>2000</v>
      </c>
      <c r="D2299" s="1" t="s">
        <v>9</v>
      </c>
      <c r="E2299" s="2" t="s">
        <v>7</v>
      </c>
      <c r="F2299" s="9" t="s">
        <v>8</v>
      </c>
      <c r="H2299" t="str">
        <f>TRIM(SUBSTITUTE(PROPER(C2299)&amp;" "&amp;IF(OR(D2299="County",D2299="Township",D2299="Village",D2299="Charter Township"),D2299,"")&amp;IF(D2299="Township"," "&amp;"("&amp;VLOOKUP(A2299,counties,3,0)&amp;")",""),"  "," "))</f>
        <v>Backus Township (Roscommon County)</v>
      </c>
    </row>
    <row r="2300" spans="1:8" ht="15.75" thickBot="1" x14ac:dyDescent="0.3">
      <c r="A2300">
        <f t="shared" si="36"/>
        <v>72</v>
      </c>
      <c r="B2300" s="10">
        <v>2016</v>
      </c>
      <c r="C2300" s="3" t="s">
        <v>2001</v>
      </c>
      <c r="D2300" s="3" t="s">
        <v>9</v>
      </c>
      <c r="E2300" s="4" t="s">
        <v>7</v>
      </c>
      <c r="F2300" s="11" t="s">
        <v>8</v>
      </c>
      <c r="H2300" t="str">
        <f>TRIM(SUBSTITUTE(PROPER(C2300)&amp;" "&amp;IF(OR(D2300="County",D2300="Township",D2300="Village",D2300="Charter Township"),D2300,"")&amp;IF(D2300="Township"," "&amp;"("&amp;VLOOKUP(A2300,counties,3,0)&amp;")",""),"  "," "))</f>
        <v>Denton Township (Roscommon County)</v>
      </c>
    </row>
    <row r="2301" spans="1:8" ht="15.75" thickBot="1" x14ac:dyDescent="0.3">
      <c r="A2301">
        <f t="shared" si="36"/>
        <v>72</v>
      </c>
      <c r="B2301" s="8">
        <v>2016</v>
      </c>
      <c r="C2301" s="1" t="s">
        <v>2002</v>
      </c>
      <c r="D2301" s="1" t="s">
        <v>9</v>
      </c>
      <c r="E2301" s="2" t="s">
        <v>7</v>
      </c>
      <c r="F2301" s="9" t="s">
        <v>8</v>
      </c>
      <c r="H2301" t="str">
        <f>TRIM(SUBSTITUTE(PROPER(C2301)&amp;" "&amp;IF(OR(D2301="County",D2301="Township",D2301="Village",D2301="Charter Township"),D2301,"")&amp;IF(D2301="Township"," "&amp;"("&amp;VLOOKUP(A2301,counties,3,0)&amp;")",""),"  "," "))</f>
        <v>Gerrish Township (Roscommon County)</v>
      </c>
    </row>
    <row r="2302" spans="1:8" ht="15.75" thickBot="1" x14ac:dyDescent="0.3">
      <c r="A2302">
        <f t="shared" si="36"/>
        <v>72</v>
      </c>
      <c r="B2302" s="10">
        <v>2016</v>
      </c>
      <c r="C2302" s="3" t="s">
        <v>2003</v>
      </c>
      <c r="D2302" s="3" t="s">
        <v>17</v>
      </c>
      <c r="E2302" s="4" t="s">
        <v>7</v>
      </c>
      <c r="F2302" s="11" t="s">
        <v>8</v>
      </c>
      <c r="H2302" t="str">
        <f>TRIM(SUBSTITUTE(PROPER(C2302)&amp;" "&amp;IF(OR(D2302="County",D2302="Township",D2302="Village",D2302="Charter Township"),D2302,"")&amp;IF(D2302="Township"," "&amp;"("&amp;VLOOKUP(A2302,counties,3,0)&amp;")",""),"  "," "))</f>
        <v>Higgins Lake Utilities Authority</v>
      </c>
    </row>
    <row r="2303" spans="1:8" ht="15.75" thickBot="1" x14ac:dyDescent="0.3">
      <c r="A2303">
        <f t="shared" si="36"/>
        <v>72</v>
      </c>
      <c r="B2303" s="8">
        <v>2016</v>
      </c>
      <c r="C2303" s="1" t="s">
        <v>2004</v>
      </c>
      <c r="D2303" s="1" t="s">
        <v>17</v>
      </c>
      <c r="E2303" s="2" t="s">
        <v>7</v>
      </c>
      <c r="F2303" s="9" t="s">
        <v>8</v>
      </c>
      <c r="H2303" t="str">
        <f>TRIM(SUBSTITUTE(PROPER(C2303)&amp;" "&amp;IF(OR(D2303="County",D2303="Township",D2303="Village",D2303="Charter Township"),D2303,"")&amp;IF(D2303="Township"," "&amp;"("&amp;VLOOKUP(A2303,counties,3,0)&amp;")",""),"  "," "))</f>
        <v>Houghton Lake Ambulance Authority</v>
      </c>
    </row>
    <row r="2304" spans="1:8" ht="15.75" thickBot="1" x14ac:dyDescent="0.3">
      <c r="A2304">
        <f t="shared" si="36"/>
        <v>72</v>
      </c>
      <c r="B2304" s="10">
        <v>2016</v>
      </c>
      <c r="C2304" s="3" t="s">
        <v>2005</v>
      </c>
      <c r="D2304" s="3" t="s">
        <v>17</v>
      </c>
      <c r="E2304" s="4" t="s">
        <v>7</v>
      </c>
      <c r="F2304" s="11" t="s">
        <v>8</v>
      </c>
      <c r="H2304" t="str">
        <f>TRIM(SUBSTITUTE(PROPER(C2304)&amp;" "&amp;IF(OR(D2304="County",D2304="Township",D2304="Village",D2304="Charter Township"),D2304,"")&amp;IF(D2304="Township"," "&amp;"("&amp;VLOOKUP(A2304,counties,3,0)&amp;")",""),"  "," "))</f>
        <v>Houghton Lake Building Agency</v>
      </c>
    </row>
    <row r="2305" spans="1:8" ht="15.75" thickBot="1" x14ac:dyDescent="0.3">
      <c r="A2305">
        <f t="shared" si="36"/>
        <v>72</v>
      </c>
      <c r="B2305" s="8">
        <v>2016</v>
      </c>
      <c r="C2305" s="1" t="s">
        <v>2006</v>
      </c>
      <c r="D2305" s="1" t="s">
        <v>17</v>
      </c>
      <c r="E2305" s="2" t="s">
        <v>7</v>
      </c>
      <c r="F2305" s="9" t="s">
        <v>19</v>
      </c>
      <c r="H2305" t="str">
        <f>TRIM(SUBSTITUTE(PROPER(C2305)&amp;" "&amp;IF(OR(D2305="County",D2305="Township",D2305="Village",D2305="Charter Township"),D2305,"")&amp;IF(D2305="Township"," "&amp;"("&amp;VLOOKUP(A2305,counties,3,0)&amp;")",""),"  "," "))</f>
        <v>Houghton Lake Improvement Board</v>
      </c>
    </row>
    <row r="2306" spans="1:8" ht="15.75" thickBot="1" x14ac:dyDescent="0.3">
      <c r="A2306">
        <f t="shared" si="36"/>
        <v>72</v>
      </c>
      <c r="B2306" s="10">
        <v>2016</v>
      </c>
      <c r="C2306" s="3" t="s">
        <v>2007</v>
      </c>
      <c r="D2306" s="3" t="s">
        <v>42</v>
      </c>
      <c r="E2306" s="4" t="s">
        <v>7</v>
      </c>
      <c r="F2306" s="11" t="s">
        <v>8</v>
      </c>
      <c r="H2306" t="str">
        <f>TRIM(SUBSTITUTE(PROPER(C2306)&amp;" "&amp;IF(OR(D2306="County",D2306="Township",D2306="Village",D2306="Charter Township"),D2306,"")&amp;IF(D2306="Township"," "&amp;"("&amp;VLOOKUP(A2306,counties,3,0)&amp;")",""),"  "," "))</f>
        <v>Houghton Lake Public Library</v>
      </c>
    </row>
    <row r="2307" spans="1:8" ht="15.75" thickBot="1" x14ac:dyDescent="0.3">
      <c r="A2307">
        <f t="shared" ref="A2307:A2370" si="37">IF(B2307="Year",A2306+1,A2306)</f>
        <v>72</v>
      </c>
      <c r="B2307" s="8">
        <v>2016</v>
      </c>
      <c r="C2307" s="1" t="s">
        <v>2008</v>
      </c>
      <c r="D2307" s="1" t="s">
        <v>17</v>
      </c>
      <c r="E2307" s="2" t="s">
        <v>7</v>
      </c>
      <c r="F2307" s="9" t="s">
        <v>8</v>
      </c>
      <c r="H2307" t="str">
        <f>TRIM(SUBSTITUTE(PROPER(C2307)&amp;" "&amp;IF(OR(D2307="County",D2307="Township",D2307="Village",D2307="Charter Township"),D2307,"")&amp;IF(D2307="Township"," "&amp;"("&amp;VLOOKUP(A2307,counties,3,0)&amp;")",""),"  "," "))</f>
        <v>Houghton Lake Sewer Authority</v>
      </c>
    </row>
    <row r="2308" spans="1:8" ht="15.75" thickBot="1" x14ac:dyDescent="0.3">
      <c r="A2308">
        <f t="shared" si="37"/>
        <v>72</v>
      </c>
      <c r="B2308" s="10">
        <v>2016</v>
      </c>
      <c r="C2308" s="3" t="s">
        <v>2009</v>
      </c>
      <c r="D2308" s="3" t="s">
        <v>88</v>
      </c>
      <c r="E2308" s="4" t="s">
        <v>7</v>
      </c>
      <c r="F2308" s="11" t="s">
        <v>8</v>
      </c>
      <c r="H2308" t="str">
        <f>TRIM(SUBSTITUTE(PROPER(C2308)&amp;" "&amp;IF(OR(D2308="County",D2308="Township",D2308="Village",D2308="Charter Township"),D2308,"")&amp;IF(D2308="Township"," "&amp;"("&amp;VLOOKUP(A2308,counties,3,0)&amp;")",""),"  "," "))</f>
        <v>Kirtland Community College</v>
      </c>
    </row>
    <row r="2309" spans="1:8" ht="15.75" thickBot="1" x14ac:dyDescent="0.3">
      <c r="A2309">
        <f t="shared" si="37"/>
        <v>72</v>
      </c>
      <c r="B2309" s="8">
        <v>2016</v>
      </c>
      <c r="C2309" s="1" t="s">
        <v>2010</v>
      </c>
      <c r="D2309" s="1" t="s">
        <v>9</v>
      </c>
      <c r="E2309" s="2" t="s">
        <v>7</v>
      </c>
      <c r="F2309" s="9" t="s">
        <v>8</v>
      </c>
      <c r="H2309" t="str">
        <f>TRIM(SUBSTITUTE(PROPER(C2309)&amp;" "&amp;IF(OR(D2309="County",D2309="Township",D2309="Village",D2309="Charter Township"),D2309,"")&amp;IF(D2309="Township"," "&amp;"("&amp;VLOOKUP(A2309,counties,3,0)&amp;")",""),"  "," "))</f>
        <v>Lyon Township (Roscommon County)</v>
      </c>
    </row>
    <row r="2310" spans="1:8" ht="15.75" thickBot="1" x14ac:dyDescent="0.3">
      <c r="A2310">
        <f t="shared" si="37"/>
        <v>72</v>
      </c>
      <c r="B2310" s="10">
        <v>2016</v>
      </c>
      <c r="C2310" s="3" t="s">
        <v>2011</v>
      </c>
      <c r="D2310" s="3" t="s">
        <v>9</v>
      </c>
      <c r="E2310" s="4" t="s">
        <v>7</v>
      </c>
      <c r="F2310" s="11" t="s">
        <v>19</v>
      </c>
      <c r="H2310" t="str">
        <f>TRIM(SUBSTITUTE(PROPER(C2310)&amp;" "&amp;IF(OR(D2310="County",D2310="Township",D2310="Village",D2310="Charter Township"),D2310,"")&amp;IF(D2310="Township"," "&amp;"("&amp;VLOOKUP(A2310,counties,3,0)&amp;")",""),"  "," "))</f>
        <v>Markey Township (Roscommon County)</v>
      </c>
    </row>
    <row r="2311" spans="1:8" ht="15.75" thickBot="1" x14ac:dyDescent="0.3">
      <c r="A2311">
        <f t="shared" si="37"/>
        <v>72</v>
      </c>
      <c r="B2311" s="8">
        <v>2016</v>
      </c>
      <c r="C2311" s="1" t="s">
        <v>713</v>
      </c>
      <c r="D2311" s="1" t="s">
        <v>9</v>
      </c>
      <c r="E2311" s="2" t="s">
        <v>7</v>
      </c>
      <c r="F2311" s="9" t="s">
        <v>8</v>
      </c>
      <c r="H2311" t="str">
        <f>TRIM(SUBSTITUTE(PROPER(C2311)&amp;" "&amp;IF(OR(D2311="County",D2311="Township",D2311="Village",D2311="Charter Township"),D2311,"")&amp;IF(D2311="Township"," "&amp;"("&amp;VLOOKUP(A2311,counties,3,0)&amp;")",""),"  "," "))</f>
        <v>Richfield Township (Roscommon County)</v>
      </c>
    </row>
    <row r="2312" spans="1:8" ht="15.75" thickBot="1" x14ac:dyDescent="0.3">
      <c r="A2312">
        <f t="shared" si="37"/>
        <v>72</v>
      </c>
      <c r="B2312" s="10">
        <v>2016</v>
      </c>
      <c r="C2312" s="3" t="s">
        <v>2012</v>
      </c>
      <c r="D2312" s="3" t="s">
        <v>6</v>
      </c>
      <c r="E2312" s="4" t="s">
        <v>7</v>
      </c>
      <c r="F2312" s="11" t="s">
        <v>8</v>
      </c>
      <c r="H2312" t="str">
        <f>TRIM(SUBSTITUTE(PROPER(C2312)&amp;" "&amp;IF(OR(D2312="County",D2312="Township",D2312="Village",D2312="Charter Township"),D2312,"")&amp;IF(D2312="Township"," "&amp;"("&amp;VLOOKUP(A2312,counties,3,0)&amp;")",""),"  "," "))</f>
        <v>Roscommon County</v>
      </c>
    </row>
    <row r="2313" spans="1:8" ht="15.75" thickBot="1" x14ac:dyDescent="0.3">
      <c r="A2313">
        <f t="shared" si="37"/>
        <v>72</v>
      </c>
      <c r="B2313" s="8">
        <v>2016</v>
      </c>
      <c r="C2313" s="1" t="s">
        <v>2012</v>
      </c>
      <c r="D2313" s="1" t="s">
        <v>9</v>
      </c>
      <c r="E2313" s="2" t="s">
        <v>7</v>
      </c>
      <c r="F2313" s="9" t="s">
        <v>19</v>
      </c>
      <c r="H2313" t="str">
        <f>TRIM(SUBSTITUTE(PROPER(C2313)&amp;" "&amp;IF(OR(D2313="County",D2313="Township",D2313="Village",D2313="Charter Township"),D2313,"")&amp;IF(D2313="Township"," "&amp;"("&amp;VLOOKUP(A2313,counties,3,0)&amp;")",""),"  "," "))</f>
        <v>Roscommon Township (Roscommon County)</v>
      </c>
    </row>
    <row r="2314" spans="1:8" ht="15.75" thickBot="1" x14ac:dyDescent="0.3">
      <c r="A2314">
        <f t="shared" si="37"/>
        <v>72</v>
      </c>
      <c r="B2314" s="10">
        <v>2016</v>
      </c>
      <c r="C2314" s="3" t="s">
        <v>2012</v>
      </c>
      <c r="D2314" s="3" t="s">
        <v>21</v>
      </c>
      <c r="E2314" s="4" t="s">
        <v>7</v>
      </c>
      <c r="F2314" s="11" t="s">
        <v>8</v>
      </c>
      <c r="H2314" t="str">
        <f>TRIM(SUBSTITUTE(PROPER(C2314)&amp;" "&amp;IF(OR(D2314="County",D2314="Township",D2314="Village",D2314="Charter Township"),D2314,"")&amp;IF(D2314="Township"," "&amp;"("&amp;VLOOKUP(A2314,counties,3,0)&amp;")",""),"  "," "))</f>
        <v>Roscommon Village</v>
      </c>
    </row>
    <row r="2315" spans="1:8" ht="15.75" thickBot="1" x14ac:dyDescent="0.3">
      <c r="A2315">
        <f t="shared" si="37"/>
        <v>72</v>
      </c>
      <c r="B2315" s="8">
        <v>2016</v>
      </c>
      <c r="C2315" s="1" t="s">
        <v>2013</v>
      </c>
      <c r="D2315" s="1" t="s">
        <v>42</v>
      </c>
      <c r="E2315" s="2" t="s">
        <v>7</v>
      </c>
      <c r="F2315" s="9" t="s">
        <v>8</v>
      </c>
      <c r="H2315" t="str">
        <f>TRIM(SUBSTITUTE(PROPER(C2315)&amp;" "&amp;IF(OR(D2315="County",D2315="Township",D2315="Village",D2315="Charter Township"),D2315,"")&amp;IF(D2315="Township"," "&amp;"("&amp;VLOOKUP(A2315,counties,3,0)&amp;")",""),"  "," "))</f>
        <v>Roscommon Area District Library</v>
      </c>
    </row>
    <row r="2316" spans="1:8" ht="15.75" thickBot="1" x14ac:dyDescent="0.3">
      <c r="A2316">
        <f t="shared" si="37"/>
        <v>72</v>
      </c>
      <c r="B2316" s="10">
        <v>2016</v>
      </c>
      <c r="C2316" s="3" t="s">
        <v>2014</v>
      </c>
      <c r="D2316" s="3" t="s">
        <v>11</v>
      </c>
      <c r="E2316" s="4" t="s">
        <v>7</v>
      </c>
      <c r="F2316" s="11" t="s">
        <v>8</v>
      </c>
      <c r="H2316" t="str">
        <f>TRIM(SUBSTITUTE(PROPER(C2316)&amp;" "&amp;IF(OR(D2316="County",D2316="Township",D2316="Village",D2316="Charter Township"),D2316,"")&amp;IF(D2316="Township"," "&amp;"("&amp;VLOOKUP(A2316,counties,3,0)&amp;")",""),"  "," "))</f>
        <v>Roscommon County Road Commission</v>
      </c>
    </row>
    <row r="2317" spans="1:8" ht="15.75" thickBot="1" x14ac:dyDescent="0.3">
      <c r="A2317">
        <f t="shared" si="37"/>
        <v>72</v>
      </c>
      <c r="B2317" s="16">
        <v>2016</v>
      </c>
      <c r="C2317" s="17" t="s">
        <v>2015</v>
      </c>
      <c r="D2317" s="17" t="s">
        <v>17</v>
      </c>
      <c r="E2317" s="18" t="s">
        <v>7</v>
      </c>
      <c r="F2317" s="19" t="s">
        <v>8</v>
      </c>
      <c r="H2317" t="str">
        <f>TRIM(SUBSTITUTE(PROPER(C2317)&amp;" "&amp;IF(OR(D2317="County",D2317="Township",D2317="Village",D2317="Charter Township"),D2317,"")&amp;IF(D2317="Township"," "&amp;"("&amp;VLOOKUP(A2317,counties,3,0)&amp;")",""),"  "," "))</f>
        <v>Roscommon County Transportation Authority</v>
      </c>
    </row>
    <row r="2318" spans="1:8" ht="16.5" thickTop="1" thickBot="1" x14ac:dyDescent="0.3">
      <c r="A2318">
        <f t="shared" si="37"/>
        <v>73</v>
      </c>
      <c r="B2318" s="5" t="s">
        <v>0</v>
      </c>
      <c r="C2318" s="6" t="s">
        <v>1</v>
      </c>
      <c r="D2318" s="6" t="s">
        <v>2</v>
      </c>
      <c r="E2318" s="6" t="s">
        <v>3</v>
      </c>
      <c r="F2318" s="7" t="s">
        <v>4</v>
      </c>
      <c r="H2318" t="str">
        <f>TRIM(SUBSTITUTE(PROPER(C2318)&amp;" "&amp;IF(OR(D2318="County",D2318="Township",D2318="Village",D2318="Charter Township"),D2318,"")&amp;IF(D2318="Township"," "&amp;"("&amp;VLOOKUP(A2318,counties,3,0)&amp;")",""),"  "," "))</f>
        <v>Municipality</v>
      </c>
    </row>
    <row r="2319" spans="1:8" ht="15.75" thickBot="1" x14ac:dyDescent="0.3">
      <c r="A2319">
        <f t="shared" si="37"/>
        <v>73</v>
      </c>
      <c r="B2319" s="8">
        <v>2016</v>
      </c>
      <c r="C2319" s="1" t="s">
        <v>2016</v>
      </c>
      <c r="D2319" s="1" t="s">
        <v>9</v>
      </c>
      <c r="E2319" s="2" t="s">
        <v>7</v>
      </c>
      <c r="F2319" s="9" t="s">
        <v>19</v>
      </c>
      <c r="H2319" t="str">
        <f>TRIM(SUBSTITUTE(PROPER(C2319)&amp;" "&amp;IF(OR(D2319="County",D2319="Township",D2319="Village",D2319="Charter Township"),D2319,"")&amp;IF(D2319="Township"," "&amp;"("&amp;VLOOKUP(A2319,counties,3,0)&amp;")",""),"  "," "))</f>
        <v>Albee Township (Saginaw County)</v>
      </c>
    </row>
    <row r="2320" spans="1:8" ht="15.75" thickBot="1" x14ac:dyDescent="0.3">
      <c r="A2320">
        <f t="shared" si="37"/>
        <v>73</v>
      </c>
      <c r="B2320" s="10">
        <v>2016</v>
      </c>
      <c r="C2320" s="3" t="s">
        <v>2017</v>
      </c>
      <c r="D2320" s="3" t="s">
        <v>9</v>
      </c>
      <c r="E2320" s="4" t="s">
        <v>7</v>
      </c>
      <c r="F2320" s="11" t="s">
        <v>8</v>
      </c>
      <c r="H2320" t="str">
        <f>TRIM(SUBSTITUTE(PROPER(C2320)&amp;" "&amp;IF(OR(D2320="County",D2320="Township",D2320="Village",D2320="Charter Township"),D2320,"")&amp;IF(D2320="Township"," "&amp;"("&amp;VLOOKUP(A2320,counties,3,0)&amp;")",""),"  "," "))</f>
        <v>Birch Run Township (Saginaw County)</v>
      </c>
    </row>
    <row r="2321" spans="1:8" ht="15.75" thickBot="1" x14ac:dyDescent="0.3">
      <c r="A2321">
        <f t="shared" si="37"/>
        <v>73</v>
      </c>
      <c r="B2321" s="8">
        <v>2016</v>
      </c>
      <c r="C2321" s="1" t="s">
        <v>2017</v>
      </c>
      <c r="D2321" s="1" t="s">
        <v>21</v>
      </c>
      <c r="E2321" s="2" t="s">
        <v>7</v>
      </c>
      <c r="F2321" s="9" t="s">
        <v>8</v>
      </c>
      <c r="H2321" t="str">
        <f>TRIM(SUBSTITUTE(PROPER(C2321)&amp;" "&amp;IF(OR(D2321="County",D2321="Township",D2321="Village",D2321="Charter Township"),D2321,"")&amp;IF(D2321="Township"," "&amp;"("&amp;VLOOKUP(A2321,counties,3,0)&amp;")",""),"  "," "))</f>
        <v>Birch Run Village</v>
      </c>
    </row>
    <row r="2322" spans="1:8" ht="15.75" thickBot="1" x14ac:dyDescent="0.3">
      <c r="A2322">
        <f t="shared" si="37"/>
        <v>73</v>
      </c>
      <c r="B2322" s="10">
        <v>2016</v>
      </c>
      <c r="C2322" s="3" t="s">
        <v>2018</v>
      </c>
      <c r="D2322" s="3" t="s">
        <v>17</v>
      </c>
      <c r="E2322" s="4" t="s">
        <v>7</v>
      </c>
      <c r="F2322" s="11" t="s">
        <v>8</v>
      </c>
      <c r="H2322" t="str">
        <f>TRIM(SUBSTITUTE(PROPER(C2322)&amp;" "&amp;IF(OR(D2322="County",D2322="Township",D2322="Village",D2322="Charter Township"),D2322,"")&amp;IF(D2322="Township"," "&amp;"("&amp;VLOOKUP(A2322,counties,3,0)&amp;")",""),"  "," "))</f>
        <v>Blumfield-Reese Water Auth</v>
      </c>
    </row>
    <row r="2323" spans="1:8" ht="15.75" thickBot="1" x14ac:dyDescent="0.3">
      <c r="A2323">
        <f t="shared" si="37"/>
        <v>73</v>
      </c>
      <c r="B2323" s="8">
        <v>2016</v>
      </c>
      <c r="C2323" s="1" t="s">
        <v>1116</v>
      </c>
      <c r="D2323" s="1" t="s">
        <v>9</v>
      </c>
      <c r="E2323" s="2" t="s">
        <v>7</v>
      </c>
      <c r="F2323" s="9" t="s">
        <v>19</v>
      </c>
      <c r="H2323" t="str">
        <f>TRIM(SUBSTITUTE(PROPER(C2323)&amp;" "&amp;IF(OR(D2323="County",D2323="Township",D2323="Village",D2323="Charter Township"),D2323,"")&amp;IF(D2323="Township"," "&amp;"("&amp;VLOOKUP(A2323,counties,3,0)&amp;")",""),"  "," "))</f>
        <v>Brady Township (Saginaw County)</v>
      </c>
    </row>
    <row r="2324" spans="1:8" ht="15.75" thickBot="1" x14ac:dyDescent="0.3">
      <c r="A2324">
        <f t="shared" si="37"/>
        <v>73</v>
      </c>
      <c r="B2324" s="10">
        <v>2016</v>
      </c>
      <c r="C2324" s="3" t="s">
        <v>2019</v>
      </c>
      <c r="D2324" s="3" t="s">
        <v>9</v>
      </c>
      <c r="E2324" s="4" t="s">
        <v>7</v>
      </c>
      <c r="F2324" s="11" t="s">
        <v>19</v>
      </c>
      <c r="H2324" t="str">
        <f>TRIM(SUBSTITUTE(PROPER(C2324)&amp;" "&amp;IF(OR(D2324="County",D2324="Township",D2324="Village",D2324="Charter Township"),D2324,"")&amp;IF(D2324="Township"," "&amp;"("&amp;VLOOKUP(A2324,counties,3,0)&amp;")",""),"  "," "))</f>
        <v>Brant Township (Saginaw County)</v>
      </c>
    </row>
    <row r="2325" spans="1:8" ht="15.75" thickBot="1" x14ac:dyDescent="0.3">
      <c r="A2325">
        <f t="shared" si="37"/>
        <v>73</v>
      </c>
      <c r="B2325" s="8">
        <v>2016</v>
      </c>
      <c r="C2325" s="1" t="s">
        <v>2020</v>
      </c>
      <c r="D2325" s="1" t="s">
        <v>9</v>
      </c>
      <c r="E2325" s="2" t="s">
        <v>7</v>
      </c>
      <c r="F2325" s="9" t="s">
        <v>8</v>
      </c>
      <c r="H2325" t="str">
        <f>TRIM(SUBSTITUTE(PROPER(C2325)&amp;" "&amp;IF(OR(D2325="County",D2325="Township",D2325="Village",D2325="Charter Township"),D2325,"")&amp;IF(D2325="Township"," "&amp;"("&amp;VLOOKUP(A2325,counties,3,0)&amp;")",""),"  "," "))</f>
        <v>Bridgeport Charter Township (Saginaw County)</v>
      </c>
    </row>
    <row r="2326" spans="1:8" ht="15.75" thickBot="1" x14ac:dyDescent="0.3">
      <c r="A2326">
        <f t="shared" si="37"/>
        <v>73</v>
      </c>
      <c r="B2326" s="10">
        <v>2016</v>
      </c>
      <c r="C2326" s="3" t="s">
        <v>2021</v>
      </c>
      <c r="D2326" s="3" t="s">
        <v>42</v>
      </c>
      <c r="E2326" s="4" t="s">
        <v>7</v>
      </c>
      <c r="F2326" s="11" t="s">
        <v>8</v>
      </c>
      <c r="H2326" t="str">
        <f>TRIM(SUBSTITUTE(PROPER(C2326)&amp;" "&amp;IF(OR(D2326="County",D2326="Township",D2326="Village",D2326="Charter Township"),D2326,"")&amp;IF(D2326="Township"," "&amp;"("&amp;VLOOKUP(A2326,counties,3,0)&amp;")",""),"  "," "))</f>
        <v>Bridgeport Public Library</v>
      </c>
    </row>
    <row r="2327" spans="1:8" ht="15.75" thickBot="1" x14ac:dyDescent="0.3">
      <c r="A2327">
        <f t="shared" si="37"/>
        <v>73</v>
      </c>
      <c r="B2327" s="8">
        <v>2016</v>
      </c>
      <c r="C2327" s="1" t="s">
        <v>2022</v>
      </c>
      <c r="D2327" s="1" t="s">
        <v>9</v>
      </c>
      <c r="E2327" s="2" t="s">
        <v>7</v>
      </c>
      <c r="F2327" s="9" t="s">
        <v>8</v>
      </c>
      <c r="H2327" t="str">
        <f>TRIM(SUBSTITUTE(PROPER(C2327)&amp;" "&amp;IF(OR(D2327="County",D2327="Township",D2327="Village",D2327="Charter Township"),D2327,"")&amp;IF(D2327="Township"," "&amp;"("&amp;VLOOKUP(A2327,counties,3,0)&amp;")",""),"  "," "))</f>
        <v>Buena Vista Charter Township (Saginaw County)</v>
      </c>
    </row>
    <row r="2328" spans="1:8" ht="15.75" thickBot="1" x14ac:dyDescent="0.3">
      <c r="A2328">
        <f t="shared" si="37"/>
        <v>73</v>
      </c>
      <c r="B2328" s="10">
        <v>2016</v>
      </c>
      <c r="C2328" s="3" t="s">
        <v>2023</v>
      </c>
      <c r="D2328" s="3" t="s">
        <v>17</v>
      </c>
      <c r="E2328" s="4" t="s">
        <v>7</v>
      </c>
      <c r="F2328" s="11" t="s">
        <v>8</v>
      </c>
      <c r="H2328" t="str">
        <f>TRIM(SUBSTITUTE(PROPER(C2328)&amp;" "&amp;IF(OR(D2328="County",D2328="Township",D2328="Village",D2328="Charter Township"),D2328,"")&amp;IF(D2328="Township"," "&amp;"("&amp;VLOOKUP(A2328,counties,3,0)&amp;")",""),"  "," "))</f>
        <v>Buena Vista Charter Township Dda</v>
      </c>
    </row>
    <row r="2329" spans="1:8" ht="15.75" thickBot="1" x14ac:dyDescent="0.3">
      <c r="A2329">
        <f t="shared" si="37"/>
        <v>73</v>
      </c>
      <c r="B2329" s="8">
        <v>2016</v>
      </c>
      <c r="C2329" s="1" t="s">
        <v>2024</v>
      </c>
      <c r="D2329" s="1" t="s">
        <v>9</v>
      </c>
      <c r="E2329" s="2" t="s">
        <v>7</v>
      </c>
      <c r="F2329" s="9" t="s">
        <v>8</v>
      </c>
      <c r="H2329" t="str">
        <f>TRIM(SUBSTITUTE(PROPER(C2329)&amp;" "&amp;IF(OR(D2329="County",D2329="Township",D2329="Village",D2329="Charter Township"),D2329,"")&amp;IF(D2329="Township"," "&amp;"("&amp;VLOOKUP(A2329,counties,3,0)&amp;")",""),"  "," "))</f>
        <v>Carrollton Township (Saginaw County)</v>
      </c>
    </row>
    <row r="2330" spans="1:8" ht="15.75" thickBot="1" x14ac:dyDescent="0.3">
      <c r="A2330">
        <f t="shared" si="37"/>
        <v>73</v>
      </c>
      <c r="B2330" s="10">
        <v>2016</v>
      </c>
      <c r="C2330" s="3" t="s">
        <v>2025</v>
      </c>
      <c r="D2330" s="3" t="s">
        <v>9</v>
      </c>
      <c r="E2330" s="4" t="s">
        <v>7</v>
      </c>
      <c r="F2330" s="11" t="s">
        <v>8</v>
      </c>
      <c r="H2330" t="str">
        <f>TRIM(SUBSTITUTE(PROPER(C2330)&amp;" "&amp;IF(OR(D2330="County",D2330="Township",D2330="Village",D2330="Charter Township"),D2330,"")&amp;IF(D2330="Township"," "&amp;"("&amp;VLOOKUP(A2330,counties,3,0)&amp;")",""),"  "," "))</f>
        <v>Chapin Township (Saginaw County)</v>
      </c>
    </row>
    <row r="2331" spans="1:8" ht="15.75" thickBot="1" x14ac:dyDescent="0.3">
      <c r="A2331">
        <f t="shared" si="37"/>
        <v>73</v>
      </c>
      <c r="B2331" s="8">
        <v>2016</v>
      </c>
      <c r="C2331" s="1" t="s">
        <v>2026</v>
      </c>
      <c r="D2331" s="1" t="s">
        <v>9</v>
      </c>
      <c r="E2331" s="2" t="s">
        <v>7</v>
      </c>
      <c r="F2331" s="9" t="s">
        <v>8</v>
      </c>
      <c r="H2331" t="str">
        <f>TRIM(SUBSTITUTE(PROPER(C2331)&amp;" "&amp;IF(OR(D2331="County",D2331="Township",D2331="Village",D2331="Charter Township"),D2331,"")&amp;IF(D2331="Township"," "&amp;"("&amp;VLOOKUP(A2331,counties,3,0)&amp;")",""),"  "," "))</f>
        <v>Chesaning Township (Saginaw County)</v>
      </c>
    </row>
    <row r="2332" spans="1:8" ht="15.75" thickBot="1" x14ac:dyDescent="0.3">
      <c r="A2332">
        <f t="shared" si="37"/>
        <v>73</v>
      </c>
      <c r="B2332" s="10">
        <v>2016</v>
      </c>
      <c r="C2332" s="3" t="s">
        <v>2026</v>
      </c>
      <c r="D2332" s="3" t="s">
        <v>21</v>
      </c>
      <c r="E2332" s="4" t="s">
        <v>7</v>
      </c>
      <c r="F2332" s="11" t="s">
        <v>8</v>
      </c>
      <c r="H2332" t="str">
        <f>TRIM(SUBSTITUTE(PROPER(C2332)&amp;" "&amp;IF(OR(D2332="County",D2332="Township",D2332="Village",D2332="Charter Township"),D2332,"")&amp;IF(D2332="Township"," "&amp;"("&amp;VLOOKUP(A2332,counties,3,0)&amp;")",""),"  "," "))</f>
        <v>Chesaning Village</v>
      </c>
    </row>
    <row r="2333" spans="1:8" ht="15.75" thickBot="1" x14ac:dyDescent="0.3">
      <c r="A2333">
        <f t="shared" si="37"/>
        <v>73</v>
      </c>
      <c r="B2333" s="8">
        <v>2016</v>
      </c>
      <c r="C2333" s="1" t="s">
        <v>2027</v>
      </c>
      <c r="D2333" s="1" t="s">
        <v>17</v>
      </c>
      <c r="E2333" s="2" t="s">
        <v>7</v>
      </c>
      <c r="F2333" s="9" t="s">
        <v>8</v>
      </c>
      <c r="H2333" t="str">
        <f>TRIM(SUBSTITUTE(PROPER(C2333)&amp;" "&amp;IF(OR(D2333="County",D2333="Township",D2333="Village",D2333="Charter Township"),D2333,"")&amp;IF(D2333="Township"," "&amp;"("&amp;VLOOKUP(A2333,counties,3,0)&amp;")",""),"  "," "))</f>
        <v>Chesaning-Brady Fire Administrative Board</v>
      </c>
    </row>
    <row r="2334" spans="1:8" ht="15.75" thickBot="1" x14ac:dyDescent="0.3">
      <c r="A2334">
        <f t="shared" si="37"/>
        <v>73</v>
      </c>
      <c r="B2334" s="10">
        <v>2016</v>
      </c>
      <c r="C2334" s="3" t="s">
        <v>2028</v>
      </c>
      <c r="D2334" s="3" t="s">
        <v>17</v>
      </c>
      <c r="E2334" s="4" t="s">
        <v>7</v>
      </c>
      <c r="F2334" s="11" t="s">
        <v>8</v>
      </c>
      <c r="H2334" t="str">
        <f>TRIM(SUBSTITUTE(PROPER(C2334)&amp;" "&amp;IF(OR(D2334="County",D2334="Township",D2334="Village",D2334="Charter Township"),D2334,"")&amp;IF(D2334="Township"," "&amp;"("&amp;VLOOKUP(A2334,counties,3,0)&amp;")",""),"  "," "))</f>
        <v>Chesaning-Brady Joint Building Authority</v>
      </c>
    </row>
    <row r="2335" spans="1:8" ht="15.75" thickBot="1" x14ac:dyDescent="0.3">
      <c r="A2335">
        <f t="shared" si="37"/>
        <v>73</v>
      </c>
      <c r="B2335" s="8">
        <v>2016</v>
      </c>
      <c r="C2335" s="1" t="s">
        <v>2029</v>
      </c>
      <c r="D2335" s="1" t="s">
        <v>88</v>
      </c>
      <c r="E2335" s="2" t="s">
        <v>7</v>
      </c>
      <c r="F2335" s="9" t="s">
        <v>8</v>
      </c>
      <c r="H2335" t="str">
        <f>TRIM(SUBSTITUTE(PROPER(C2335)&amp;" "&amp;IF(OR(D2335="County",D2335="Township",D2335="Village",D2335="Charter Township"),D2335,"")&amp;IF(D2335="Township"," "&amp;"("&amp;VLOOKUP(A2335,counties,3,0)&amp;")",""),"  "," "))</f>
        <v>Delta College</v>
      </c>
    </row>
    <row r="2336" spans="1:8" ht="15.75" thickBot="1" x14ac:dyDescent="0.3">
      <c r="A2336">
        <f t="shared" si="37"/>
        <v>73</v>
      </c>
      <c r="B2336" s="10">
        <v>2016</v>
      </c>
      <c r="C2336" s="3" t="s">
        <v>2030</v>
      </c>
      <c r="D2336" s="3" t="s">
        <v>15</v>
      </c>
      <c r="E2336" s="4" t="s">
        <v>7</v>
      </c>
      <c r="F2336" s="11" t="s">
        <v>8</v>
      </c>
      <c r="H2336" t="str">
        <f>TRIM(SUBSTITUTE(PROPER(C2336)&amp;" "&amp;IF(OR(D2336="County",D2336="Township",D2336="Village",D2336="Charter Township"),D2336,"")&amp;IF(D2336="Township"," "&amp;"("&amp;VLOOKUP(A2336,counties,3,0)&amp;")",""),"  "," "))</f>
        <v>Frankenmuth</v>
      </c>
    </row>
    <row r="2337" spans="1:8" ht="15.75" thickBot="1" x14ac:dyDescent="0.3">
      <c r="A2337">
        <f t="shared" si="37"/>
        <v>73</v>
      </c>
      <c r="B2337" s="8">
        <v>2016</v>
      </c>
      <c r="C2337" s="1" t="s">
        <v>2030</v>
      </c>
      <c r="D2337" s="1" t="s">
        <v>9</v>
      </c>
      <c r="E2337" s="2" t="s">
        <v>7</v>
      </c>
      <c r="F2337" s="9" t="s">
        <v>8</v>
      </c>
      <c r="H2337" t="str">
        <f>TRIM(SUBSTITUTE(PROPER(C2337)&amp;" "&amp;IF(OR(D2337="County",D2337="Township",D2337="Village",D2337="Charter Township"),D2337,"")&amp;IF(D2337="Township"," "&amp;"("&amp;VLOOKUP(A2337,counties,3,0)&amp;")",""),"  "," "))</f>
        <v>Frankenmuth Township (Saginaw County)</v>
      </c>
    </row>
    <row r="2338" spans="1:8" ht="15.75" thickBot="1" x14ac:dyDescent="0.3">
      <c r="A2338">
        <f t="shared" si="37"/>
        <v>73</v>
      </c>
      <c r="B2338" s="10">
        <v>2016</v>
      </c>
      <c r="C2338" s="3" t="s">
        <v>2031</v>
      </c>
      <c r="D2338" s="3" t="s">
        <v>17</v>
      </c>
      <c r="E2338" s="4" t="s">
        <v>7</v>
      </c>
      <c r="F2338" s="11" t="s">
        <v>8</v>
      </c>
      <c r="H2338" t="str">
        <f>TRIM(SUBSTITUTE(PROPER(C2338)&amp;" "&amp;IF(OR(D2338="County",D2338="Township",D2338="Village",D2338="Charter Township"),D2338,"")&amp;IF(D2338="Township"," "&amp;"("&amp;VLOOKUP(A2338,counties,3,0)&amp;")",""),"  "," "))</f>
        <v>Frankenmuth City-Township Commission</v>
      </c>
    </row>
    <row r="2339" spans="1:8" ht="15.75" thickBot="1" x14ac:dyDescent="0.3">
      <c r="A2339">
        <f t="shared" si="37"/>
        <v>73</v>
      </c>
      <c r="B2339" s="8">
        <v>2016</v>
      </c>
      <c r="C2339" s="1" t="s">
        <v>2032</v>
      </c>
      <c r="D2339" s="1" t="s">
        <v>42</v>
      </c>
      <c r="E2339" s="2" t="s">
        <v>7</v>
      </c>
      <c r="F2339" s="9" t="s">
        <v>8</v>
      </c>
      <c r="H2339" t="str">
        <f>TRIM(SUBSTITUTE(PROPER(C2339)&amp;" "&amp;IF(OR(D2339="County",D2339="Township",D2339="Village",D2339="Charter Township"),D2339,"")&amp;IF(D2339="Township"," "&amp;"("&amp;VLOOKUP(A2339,counties,3,0)&amp;")",""),"  "," "))</f>
        <v>Frankenmuth James E. Wickson Library</v>
      </c>
    </row>
    <row r="2340" spans="1:8" ht="15.75" thickBot="1" x14ac:dyDescent="0.3">
      <c r="A2340">
        <f t="shared" si="37"/>
        <v>73</v>
      </c>
      <c r="B2340" s="10">
        <v>2016</v>
      </c>
      <c r="C2340" s="3" t="s">
        <v>1729</v>
      </c>
      <c r="D2340" s="3" t="s">
        <v>9</v>
      </c>
      <c r="E2340" s="4" t="s">
        <v>7</v>
      </c>
      <c r="F2340" s="11" t="s">
        <v>8</v>
      </c>
      <c r="H2340" t="str">
        <f>TRIM(SUBSTITUTE(PROPER(C2340)&amp;" "&amp;IF(OR(D2340="County",D2340="Township",D2340="Village",D2340="Charter Township"),D2340,"")&amp;IF(D2340="Township"," "&amp;"("&amp;VLOOKUP(A2340,counties,3,0)&amp;")",""),"  "," "))</f>
        <v>Fremont Township (Saginaw County)</v>
      </c>
    </row>
    <row r="2341" spans="1:8" ht="15.75" thickBot="1" x14ac:dyDescent="0.3">
      <c r="A2341">
        <f t="shared" si="37"/>
        <v>73</v>
      </c>
      <c r="B2341" s="8">
        <v>2016</v>
      </c>
      <c r="C2341" s="1" t="s">
        <v>2033</v>
      </c>
      <c r="D2341" s="1" t="s">
        <v>9</v>
      </c>
      <c r="E2341" s="2" t="s">
        <v>7</v>
      </c>
      <c r="F2341" s="9" t="s">
        <v>8</v>
      </c>
      <c r="H2341" t="str">
        <f>TRIM(SUBSTITUTE(PROPER(C2341)&amp;" "&amp;IF(OR(D2341="County",D2341="Township",D2341="Village",D2341="Charter Township"),D2341,"")&amp;IF(D2341="Township"," "&amp;"("&amp;VLOOKUP(A2341,counties,3,0)&amp;")",""),"  "," "))</f>
        <v>James Township (Saginaw County)</v>
      </c>
    </row>
    <row r="2342" spans="1:8" ht="15.75" thickBot="1" x14ac:dyDescent="0.3">
      <c r="A2342">
        <f t="shared" si="37"/>
        <v>73</v>
      </c>
      <c r="B2342" s="10">
        <v>2016</v>
      </c>
      <c r="C2342" s="3" t="s">
        <v>2034</v>
      </c>
      <c r="D2342" s="3" t="s">
        <v>9</v>
      </c>
      <c r="E2342" s="4" t="s">
        <v>7</v>
      </c>
      <c r="F2342" s="11" t="s">
        <v>8</v>
      </c>
      <c r="H2342" t="str">
        <f>TRIM(SUBSTITUTE(PROPER(C2342)&amp;" "&amp;IF(OR(D2342="County",D2342="Township",D2342="Village",D2342="Charter Township"),D2342,"")&amp;IF(D2342="Township"," "&amp;"("&amp;VLOOKUP(A2342,counties,3,0)&amp;")",""),"  "," "))</f>
        <v>Jonesfield Township (Saginaw County)</v>
      </c>
    </row>
    <row r="2343" spans="1:8" ht="15.75" thickBot="1" x14ac:dyDescent="0.3">
      <c r="A2343">
        <f t="shared" si="37"/>
        <v>73</v>
      </c>
      <c r="B2343" s="8">
        <v>2016</v>
      </c>
      <c r="C2343" s="1" t="s">
        <v>2035</v>
      </c>
      <c r="D2343" s="1" t="s">
        <v>17</v>
      </c>
      <c r="E2343" s="2" t="s">
        <v>7</v>
      </c>
      <c r="F2343" s="9" t="s">
        <v>8</v>
      </c>
      <c r="H2343" t="str">
        <f>TRIM(SUBSTITUTE(PROPER(C2343)&amp;" "&amp;IF(OR(D2343="County",D2343="Township",D2343="Village",D2343="Charter Township"),D2343,"")&amp;IF(D2343="Township"," "&amp;"("&amp;VLOOKUP(A2343,counties,3,0)&amp;")",""),"  "," "))</f>
        <v>Jonesfield/Lakefield Fire District</v>
      </c>
    </row>
    <row r="2344" spans="1:8" ht="15.75" thickBot="1" x14ac:dyDescent="0.3">
      <c r="A2344">
        <f t="shared" si="37"/>
        <v>73</v>
      </c>
      <c r="B2344" s="10">
        <v>2016</v>
      </c>
      <c r="C2344" s="3" t="s">
        <v>2036</v>
      </c>
      <c r="D2344" s="3" t="s">
        <v>9</v>
      </c>
      <c r="E2344" s="4" t="s">
        <v>7</v>
      </c>
      <c r="F2344" s="11" t="s">
        <v>8</v>
      </c>
      <c r="H2344" t="str">
        <f>TRIM(SUBSTITUTE(PROPER(C2344)&amp;" "&amp;IF(OR(D2344="County",D2344="Township",D2344="Village",D2344="Charter Township"),D2344,"")&amp;IF(D2344="Township"," "&amp;"("&amp;VLOOKUP(A2344,counties,3,0)&amp;")",""),"  "," "))</f>
        <v>Kochville Township (Saginaw County)</v>
      </c>
    </row>
    <row r="2345" spans="1:8" ht="15.75" thickBot="1" x14ac:dyDescent="0.3">
      <c r="A2345">
        <f t="shared" si="37"/>
        <v>73</v>
      </c>
      <c r="B2345" s="8">
        <v>2016</v>
      </c>
      <c r="C2345" s="1" t="s">
        <v>1380</v>
      </c>
      <c r="D2345" s="1" t="s">
        <v>9</v>
      </c>
      <c r="E2345" s="2" t="s">
        <v>7</v>
      </c>
      <c r="F2345" s="9" t="s">
        <v>8</v>
      </c>
      <c r="H2345" t="str">
        <f>TRIM(SUBSTITUTE(PROPER(C2345)&amp;" "&amp;IF(OR(D2345="County",D2345="Township",D2345="Village",D2345="Charter Township"),D2345,"")&amp;IF(D2345="Township"," "&amp;"("&amp;VLOOKUP(A2345,counties,3,0)&amp;")",""),"  "," "))</f>
        <v>Lakefield Township (Saginaw County)</v>
      </c>
    </row>
    <row r="2346" spans="1:8" ht="15.75" thickBot="1" x14ac:dyDescent="0.3">
      <c r="A2346">
        <f t="shared" si="37"/>
        <v>73</v>
      </c>
      <c r="B2346" s="10">
        <v>2016</v>
      </c>
      <c r="C2346" s="3" t="s">
        <v>173</v>
      </c>
      <c r="D2346" s="3" t="s">
        <v>9</v>
      </c>
      <c r="E2346" s="4" t="s">
        <v>7</v>
      </c>
      <c r="F2346" s="11" t="s">
        <v>8</v>
      </c>
      <c r="H2346" t="str">
        <f>TRIM(SUBSTITUTE(PROPER(C2346)&amp;" "&amp;IF(OR(D2346="County",D2346="Township",D2346="Village",D2346="Charter Township"),D2346,"")&amp;IF(D2346="Township"," "&amp;"("&amp;VLOOKUP(A2346,counties,3,0)&amp;")",""),"  "," "))</f>
        <v>Maple Grove Township (Saginaw County)</v>
      </c>
    </row>
    <row r="2347" spans="1:8" ht="15.75" thickBot="1" x14ac:dyDescent="0.3">
      <c r="A2347">
        <f t="shared" si="37"/>
        <v>73</v>
      </c>
      <c r="B2347" s="8">
        <v>2016</v>
      </c>
      <c r="C2347" s="1" t="s">
        <v>1371</v>
      </c>
      <c r="D2347" s="1" t="s">
        <v>9</v>
      </c>
      <c r="E2347" s="2" t="s">
        <v>7</v>
      </c>
      <c r="F2347" s="9" t="s">
        <v>8</v>
      </c>
      <c r="H2347" t="str">
        <f>TRIM(SUBSTITUTE(PROPER(C2347)&amp;" "&amp;IF(OR(D2347="County",D2347="Township",D2347="Village",D2347="Charter Township"),D2347,"")&amp;IF(D2347="Township"," "&amp;"("&amp;VLOOKUP(A2347,counties,3,0)&amp;")",""),"  "," "))</f>
        <v>Marion Township (Saginaw County)</v>
      </c>
    </row>
    <row r="2348" spans="1:8" ht="15.75" thickBot="1" x14ac:dyDescent="0.3">
      <c r="A2348">
        <f t="shared" si="37"/>
        <v>73</v>
      </c>
      <c r="B2348" s="10">
        <v>2016</v>
      </c>
      <c r="C2348" s="3" t="s">
        <v>2037</v>
      </c>
      <c r="D2348" s="3" t="s">
        <v>17</v>
      </c>
      <c r="E2348" s="4" t="s">
        <v>7</v>
      </c>
      <c r="F2348" s="11" t="s">
        <v>8</v>
      </c>
      <c r="H2348" t="str">
        <f>TRIM(SUBSTITUTE(PROPER(C2348)&amp;" "&amp;IF(OR(D2348="County",D2348="Township",D2348="Village",D2348="Charter Township"),D2348,"")&amp;IF(D2348="Township"," "&amp;"("&amp;VLOOKUP(A2348,counties,3,0)&amp;")",""),"  "," "))</f>
        <v>Mbs International Airport Commission</v>
      </c>
    </row>
    <row r="2349" spans="1:8" ht="15.75" thickBot="1" x14ac:dyDescent="0.3">
      <c r="A2349">
        <f t="shared" si="37"/>
        <v>73</v>
      </c>
      <c r="B2349" s="8">
        <v>2016</v>
      </c>
      <c r="C2349" s="1" t="s">
        <v>2038</v>
      </c>
      <c r="D2349" s="1" t="s">
        <v>21</v>
      </c>
      <c r="E2349" s="2" t="s">
        <v>7</v>
      </c>
      <c r="F2349" s="9" t="s">
        <v>8</v>
      </c>
      <c r="H2349" t="str">
        <f>TRIM(SUBSTITUTE(PROPER(C2349)&amp;" "&amp;IF(OR(D2349="County",D2349="Township",D2349="Village",D2349="Charter Township"),D2349,"")&amp;IF(D2349="Township"," "&amp;"("&amp;VLOOKUP(A2349,counties,3,0)&amp;")",""),"  "," "))</f>
        <v>Merrill Village</v>
      </c>
    </row>
    <row r="2350" spans="1:8" ht="15.75" thickBot="1" x14ac:dyDescent="0.3">
      <c r="A2350">
        <f t="shared" si="37"/>
        <v>73</v>
      </c>
      <c r="B2350" s="10">
        <v>2016</v>
      </c>
      <c r="C2350" s="3" t="s">
        <v>2039</v>
      </c>
      <c r="D2350" s="3" t="s">
        <v>17</v>
      </c>
      <c r="E2350" s="4" t="s">
        <v>7</v>
      </c>
      <c r="F2350" s="11" t="s">
        <v>8</v>
      </c>
      <c r="H2350" t="str">
        <f>TRIM(SUBSTITUTE(PROPER(C2350)&amp;" "&amp;IF(OR(D2350="County",D2350="Township",D2350="Village",D2350="Charter Township"),D2350,"")&amp;IF(D2350="Township"," "&amp;"("&amp;VLOOKUP(A2350,counties,3,0)&amp;")",""),"  "," "))</f>
        <v>Mid Michigan Waste Authority</v>
      </c>
    </row>
    <row r="2351" spans="1:8" ht="15.75" thickBot="1" x14ac:dyDescent="0.3">
      <c r="A2351">
        <f t="shared" si="37"/>
        <v>73</v>
      </c>
      <c r="B2351" s="8">
        <v>2016</v>
      </c>
      <c r="C2351" s="1" t="s">
        <v>2040</v>
      </c>
      <c r="D2351" s="1" t="s">
        <v>17</v>
      </c>
      <c r="E2351" s="2" t="s">
        <v>7</v>
      </c>
      <c r="F2351" s="9" t="s">
        <v>8</v>
      </c>
      <c r="H2351" t="str">
        <f>TRIM(SUBSTITUTE(PROPER(C2351)&amp;" "&amp;IF(OR(D2351="County",D2351="Township",D2351="Village",D2351="Charter Township"),D2351,"")&amp;IF(D2351="Township"," "&amp;"("&amp;VLOOKUP(A2351,counties,3,0)&amp;")",""),"  "," "))</f>
        <v>Northwest Utilities Authority</v>
      </c>
    </row>
    <row r="2352" spans="1:8" ht="15.75" thickBot="1" x14ac:dyDescent="0.3">
      <c r="A2352">
        <f t="shared" si="37"/>
        <v>73</v>
      </c>
      <c r="B2352" s="10">
        <v>2016</v>
      </c>
      <c r="C2352" s="3" t="s">
        <v>2041</v>
      </c>
      <c r="D2352" s="3" t="s">
        <v>21</v>
      </c>
      <c r="E2352" s="4" t="s">
        <v>7</v>
      </c>
      <c r="F2352" s="11" t="s">
        <v>8</v>
      </c>
      <c r="H2352" t="str">
        <f>TRIM(SUBSTITUTE(PROPER(C2352)&amp;" "&amp;IF(OR(D2352="County",D2352="Township",D2352="Village",D2352="Charter Township"),D2352,"")&amp;IF(D2352="Township"," "&amp;"("&amp;VLOOKUP(A2352,counties,3,0)&amp;")",""),"  "," "))</f>
        <v>Oakley Village</v>
      </c>
    </row>
    <row r="2353" spans="1:8" ht="15.75" thickBot="1" x14ac:dyDescent="0.3">
      <c r="A2353">
        <f t="shared" si="37"/>
        <v>73</v>
      </c>
      <c r="B2353" s="8">
        <v>2016</v>
      </c>
      <c r="C2353" s="1" t="s">
        <v>2042</v>
      </c>
      <c r="D2353" s="1" t="s">
        <v>42</v>
      </c>
      <c r="E2353" s="2" t="s">
        <v>7</v>
      </c>
      <c r="F2353" s="9" t="s">
        <v>8</v>
      </c>
      <c r="H2353" t="str">
        <f>TRIM(SUBSTITUTE(PROPER(C2353)&amp;" "&amp;IF(OR(D2353="County",D2353="Township",D2353="Village",D2353="Charter Township"),D2353,"")&amp;IF(D2353="Township"," "&amp;"("&amp;VLOOKUP(A2353,counties,3,0)&amp;")",""),"  "," "))</f>
        <v>Public Libraries Of Saginaw</v>
      </c>
    </row>
    <row r="2354" spans="1:8" ht="15.75" thickBot="1" x14ac:dyDescent="0.3">
      <c r="A2354">
        <f t="shared" si="37"/>
        <v>73</v>
      </c>
      <c r="B2354" s="10">
        <v>2016</v>
      </c>
      <c r="C2354" s="3" t="s">
        <v>1150</v>
      </c>
      <c r="D2354" s="3" t="s">
        <v>9</v>
      </c>
      <c r="E2354" s="4" t="s">
        <v>7</v>
      </c>
      <c r="F2354" s="11" t="s">
        <v>8</v>
      </c>
      <c r="H2354" t="str">
        <f>TRIM(SUBSTITUTE(PROPER(C2354)&amp;" "&amp;IF(OR(D2354="County",D2354="Township",D2354="Village",D2354="Charter Township"),D2354,"")&amp;IF(D2354="Township"," "&amp;"("&amp;VLOOKUP(A2354,counties,3,0)&amp;")",""),"  "," "))</f>
        <v>Richland Township (Saginaw County)</v>
      </c>
    </row>
    <row r="2355" spans="1:8" ht="15.75" thickBot="1" x14ac:dyDescent="0.3">
      <c r="A2355">
        <f t="shared" si="37"/>
        <v>73</v>
      </c>
      <c r="B2355" s="8">
        <v>2016</v>
      </c>
      <c r="C2355" s="1" t="s">
        <v>2043</v>
      </c>
      <c r="D2355" s="1" t="s">
        <v>42</v>
      </c>
      <c r="E2355" s="2" t="s">
        <v>7</v>
      </c>
      <c r="F2355" s="9" t="s">
        <v>8</v>
      </c>
      <c r="H2355" t="str">
        <f>TRIM(SUBSTITUTE(PROPER(C2355)&amp;" "&amp;IF(OR(D2355="County",D2355="Township",D2355="Village",D2355="Charter Township"),D2355,"")&amp;IF(D2355="Township"," "&amp;"("&amp;VLOOKUP(A2355,counties,3,0)&amp;")",""),"  "," "))</f>
        <v>River Rapids District Library</v>
      </c>
    </row>
    <row r="2356" spans="1:8" ht="15.75" thickBot="1" x14ac:dyDescent="0.3">
      <c r="A2356">
        <f t="shared" si="37"/>
        <v>73</v>
      </c>
      <c r="B2356" s="10">
        <v>2016</v>
      </c>
      <c r="C2356" s="3" t="s">
        <v>2044</v>
      </c>
      <c r="D2356" s="3" t="s">
        <v>15</v>
      </c>
      <c r="E2356" s="4" t="s">
        <v>7</v>
      </c>
      <c r="F2356" s="11" t="s">
        <v>8</v>
      </c>
      <c r="H2356" t="str">
        <f>TRIM(SUBSTITUTE(PROPER(C2356)&amp;" "&amp;IF(OR(D2356="County",D2356="Township",D2356="Village",D2356="Charter Township"),D2356,"")&amp;IF(D2356="Township"," "&amp;"("&amp;VLOOKUP(A2356,counties,3,0)&amp;")",""),"  "," "))</f>
        <v>Saginaw</v>
      </c>
    </row>
    <row r="2357" spans="1:8" ht="15.75" thickBot="1" x14ac:dyDescent="0.3">
      <c r="A2357">
        <f t="shared" si="37"/>
        <v>73</v>
      </c>
      <c r="B2357" s="8">
        <v>2016</v>
      </c>
      <c r="C2357" s="1" t="s">
        <v>2044</v>
      </c>
      <c r="D2357" s="1" t="s">
        <v>6</v>
      </c>
      <c r="E2357" s="2" t="s">
        <v>7</v>
      </c>
      <c r="F2357" s="9" t="s">
        <v>8</v>
      </c>
      <c r="H2357" t="str">
        <f>TRIM(SUBSTITUTE(PROPER(C2357)&amp;" "&amp;IF(OR(D2357="County",D2357="Township",D2357="Village",D2357="Charter Township"),D2357,"")&amp;IF(D2357="Township"," "&amp;"("&amp;VLOOKUP(A2357,counties,3,0)&amp;")",""),"  "," "))</f>
        <v>Saginaw County</v>
      </c>
    </row>
    <row r="2358" spans="1:8" ht="15.75" thickBot="1" x14ac:dyDescent="0.3">
      <c r="A2358">
        <f t="shared" si="37"/>
        <v>73</v>
      </c>
      <c r="B2358" s="10">
        <v>2016</v>
      </c>
      <c r="C2358" s="3" t="s">
        <v>2045</v>
      </c>
      <c r="D2358" s="3" t="s">
        <v>17</v>
      </c>
      <c r="E2358" s="4" t="s">
        <v>7</v>
      </c>
      <c r="F2358" s="11" t="s">
        <v>8</v>
      </c>
      <c r="H2358" t="str">
        <f>TRIM(SUBSTITUTE(PROPER(C2358)&amp;" "&amp;IF(OR(D2358="County",D2358="Township",D2358="Village",D2358="Charter Township"),D2358,"")&amp;IF(D2358="Township"," "&amp;"("&amp;VLOOKUP(A2358,counties,3,0)&amp;")",""),"  "," "))</f>
        <v>Saginaw Area Gis Authority</v>
      </c>
    </row>
    <row r="2359" spans="1:8" ht="15.75" thickBot="1" x14ac:dyDescent="0.3">
      <c r="A2359">
        <f t="shared" si="37"/>
        <v>73</v>
      </c>
      <c r="B2359" s="8">
        <v>2016</v>
      </c>
      <c r="C2359" s="1" t="s">
        <v>2046</v>
      </c>
      <c r="D2359" s="1" t="s">
        <v>17</v>
      </c>
      <c r="E2359" s="2" t="s">
        <v>7</v>
      </c>
      <c r="F2359" s="9" t="s">
        <v>8</v>
      </c>
      <c r="H2359" t="str">
        <f>TRIM(SUBSTITUTE(PROPER(C2359)&amp;" "&amp;IF(OR(D2359="County",D2359="Township",D2359="Village",D2359="Charter Township"),D2359,"")&amp;IF(D2359="Township"," "&amp;"("&amp;VLOOKUP(A2359,counties,3,0)&amp;")",""),"  "," "))</f>
        <v>Saginaw Area Storm Water Authority</v>
      </c>
    </row>
    <row r="2360" spans="1:8" ht="15.75" thickBot="1" x14ac:dyDescent="0.3">
      <c r="A2360">
        <f t="shared" si="37"/>
        <v>73</v>
      </c>
      <c r="B2360" s="10">
        <v>2016</v>
      </c>
      <c r="C2360" s="3" t="s">
        <v>2047</v>
      </c>
      <c r="D2360" s="3" t="s">
        <v>9</v>
      </c>
      <c r="E2360" s="4" t="s">
        <v>7</v>
      </c>
      <c r="F2360" s="11" t="s">
        <v>8</v>
      </c>
      <c r="H2360" t="str">
        <f>TRIM(SUBSTITUTE(PROPER(C2360)&amp;" "&amp;IF(OR(D2360="County",D2360="Township",D2360="Village",D2360="Charter Township"),D2360,"")&amp;IF(D2360="Township"," "&amp;"("&amp;VLOOKUP(A2360,counties,3,0)&amp;")",""),"  "," "))</f>
        <v>Saginaw Charter Township (Saginaw County)</v>
      </c>
    </row>
    <row r="2361" spans="1:8" ht="15.75" thickBot="1" x14ac:dyDescent="0.3">
      <c r="A2361">
        <f t="shared" si="37"/>
        <v>73</v>
      </c>
      <c r="B2361" s="8">
        <v>2016</v>
      </c>
      <c r="C2361" s="1" t="s">
        <v>2048</v>
      </c>
      <c r="D2361" s="1" t="s">
        <v>17</v>
      </c>
      <c r="E2361" s="2" t="s">
        <v>7</v>
      </c>
      <c r="F2361" s="9" t="s">
        <v>8</v>
      </c>
      <c r="H2361" t="str">
        <f>TRIM(SUBSTITUTE(PROPER(C2361)&amp;" "&amp;IF(OR(D2361="County",D2361="Township",D2361="Village",D2361="Charter Township"),D2361,"")&amp;IF(D2361="Township"," "&amp;"("&amp;VLOOKUP(A2361,counties,3,0)&amp;")",""),"  "," "))</f>
        <v>Saginaw City Housing Commission</v>
      </c>
    </row>
    <row r="2362" spans="1:8" ht="15.75" thickBot="1" x14ac:dyDescent="0.3">
      <c r="A2362">
        <f t="shared" si="37"/>
        <v>73</v>
      </c>
      <c r="B2362" s="10">
        <v>2016</v>
      </c>
      <c r="C2362" s="3" t="s">
        <v>2049</v>
      </c>
      <c r="D2362" s="3" t="s">
        <v>17</v>
      </c>
      <c r="E2362" s="4" t="s">
        <v>7</v>
      </c>
      <c r="F2362" s="11" t="s">
        <v>8</v>
      </c>
      <c r="H2362" t="str">
        <f>TRIM(SUBSTITUTE(PROPER(C2362)&amp;" "&amp;IF(OR(D2362="County",D2362="Township",D2362="Village",D2362="Charter Township"),D2362,"")&amp;IF(D2362="Township"," "&amp;"("&amp;VLOOKUP(A2362,counties,3,0)&amp;")",""),"  "," "))</f>
        <v>Saginaw County 911 Communications Center Auth</v>
      </c>
    </row>
    <row r="2363" spans="1:8" ht="21.75" thickBot="1" x14ac:dyDescent="0.3">
      <c r="A2363">
        <f t="shared" si="37"/>
        <v>73</v>
      </c>
      <c r="B2363" s="8">
        <v>2016</v>
      </c>
      <c r="C2363" s="1" t="s">
        <v>2050</v>
      </c>
      <c r="D2363" s="1" t="s">
        <v>17</v>
      </c>
      <c r="E2363" s="2" t="s">
        <v>7</v>
      </c>
      <c r="F2363" s="9" t="s">
        <v>8</v>
      </c>
      <c r="H2363" t="str">
        <f>TRIM(SUBSTITUTE(PROPER(C2363)&amp;" "&amp;IF(OR(D2363="County",D2363="Township",D2363="Village",D2363="Charter Township"),D2363,"")&amp;IF(D2363="Township"," "&amp;"("&amp;VLOOKUP(A2363,counties,3,0)&amp;")",""),"  "," "))</f>
        <v>Saginaw County Community Mental Health Authority</v>
      </c>
    </row>
    <row r="2364" spans="1:8" ht="15.75" thickBot="1" x14ac:dyDescent="0.3">
      <c r="A2364">
        <f t="shared" si="37"/>
        <v>73</v>
      </c>
      <c r="B2364" s="10">
        <v>2016</v>
      </c>
      <c r="C2364" s="3" t="s">
        <v>2051</v>
      </c>
      <c r="D2364" s="3" t="s">
        <v>11</v>
      </c>
      <c r="E2364" s="4" t="s">
        <v>7</v>
      </c>
      <c r="F2364" s="11" t="s">
        <v>8</v>
      </c>
      <c r="H2364" t="str">
        <f>TRIM(SUBSTITUTE(PROPER(C2364)&amp;" "&amp;IF(OR(D2364="County",D2364="Township",D2364="Village",D2364="Charter Township"),D2364,"")&amp;IF(D2364="Township"," "&amp;"("&amp;VLOOKUP(A2364,counties,3,0)&amp;")",""),"  "," "))</f>
        <v>Saginaw County Road Commission</v>
      </c>
    </row>
    <row r="2365" spans="1:8" ht="15.75" thickBot="1" x14ac:dyDescent="0.3">
      <c r="A2365">
        <f t="shared" si="37"/>
        <v>73</v>
      </c>
      <c r="B2365" s="8">
        <v>2016</v>
      </c>
      <c r="C2365" s="1" t="s">
        <v>2052</v>
      </c>
      <c r="D2365" s="1" t="s">
        <v>17</v>
      </c>
      <c r="E2365" s="2" t="s">
        <v>7</v>
      </c>
      <c r="F2365" s="9" t="s">
        <v>8</v>
      </c>
      <c r="H2365" t="str">
        <f>TRIM(SUBSTITUTE(PROPER(C2365)&amp;" "&amp;IF(OR(D2365="County",D2365="Township",D2365="Village",D2365="Charter Township"),D2365,"")&amp;IF(D2365="Township"," "&amp;"("&amp;VLOOKUP(A2365,counties,3,0)&amp;")",""),"  "," "))</f>
        <v>Saginaw Transit Authority Regional Services</v>
      </c>
    </row>
    <row r="2366" spans="1:8" ht="21.75" thickBot="1" x14ac:dyDescent="0.3">
      <c r="A2366">
        <f t="shared" si="37"/>
        <v>73</v>
      </c>
      <c r="B2366" s="10">
        <v>2016</v>
      </c>
      <c r="C2366" s="3" t="s">
        <v>2053</v>
      </c>
      <c r="D2366" s="3" t="s">
        <v>17</v>
      </c>
      <c r="E2366" s="4" t="s">
        <v>7</v>
      </c>
      <c r="F2366" s="11" t="s">
        <v>8</v>
      </c>
      <c r="H2366" t="str">
        <f>TRIM(SUBSTITUTE(PROPER(C2366)&amp;" "&amp;IF(OR(D2366="County",D2366="Township",D2366="Village",D2366="Charter Township"),D2366,"")&amp;IF(D2366="Township"," "&amp;"("&amp;VLOOKUP(A2366,counties,3,0)&amp;")",""),"  "," "))</f>
        <v>Saginaw-Midland Municipal Water Supply Corporation</v>
      </c>
    </row>
    <row r="2367" spans="1:8" ht="15.75" thickBot="1" x14ac:dyDescent="0.3">
      <c r="A2367">
        <f t="shared" si="37"/>
        <v>73</v>
      </c>
      <c r="B2367" s="8">
        <v>2016</v>
      </c>
      <c r="C2367" s="1" t="s">
        <v>2054</v>
      </c>
      <c r="D2367" s="1" t="s">
        <v>9</v>
      </c>
      <c r="E2367" s="2" t="s">
        <v>7</v>
      </c>
      <c r="F2367" s="9" t="s">
        <v>19</v>
      </c>
      <c r="H2367" t="str">
        <f>TRIM(SUBSTITUTE(PROPER(C2367)&amp;" "&amp;IF(OR(D2367="County",D2367="Township",D2367="Village",D2367="Charter Township"),D2367,"")&amp;IF(D2367="Township"," "&amp;"("&amp;VLOOKUP(A2367,counties,3,0)&amp;")",""),"  "," "))</f>
        <v>Spaulding Township (Saginaw County)</v>
      </c>
    </row>
    <row r="2368" spans="1:8" ht="15.75" thickBot="1" x14ac:dyDescent="0.3">
      <c r="A2368">
        <f t="shared" si="37"/>
        <v>73</v>
      </c>
      <c r="B2368" s="10">
        <v>2016</v>
      </c>
      <c r="C2368" s="3" t="s">
        <v>2055</v>
      </c>
      <c r="D2368" s="3" t="s">
        <v>9</v>
      </c>
      <c r="E2368" s="4" t="s">
        <v>7</v>
      </c>
      <c r="F2368" s="11" t="s">
        <v>19</v>
      </c>
      <c r="H2368" t="str">
        <f>TRIM(SUBSTITUTE(PROPER(C2368)&amp;" "&amp;IF(OR(D2368="County",D2368="Township",D2368="Village",D2368="Charter Township"),D2368,"")&amp;IF(D2368="Township"," "&amp;"("&amp;VLOOKUP(A2368,counties,3,0)&amp;")",""),"  "," "))</f>
        <v>St Charles Township (Saginaw County)</v>
      </c>
    </row>
    <row r="2369" spans="1:8" ht="15.75" thickBot="1" x14ac:dyDescent="0.3">
      <c r="A2369">
        <f t="shared" si="37"/>
        <v>73</v>
      </c>
      <c r="B2369" s="8">
        <v>2016</v>
      </c>
      <c r="C2369" s="1" t="s">
        <v>2055</v>
      </c>
      <c r="D2369" s="1" t="s">
        <v>21</v>
      </c>
      <c r="E2369" s="2" t="s">
        <v>7</v>
      </c>
      <c r="F2369" s="9" t="s">
        <v>8</v>
      </c>
      <c r="H2369" t="str">
        <f>TRIM(SUBSTITUTE(PROPER(C2369)&amp;" "&amp;IF(OR(D2369="County",D2369="Township",D2369="Village",D2369="Charter Township"),D2369,"")&amp;IF(D2369="Township"," "&amp;"("&amp;VLOOKUP(A2369,counties,3,0)&amp;")",""),"  "," "))</f>
        <v>St Charles Village</v>
      </c>
    </row>
    <row r="2370" spans="1:8" ht="15.75" thickBot="1" x14ac:dyDescent="0.3">
      <c r="A2370">
        <f t="shared" si="37"/>
        <v>73</v>
      </c>
      <c r="B2370" s="10">
        <v>2016</v>
      </c>
      <c r="C2370" s="3" t="s">
        <v>2056</v>
      </c>
      <c r="D2370" s="3" t="s">
        <v>42</v>
      </c>
      <c r="E2370" s="4" t="s">
        <v>7</v>
      </c>
      <c r="F2370" s="11" t="s">
        <v>19</v>
      </c>
      <c r="H2370" t="str">
        <f>TRIM(SUBSTITUTE(PROPER(C2370)&amp;" "&amp;IF(OR(D2370="County",D2370="Township",D2370="Village",D2370="Charter Township"),D2370,"")&amp;IF(D2370="Township"," "&amp;"("&amp;VLOOKUP(A2370,counties,3,0)&amp;")",""),"  "," "))</f>
        <v>St Charles District Library</v>
      </c>
    </row>
    <row r="2371" spans="1:8" ht="15.75" thickBot="1" x14ac:dyDescent="0.3">
      <c r="A2371">
        <f t="shared" ref="A2371:A2434" si="38">IF(B2371="Year",A2370+1,A2370)</f>
        <v>73</v>
      </c>
      <c r="B2371" s="8">
        <v>2016</v>
      </c>
      <c r="C2371" s="1" t="s">
        <v>2057</v>
      </c>
      <c r="D2371" s="1" t="s">
        <v>9</v>
      </c>
      <c r="E2371" s="2" t="s">
        <v>7</v>
      </c>
      <c r="F2371" s="9" t="s">
        <v>8</v>
      </c>
      <c r="H2371" t="str">
        <f>TRIM(SUBSTITUTE(PROPER(C2371)&amp;" "&amp;IF(OR(D2371="County",D2371="Township",D2371="Village",D2371="Charter Township"),D2371,"")&amp;IF(D2371="Township"," "&amp;"("&amp;VLOOKUP(A2371,counties,3,0)&amp;")",""),"  "," "))</f>
        <v>Swan Creek Township (Saginaw County)</v>
      </c>
    </row>
    <row r="2372" spans="1:8" ht="21.75" thickBot="1" x14ac:dyDescent="0.3">
      <c r="A2372">
        <f t="shared" si="38"/>
        <v>73</v>
      </c>
      <c r="B2372" s="10">
        <v>2016</v>
      </c>
      <c r="C2372" s="3" t="s">
        <v>2058</v>
      </c>
      <c r="D2372" s="3" t="s">
        <v>17</v>
      </c>
      <c r="E2372" s="4" t="s">
        <v>7</v>
      </c>
      <c r="F2372" s="11" t="s">
        <v>8</v>
      </c>
      <c r="H2372" t="str">
        <f>TRIM(SUBSTITUTE(PROPER(C2372)&amp;" "&amp;IF(OR(D2372="County",D2372="Township",D2372="Village",D2372="Charter Township"),D2372,"")&amp;IF(D2372="Township"," "&amp;"("&amp;VLOOKUP(A2372,counties,3,0)&amp;")",""),"  "," "))</f>
        <v>Swan Creek/James Twps &amp; Vill St Charles Water Auth</v>
      </c>
    </row>
    <row r="2373" spans="1:8" ht="15.75" thickBot="1" x14ac:dyDescent="0.3">
      <c r="A2373">
        <f t="shared" si="38"/>
        <v>73</v>
      </c>
      <c r="B2373" s="8">
        <v>2016</v>
      </c>
      <c r="C2373" s="1" t="s">
        <v>2059</v>
      </c>
      <c r="D2373" s="1" t="s">
        <v>9</v>
      </c>
      <c r="E2373" s="2" t="s">
        <v>7</v>
      </c>
      <c r="F2373" s="9" t="s">
        <v>8</v>
      </c>
      <c r="H2373" t="str">
        <f>TRIM(SUBSTITUTE(PROPER(C2373)&amp;" "&amp;IF(OR(D2373="County",D2373="Township",D2373="Village",D2373="Charter Township"),D2373,"")&amp;IF(D2373="Township"," "&amp;"("&amp;VLOOKUP(A2373,counties,3,0)&amp;")",""),"  "," "))</f>
        <v>Taymouth Township (Saginaw County)</v>
      </c>
    </row>
    <row r="2374" spans="1:8" ht="15.75" thickBot="1" x14ac:dyDescent="0.3">
      <c r="A2374">
        <f t="shared" si="38"/>
        <v>73</v>
      </c>
      <c r="B2374" s="10">
        <v>2016</v>
      </c>
      <c r="C2374" s="3" t="s">
        <v>2060</v>
      </c>
      <c r="D2374" s="3" t="s">
        <v>9</v>
      </c>
      <c r="E2374" s="4" t="s">
        <v>7</v>
      </c>
      <c r="F2374" s="11" t="s">
        <v>8</v>
      </c>
      <c r="H2374" t="str">
        <f>TRIM(SUBSTITUTE(PROPER(C2374)&amp;" "&amp;IF(OR(D2374="County",D2374="Township",D2374="Village",D2374="Charter Township"),D2374,"")&amp;IF(D2374="Township"," "&amp;"("&amp;VLOOKUP(A2374,counties,3,0)&amp;")",""),"  "," "))</f>
        <v>Thomas Township (Saginaw County)</v>
      </c>
    </row>
    <row r="2375" spans="1:8" ht="15.75" thickBot="1" x14ac:dyDescent="0.3">
      <c r="A2375">
        <f t="shared" si="38"/>
        <v>73</v>
      </c>
      <c r="B2375" s="8">
        <v>2016</v>
      </c>
      <c r="C2375" s="1" t="s">
        <v>2061</v>
      </c>
      <c r="D2375" s="1" t="s">
        <v>9</v>
      </c>
      <c r="E2375" s="2" t="s">
        <v>7</v>
      </c>
      <c r="F2375" s="9" t="s">
        <v>8</v>
      </c>
      <c r="H2375" t="str">
        <f>TRIM(SUBSTITUTE(PROPER(C2375)&amp;" "&amp;IF(OR(D2375="County",D2375="Township",D2375="Village",D2375="Charter Township"),D2375,"")&amp;IF(D2375="Township"," "&amp;"("&amp;VLOOKUP(A2375,counties,3,0)&amp;")",""),"  "," "))</f>
        <v>Tittabawassee Township (Saginaw County)</v>
      </c>
    </row>
    <row r="2376" spans="1:8" ht="21.75" thickBot="1" x14ac:dyDescent="0.3">
      <c r="A2376">
        <f t="shared" si="38"/>
        <v>73</v>
      </c>
      <c r="B2376" s="10">
        <v>2016</v>
      </c>
      <c r="C2376" s="3" t="s">
        <v>2062</v>
      </c>
      <c r="D2376" s="3" t="s">
        <v>17</v>
      </c>
      <c r="E2376" s="4" t="s">
        <v>7</v>
      </c>
      <c r="F2376" s="11" t="s">
        <v>8</v>
      </c>
      <c r="H2376" t="str">
        <f>TRIM(SUBSTITUTE(PROPER(C2376)&amp;" "&amp;IF(OR(D2376="County",D2376="Township",D2376="Village",D2376="Charter Township"),D2376,"")&amp;IF(D2376="Township"," "&amp;"("&amp;VLOOKUP(A2376,counties,3,0)&amp;")",""),"  "," "))</f>
        <v>Tri-Twp Fire Dist/Swan Creek/St Charles/Brant Twps</v>
      </c>
    </row>
    <row r="2377" spans="1:8" ht="15.75" thickBot="1" x14ac:dyDescent="0.3">
      <c r="A2377">
        <f t="shared" si="38"/>
        <v>73</v>
      </c>
      <c r="B2377" s="8">
        <v>2016</v>
      </c>
      <c r="C2377" s="1" t="s">
        <v>2063</v>
      </c>
      <c r="D2377" s="1" t="s">
        <v>42</v>
      </c>
      <c r="E2377" s="2" t="s">
        <v>7</v>
      </c>
      <c r="F2377" s="9" t="s">
        <v>8</v>
      </c>
      <c r="H2377" t="str">
        <f>TRIM(SUBSTITUTE(PROPER(C2377)&amp;" "&amp;IF(OR(D2377="County",D2377="Township",D2377="Village",D2377="Charter Township"),D2377,"")&amp;IF(D2377="Township"," "&amp;"("&amp;VLOOKUP(A2377,counties,3,0)&amp;")",""),"  "," "))</f>
        <v>White Pine Library Cooperative</v>
      </c>
    </row>
    <row r="2378" spans="1:8" ht="15.75" thickBot="1" x14ac:dyDescent="0.3">
      <c r="A2378">
        <f t="shared" si="38"/>
        <v>73</v>
      </c>
      <c r="B2378" s="12">
        <v>2016</v>
      </c>
      <c r="C2378" s="13" t="s">
        <v>2064</v>
      </c>
      <c r="D2378" s="13" t="s">
        <v>15</v>
      </c>
      <c r="E2378" s="14" t="s">
        <v>7</v>
      </c>
      <c r="F2378" s="15" t="s">
        <v>8</v>
      </c>
      <c r="H2378" t="str">
        <f>TRIM(SUBSTITUTE(PROPER(C2378)&amp;" "&amp;IF(OR(D2378="County",D2378="Township",D2378="Village",D2378="Charter Township"),D2378,"")&amp;IF(D2378="Township"," "&amp;"("&amp;VLOOKUP(A2378,counties,3,0)&amp;")",""),"  "," "))</f>
        <v>Zilwaukee</v>
      </c>
    </row>
    <row r="2379" spans="1:8" ht="16.5" thickTop="1" thickBot="1" x14ac:dyDescent="0.3">
      <c r="A2379">
        <f t="shared" si="38"/>
        <v>74</v>
      </c>
      <c r="B2379" s="5" t="s">
        <v>0</v>
      </c>
      <c r="C2379" s="6" t="s">
        <v>1</v>
      </c>
      <c r="D2379" s="6" t="s">
        <v>2</v>
      </c>
      <c r="E2379" s="6" t="s">
        <v>3</v>
      </c>
      <c r="F2379" s="7" t="s">
        <v>4</v>
      </c>
      <c r="H2379" t="str">
        <f>TRIM(SUBSTITUTE(PROPER(C2379)&amp;" "&amp;IF(OR(D2379="County",D2379="Township",D2379="Village",D2379="Charter Township"),D2379,"")&amp;IF(D2379="Township"," "&amp;"("&amp;VLOOKUP(A2379,counties,3,0)&amp;")",""),"  "," "))</f>
        <v>Municipality</v>
      </c>
    </row>
    <row r="2380" spans="1:8" ht="15.75" thickBot="1" x14ac:dyDescent="0.3">
      <c r="A2380">
        <f t="shared" si="38"/>
        <v>74</v>
      </c>
      <c r="B2380" s="8">
        <v>2016</v>
      </c>
      <c r="C2380" s="1" t="s">
        <v>2065</v>
      </c>
      <c r="D2380" s="1" t="s">
        <v>15</v>
      </c>
      <c r="E2380" s="2" t="s">
        <v>7</v>
      </c>
      <c r="F2380" s="9" t="s">
        <v>8</v>
      </c>
      <c r="H2380" t="str">
        <f>TRIM(SUBSTITUTE(PROPER(C2380)&amp;" "&amp;IF(OR(D2380="County",D2380="Township",D2380="Village",D2380="Charter Township"),D2380,"")&amp;IF(D2380="Township"," "&amp;"("&amp;VLOOKUP(A2380,counties,3,0)&amp;")",""),"  "," "))</f>
        <v>Algonac</v>
      </c>
    </row>
    <row r="2381" spans="1:8" ht="15.75" thickBot="1" x14ac:dyDescent="0.3">
      <c r="A2381">
        <f t="shared" si="38"/>
        <v>74</v>
      </c>
      <c r="B2381" s="10">
        <v>2016</v>
      </c>
      <c r="C2381" s="3" t="s">
        <v>2066</v>
      </c>
      <c r="D2381" s="3" t="s">
        <v>17</v>
      </c>
      <c r="E2381" s="4" t="s">
        <v>7</v>
      </c>
      <c r="F2381" s="11" t="s">
        <v>8</v>
      </c>
      <c r="H2381" t="str">
        <f>TRIM(SUBSTITUTE(PROPER(C2381)&amp;" "&amp;IF(OR(D2381="County",D2381="Township",D2381="Village",D2381="Charter Township"),D2381,"")&amp;IF(D2381="Township"," "&amp;"("&amp;VLOOKUP(A2381,counties,3,0)&amp;")",""),"  "," "))</f>
        <v>Algonac City Housing Commission</v>
      </c>
    </row>
    <row r="2382" spans="1:8" ht="15.75" thickBot="1" x14ac:dyDescent="0.3">
      <c r="A2382">
        <f t="shared" si="38"/>
        <v>74</v>
      </c>
      <c r="B2382" s="8">
        <v>2016</v>
      </c>
      <c r="C2382" s="1" t="s">
        <v>2067</v>
      </c>
      <c r="D2382" s="1" t="s">
        <v>17</v>
      </c>
      <c r="E2382" s="2" t="s">
        <v>7</v>
      </c>
      <c r="F2382" s="9" t="s">
        <v>8</v>
      </c>
      <c r="H2382" t="str">
        <f>TRIM(SUBSTITUTE(PROPER(C2382)&amp;" "&amp;IF(OR(D2382="County",D2382="Township",D2382="Village",D2382="Charter Township"),D2382,"")&amp;IF(D2382="Township"," "&amp;"("&amp;VLOOKUP(A2382,counties,3,0)&amp;")",""),"  "," "))</f>
        <v>Blue Water Area Transportation Commission</v>
      </c>
    </row>
    <row r="2383" spans="1:8" ht="15.75" thickBot="1" x14ac:dyDescent="0.3">
      <c r="A2383">
        <f t="shared" si="38"/>
        <v>74</v>
      </c>
      <c r="B2383" s="10">
        <v>2016</v>
      </c>
      <c r="C2383" s="3" t="s">
        <v>2068</v>
      </c>
      <c r="D2383" s="3" t="s">
        <v>9</v>
      </c>
      <c r="E2383" s="4" t="s">
        <v>7</v>
      </c>
      <c r="F2383" s="11" t="s">
        <v>8</v>
      </c>
      <c r="H2383" t="str">
        <f>TRIM(SUBSTITUTE(PROPER(C2383)&amp;" "&amp;IF(OR(D2383="County",D2383="Township",D2383="Village",D2383="Charter Township"),D2383,"")&amp;IF(D2383="Township"," "&amp;"("&amp;VLOOKUP(A2383,counties,3,0)&amp;")",""),"  "," "))</f>
        <v>Brockway Township (St. Clair County)</v>
      </c>
    </row>
    <row r="2384" spans="1:8" ht="15.75" thickBot="1" x14ac:dyDescent="0.3">
      <c r="A2384">
        <f t="shared" si="38"/>
        <v>74</v>
      </c>
      <c r="B2384" s="8">
        <v>2016</v>
      </c>
      <c r="C2384" s="1" t="s">
        <v>2069</v>
      </c>
      <c r="D2384" s="1" t="s">
        <v>9</v>
      </c>
      <c r="E2384" s="2" t="s">
        <v>7</v>
      </c>
      <c r="F2384" s="9" t="s">
        <v>8</v>
      </c>
      <c r="H2384" t="str">
        <f>TRIM(SUBSTITUTE(PROPER(C2384)&amp;" "&amp;IF(OR(D2384="County",D2384="Township",D2384="Village",D2384="Charter Township"),D2384,"")&amp;IF(D2384="Township"," "&amp;"("&amp;VLOOKUP(A2384,counties,3,0)&amp;")",""),"  "," "))</f>
        <v>Burtchville Township (St. Clair County)</v>
      </c>
    </row>
    <row r="2385" spans="1:8" ht="15.75" thickBot="1" x14ac:dyDescent="0.3">
      <c r="A2385">
        <f t="shared" si="38"/>
        <v>74</v>
      </c>
      <c r="B2385" s="10">
        <v>2016</v>
      </c>
      <c r="C2385" s="3" t="s">
        <v>2070</v>
      </c>
      <c r="D2385" s="3" t="s">
        <v>21</v>
      </c>
      <c r="E2385" s="4" t="s">
        <v>7</v>
      </c>
      <c r="F2385" s="11" t="s">
        <v>8</v>
      </c>
      <c r="H2385" t="str">
        <f>TRIM(SUBSTITUTE(PROPER(C2385)&amp;" "&amp;IF(OR(D2385="County",D2385="Township",D2385="Village",D2385="Charter Township"),D2385,"")&amp;IF(D2385="Township"," "&amp;"("&amp;VLOOKUP(A2385,counties,3,0)&amp;")",""),"  "," "))</f>
        <v>Capac Village</v>
      </c>
    </row>
    <row r="2386" spans="1:8" ht="15.75" thickBot="1" x14ac:dyDescent="0.3">
      <c r="A2386">
        <f t="shared" si="38"/>
        <v>74</v>
      </c>
      <c r="B2386" s="8">
        <v>2016</v>
      </c>
      <c r="C2386" s="1" t="s">
        <v>44</v>
      </c>
      <c r="D2386" s="1" t="s">
        <v>9</v>
      </c>
      <c r="E2386" s="2" t="s">
        <v>7</v>
      </c>
      <c r="F2386" s="9" t="s">
        <v>8</v>
      </c>
      <c r="H2386" t="str">
        <f>TRIM(SUBSTITUTE(PROPER(C2386)&amp;" "&amp;IF(OR(D2386="County",D2386="Township",D2386="Village",D2386="Charter Township"),D2386,"")&amp;IF(D2386="Township"," "&amp;"("&amp;VLOOKUP(A2386,counties,3,0)&amp;")",""),"  "," "))</f>
        <v>Casco Township (St. Clair County)</v>
      </c>
    </row>
    <row r="2387" spans="1:8" ht="15.75" thickBot="1" x14ac:dyDescent="0.3">
      <c r="A2387">
        <f t="shared" si="38"/>
        <v>74</v>
      </c>
      <c r="B2387" s="10">
        <v>2016</v>
      </c>
      <c r="C2387" s="3" t="s">
        <v>2071</v>
      </c>
      <c r="D2387" s="3" t="s">
        <v>9</v>
      </c>
      <c r="E2387" s="4" t="s">
        <v>7</v>
      </c>
      <c r="F2387" s="11" t="s">
        <v>8</v>
      </c>
      <c r="H2387" t="str">
        <f>TRIM(SUBSTITUTE(PROPER(C2387)&amp;" "&amp;IF(OR(D2387="County",D2387="Township",D2387="Village",D2387="Charter Township"),D2387,"")&amp;IF(D2387="Township"," "&amp;"("&amp;VLOOKUP(A2387,counties,3,0)&amp;")",""),"  "," "))</f>
        <v>China Charter Township (St. Clair County)</v>
      </c>
    </row>
    <row r="2388" spans="1:8" ht="15.75" thickBot="1" x14ac:dyDescent="0.3">
      <c r="A2388">
        <f t="shared" si="38"/>
        <v>74</v>
      </c>
      <c r="B2388" s="8">
        <v>2016</v>
      </c>
      <c r="C2388" s="1" t="s">
        <v>2072</v>
      </c>
      <c r="D2388" s="1" t="s">
        <v>9</v>
      </c>
      <c r="E2388" s="2" t="s">
        <v>7</v>
      </c>
      <c r="F2388" s="9" t="s">
        <v>8</v>
      </c>
      <c r="H2388" t="str">
        <f>TRIM(SUBSTITUTE(PROPER(C2388)&amp;" "&amp;IF(OR(D2388="County",D2388="Township",D2388="Village",D2388="Charter Township"),D2388,"")&amp;IF(D2388="Township"," "&amp;"("&amp;VLOOKUP(A2388,counties,3,0)&amp;")",""),"  "," "))</f>
        <v>Clay Township (St. Clair County)</v>
      </c>
    </row>
    <row r="2389" spans="1:8" ht="15.75" thickBot="1" x14ac:dyDescent="0.3">
      <c r="A2389">
        <f t="shared" si="38"/>
        <v>74</v>
      </c>
      <c r="B2389" s="10">
        <v>2016</v>
      </c>
      <c r="C2389" s="3" t="s">
        <v>47</v>
      </c>
      <c r="D2389" s="3" t="s">
        <v>9</v>
      </c>
      <c r="E2389" s="4" t="s">
        <v>7</v>
      </c>
      <c r="F2389" s="11" t="s">
        <v>8</v>
      </c>
      <c r="H2389" t="str">
        <f>TRIM(SUBSTITUTE(PROPER(C2389)&amp;" "&amp;IF(OR(D2389="County",D2389="Township",D2389="Village",D2389="Charter Township"),D2389,"")&amp;IF(D2389="Township"," "&amp;"("&amp;VLOOKUP(A2389,counties,3,0)&amp;")",""),"  "," "))</f>
        <v>Clyde Township (St. Clair County)</v>
      </c>
    </row>
    <row r="2390" spans="1:8" ht="15.75" thickBot="1" x14ac:dyDescent="0.3">
      <c r="A2390">
        <f t="shared" si="38"/>
        <v>74</v>
      </c>
      <c r="B2390" s="8">
        <v>2016</v>
      </c>
      <c r="C2390" s="1" t="s">
        <v>1379</v>
      </c>
      <c r="D2390" s="1" t="s">
        <v>9</v>
      </c>
      <c r="E2390" s="2" t="s">
        <v>7</v>
      </c>
      <c r="F2390" s="9" t="s">
        <v>8</v>
      </c>
      <c r="H2390" t="str">
        <f>TRIM(SUBSTITUTE(PROPER(C2390)&amp;" "&amp;IF(OR(D2390="County",D2390="Township",D2390="Village",D2390="Charter Township"),D2390,"")&amp;IF(D2390="Township"," "&amp;"("&amp;VLOOKUP(A2390,counties,3,0)&amp;")",""),"  "," "))</f>
        <v>Columbus Township (St. Clair County)</v>
      </c>
    </row>
    <row r="2391" spans="1:8" ht="15.75" thickBot="1" x14ac:dyDescent="0.3">
      <c r="A2391">
        <f t="shared" si="38"/>
        <v>74</v>
      </c>
      <c r="B2391" s="10">
        <v>2016</v>
      </c>
      <c r="C2391" s="3" t="s">
        <v>2073</v>
      </c>
      <c r="D2391" s="3" t="s">
        <v>9</v>
      </c>
      <c r="E2391" s="4" t="s">
        <v>7</v>
      </c>
      <c r="F2391" s="11" t="s">
        <v>8</v>
      </c>
      <c r="H2391" t="str">
        <f>TRIM(SUBSTITUTE(PROPER(C2391)&amp;" "&amp;IF(OR(D2391="County",D2391="Township",D2391="Village",D2391="Charter Township"),D2391,"")&amp;IF(D2391="Township"," "&amp;"("&amp;VLOOKUP(A2391,counties,3,0)&amp;")",""),"  "," "))</f>
        <v>Cottrellville Township (St. Clair County)</v>
      </c>
    </row>
    <row r="2392" spans="1:8" ht="15.75" thickBot="1" x14ac:dyDescent="0.3">
      <c r="A2392">
        <f t="shared" si="38"/>
        <v>74</v>
      </c>
      <c r="B2392" s="8">
        <v>2016</v>
      </c>
      <c r="C2392" s="1" t="s">
        <v>2074</v>
      </c>
      <c r="D2392" s="1" t="s">
        <v>9</v>
      </c>
      <c r="E2392" s="2" t="s">
        <v>7</v>
      </c>
      <c r="F2392" s="9" t="s">
        <v>8</v>
      </c>
      <c r="H2392" t="str">
        <f>TRIM(SUBSTITUTE(PROPER(C2392)&amp;" "&amp;IF(OR(D2392="County",D2392="Township",D2392="Village",D2392="Charter Township"),D2392,"")&amp;IF(D2392="Township"," "&amp;"("&amp;VLOOKUP(A2392,counties,3,0)&amp;")",""),"  "," "))</f>
        <v>East China Charter Township (St. Clair County)</v>
      </c>
    </row>
    <row r="2393" spans="1:8" ht="15.75" thickBot="1" x14ac:dyDescent="0.3">
      <c r="A2393">
        <f t="shared" si="38"/>
        <v>74</v>
      </c>
      <c r="B2393" s="10">
        <v>2016</v>
      </c>
      <c r="C2393" s="3" t="s">
        <v>2075</v>
      </c>
      <c r="D2393" s="3" t="s">
        <v>9</v>
      </c>
      <c r="E2393" s="4" t="s">
        <v>7</v>
      </c>
      <c r="F2393" s="11" t="s">
        <v>8</v>
      </c>
      <c r="H2393" t="str">
        <f>TRIM(SUBSTITUTE(PROPER(C2393)&amp;" "&amp;IF(OR(D2393="County",D2393="Township",D2393="Village",D2393="Charter Township"),D2393,"")&amp;IF(D2393="Township"," "&amp;"("&amp;VLOOKUP(A2393,counties,3,0)&amp;")",""),"  "," "))</f>
        <v>Emmett Township (St. Clair County)</v>
      </c>
    </row>
    <row r="2394" spans="1:8" ht="15.75" thickBot="1" x14ac:dyDescent="0.3">
      <c r="A2394">
        <f t="shared" si="38"/>
        <v>74</v>
      </c>
      <c r="B2394" s="8">
        <v>2016</v>
      </c>
      <c r="C2394" s="1" t="s">
        <v>2076</v>
      </c>
      <c r="D2394" s="1" t="s">
        <v>9</v>
      </c>
      <c r="E2394" s="2" t="s">
        <v>7</v>
      </c>
      <c r="F2394" s="9" t="s">
        <v>8</v>
      </c>
      <c r="H2394" t="str">
        <f>TRIM(SUBSTITUTE(PROPER(C2394)&amp;" "&amp;IF(OR(D2394="County",D2394="Township",D2394="Village",D2394="Charter Township"),D2394,"")&amp;IF(D2394="Township"," "&amp;"("&amp;VLOOKUP(A2394,counties,3,0)&amp;")",""),"  "," "))</f>
        <v>Fort Gratiot Charter Township (St. Clair County)</v>
      </c>
    </row>
    <row r="2395" spans="1:8" ht="15.75" thickBot="1" x14ac:dyDescent="0.3">
      <c r="A2395">
        <f t="shared" si="38"/>
        <v>74</v>
      </c>
      <c r="B2395" s="10">
        <v>2016</v>
      </c>
      <c r="C2395" s="3" t="s">
        <v>449</v>
      </c>
      <c r="D2395" s="3" t="s">
        <v>9</v>
      </c>
      <c r="E2395" s="4" t="s">
        <v>7</v>
      </c>
      <c r="F2395" s="11" t="s">
        <v>8</v>
      </c>
      <c r="H2395" t="str">
        <f>TRIM(SUBSTITUTE(PROPER(C2395)&amp;" "&amp;IF(OR(D2395="County",D2395="Township",D2395="Village",D2395="Charter Township"),D2395,"")&amp;IF(D2395="Township"," "&amp;"("&amp;VLOOKUP(A2395,counties,3,0)&amp;")",""),"  "," "))</f>
        <v>Grant Township (St. Clair County)</v>
      </c>
    </row>
    <row r="2396" spans="1:8" ht="15.75" thickBot="1" x14ac:dyDescent="0.3">
      <c r="A2396">
        <f t="shared" si="38"/>
        <v>74</v>
      </c>
      <c r="B2396" s="8">
        <v>2016</v>
      </c>
      <c r="C2396" s="1" t="s">
        <v>2077</v>
      </c>
      <c r="D2396" s="1" t="s">
        <v>9</v>
      </c>
      <c r="E2396" s="2" t="s">
        <v>7</v>
      </c>
      <c r="F2396" s="9" t="s">
        <v>8</v>
      </c>
      <c r="H2396" t="str">
        <f>TRIM(SUBSTITUTE(PROPER(C2396)&amp;" "&amp;IF(OR(D2396="County",D2396="Township",D2396="Village",D2396="Charter Township"),D2396,"")&amp;IF(D2396="Township"," "&amp;"("&amp;VLOOKUP(A2396,counties,3,0)&amp;")",""),"  "," "))</f>
        <v>Ira Township (St. Clair County)</v>
      </c>
    </row>
    <row r="2397" spans="1:8" ht="15.75" thickBot="1" x14ac:dyDescent="0.3">
      <c r="A2397">
        <f t="shared" si="38"/>
        <v>74</v>
      </c>
      <c r="B2397" s="10">
        <v>2016</v>
      </c>
      <c r="C2397" s="3" t="s">
        <v>2078</v>
      </c>
      <c r="D2397" s="3" t="s">
        <v>9</v>
      </c>
      <c r="E2397" s="4" t="s">
        <v>7</v>
      </c>
      <c r="F2397" s="11" t="s">
        <v>8</v>
      </c>
      <c r="H2397" t="str">
        <f>TRIM(SUBSTITUTE(PROPER(C2397)&amp;" "&amp;IF(OR(D2397="County",D2397="Township",D2397="Village",D2397="Charter Township"),D2397,"")&amp;IF(D2397="Township"," "&amp;"("&amp;VLOOKUP(A2397,counties,3,0)&amp;")",""),"  "," "))</f>
        <v>Kenockee Township (St. Clair County)</v>
      </c>
    </row>
    <row r="2398" spans="1:8" ht="15.75" thickBot="1" x14ac:dyDescent="0.3">
      <c r="A2398">
        <f t="shared" si="38"/>
        <v>74</v>
      </c>
      <c r="B2398" s="8">
        <v>2016</v>
      </c>
      <c r="C2398" s="1" t="s">
        <v>2079</v>
      </c>
      <c r="D2398" s="1" t="s">
        <v>9</v>
      </c>
      <c r="E2398" s="2" t="s">
        <v>7</v>
      </c>
      <c r="F2398" s="9" t="s">
        <v>8</v>
      </c>
      <c r="H2398" t="str">
        <f>TRIM(SUBSTITUTE(PROPER(C2398)&amp;" "&amp;IF(OR(D2398="County",D2398="Township",D2398="Village",D2398="Charter Township"),D2398,"")&amp;IF(D2398="Township"," "&amp;"("&amp;VLOOKUP(A2398,counties,3,0)&amp;")",""),"  "," "))</f>
        <v>Kimball Township (St. Clair County)</v>
      </c>
    </row>
    <row r="2399" spans="1:8" ht="15.75" thickBot="1" x14ac:dyDescent="0.3">
      <c r="A2399">
        <f t="shared" si="38"/>
        <v>74</v>
      </c>
      <c r="B2399" s="10">
        <v>2016</v>
      </c>
      <c r="C2399" s="3" t="s">
        <v>2080</v>
      </c>
      <c r="D2399" s="3" t="s">
        <v>9</v>
      </c>
      <c r="E2399" s="4" t="s">
        <v>7</v>
      </c>
      <c r="F2399" s="11" t="s">
        <v>8</v>
      </c>
      <c r="H2399" t="str">
        <f>TRIM(SUBSTITUTE(PROPER(C2399)&amp;" "&amp;IF(OR(D2399="County",D2399="Township",D2399="Village",D2399="Charter Township"),D2399,"")&amp;IF(D2399="Township"," "&amp;"("&amp;VLOOKUP(A2399,counties,3,0)&amp;")",""),"  "," "))</f>
        <v>Lynn Township (St. Clair County)</v>
      </c>
    </row>
    <row r="2400" spans="1:8" ht="15.75" thickBot="1" x14ac:dyDescent="0.3">
      <c r="A2400">
        <f t="shared" si="38"/>
        <v>74</v>
      </c>
      <c r="B2400" s="8">
        <v>2016</v>
      </c>
      <c r="C2400" s="1" t="s">
        <v>2081</v>
      </c>
      <c r="D2400" s="1" t="s">
        <v>15</v>
      </c>
      <c r="E2400" s="2" t="s">
        <v>7</v>
      </c>
      <c r="F2400" s="9" t="s">
        <v>8</v>
      </c>
      <c r="H2400" t="str">
        <f>TRIM(SUBSTITUTE(PROPER(C2400)&amp;" "&amp;IF(OR(D2400="County",D2400="Township",D2400="Village",D2400="Charter Township"),D2400,"")&amp;IF(D2400="Township"," "&amp;"("&amp;VLOOKUP(A2400,counties,3,0)&amp;")",""),"  "," "))</f>
        <v>Marine City</v>
      </c>
    </row>
    <row r="2401" spans="1:8" ht="15.75" thickBot="1" x14ac:dyDescent="0.3">
      <c r="A2401">
        <f t="shared" si="38"/>
        <v>74</v>
      </c>
      <c r="B2401" s="10">
        <v>2016</v>
      </c>
      <c r="C2401" s="3" t="s">
        <v>2082</v>
      </c>
      <c r="D2401" s="3" t="s">
        <v>72</v>
      </c>
      <c r="E2401" s="4" t="s">
        <v>7</v>
      </c>
      <c r="F2401" s="11" t="s">
        <v>8</v>
      </c>
      <c r="H2401" t="str">
        <f>TRIM(SUBSTITUTE(PROPER(C2401)&amp;" "&amp;IF(OR(D2401="County",D2401="Township",D2401="Village",D2401="Charter Township"),D2401,"")&amp;IF(D2401="Township"," "&amp;"("&amp;VLOOKUP(A2401,counties,3,0)&amp;")",""),"  "," "))</f>
        <v>Marine City Fire Authority</v>
      </c>
    </row>
    <row r="2402" spans="1:8" ht="15.75" thickBot="1" x14ac:dyDescent="0.3">
      <c r="A2402">
        <f t="shared" si="38"/>
        <v>74</v>
      </c>
      <c r="B2402" s="8">
        <v>2016</v>
      </c>
      <c r="C2402" s="1" t="s">
        <v>2083</v>
      </c>
      <c r="D2402" s="1" t="s">
        <v>15</v>
      </c>
      <c r="E2402" s="2" t="s">
        <v>7</v>
      </c>
      <c r="F2402" s="9" t="s">
        <v>8</v>
      </c>
      <c r="H2402" t="str">
        <f>TRIM(SUBSTITUTE(PROPER(C2402)&amp;" "&amp;IF(OR(D2402="County",D2402="Township",D2402="Village",D2402="Charter Township"),D2402,"")&amp;IF(D2402="Township"," "&amp;"("&amp;VLOOKUP(A2402,counties,3,0)&amp;")",""),"  "," "))</f>
        <v>Marysville</v>
      </c>
    </row>
    <row r="2403" spans="1:8" ht="15.75" thickBot="1" x14ac:dyDescent="0.3">
      <c r="A2403">
        <f t="shared" si="38"/>
        <v>74</v>
      </c>
      <c r="B2403" s="10">
        <v>2016</v>
      </c>
      <c r="C2403" s="3" t="s">
        <v>2084</v>
      </c>
      <c r="D2403" s="3" t="s">
        <v>17</v>
      </c>
      <c r="E2403" s="4" t="s">
        <v>7</v>
      </c>
      <c r="F2403" s="11" t="s">
        <v>8</v>
      </c>
      <c r="H2403" t="str">
        <f>TRIM(SUBSTITUTE(PROPER(C2403)&amp;" "&amp;IF(OR(D2403="County",D2403="Township",D2403="Village",D2403="Charter Township"),D2403,"")&amp;IF(D2403="Township"," "&amp;"("&amp;VLOOKUP(A2403,counties,3,0)&amp;")",""),"  "," "))</f>
        <v>Marysville City Housing Commission</v>
      </c>
    </row>
    <row r="2404" spans="1:8" ht="15.75" thickBot="1" x14ac:dyDescent="0.3">
      <c r="A2404">
        <f t="shared" si="38"/>
        <v>74</v>
      </c>
      <c r="B2404" s="8">
        <v>2016</v>
      </c>
      <c r="C2404" s="1" t="s">
        <v>2085</v>
      </c>
      <c r="D2404" s="1" t="s">
        <v>9</v>
      </c>
      <c r="E2404" s="2" t="s">
        <v>7</v>
      </c>
      <c r="F2404" s="9" t="s">
        <v>8</v>
      </c>
      <c r="H2404" t="str">
        <f>TRIM(SUBSTITUTE(PROPER(C2404)&amp;" "&amp;IF(OR(D2404="County",D2404="Township",D2404="Village",D2404="Charter Township"),D2404,"")&amp;IF(D2404="Township"," "&amp;"("&amp;VLOOKUP(A2404,counties,3,0)&amp;")",""),"  "," "))</f>
        <v>Mussey Township (St. Clair County)</v>
      </c>
    </row>
    <row r="2405" spans="1:8" ht="15.75" thickBot="1" x14ac:dyDescent="0.3">
      <c r="A2405">
        <f t="shared" si="38"/>
        <v>74</v>
      </c>
      <c r="B2405" s="10">
        <v>2016</v>
      </c>
      <c r="C2405" s="3" t="s">
        <v>2086</v>
      </c>
      <c r="D2405" s="3" t="s">
        <v>15</v>
      </c>
      <c r="E2405" s="4" t="s">
        <v>7</v>
      </c>
      <c r="F2405" s="11" t="s">
        <v>8</v>
      </c>
      <c r="H2405" t="str">
        <f>TRIM(SUBSTITUTE(PROPER(C2405)&amp;" "&amp;IF(OR(D2405="County",D2405="Township",D2405="Village",D2405="Charter Township"),D2405,"")&amp;IF(D2405="Township"," "&amp;"("&amp;VLOOKUP(A2405,counties,3,0)&amp;")",""),"  "," "))</f>
        <v>Port Huron</v>
      </c>
    </row>
    <row r="2406" spans="1:8" ht="15.75" thickBot="1" x14ac:dyDescent="0.3">
      <c r="A2406">
        <f t="shared" si="38"/>
        <v>74</v>
      </c>
      <c r="B2406" s="8">
        <v>2016</v>
      </c>
      <c r="C2406" s="1" t="s">
        <v>2087</v>
      </c>
      <c r="D2406" s="1" t="s">
        <v>9</v>
      </c>
      <c r="E2406" s="2" t="s">
        <v>7</v>
      </c>
      <c r="F2406" s="9" t="s">
        <v>8</v>
      </c>
      <c r="H2406" t="str">
        <f>TRIM(SUBSTITUTE(PROPER(C2406)&amp;" "&amp;IF(OR(D2406="County",D2406="Township",D2406="Village",D2406="Charter Township"),D2406,"")&amp;IF(D2406="Township"," "&amp;"("&amp;VLOOKUP(A2406,counties,3,0)&amp;")",""),"  "," "))</f>
        <v>Port Huron Charter Township (St. Clair County)</v>
      </c>
    </row>
    <row r="2407" spans="1:8" ht="15.75" thickBot="1" x14ac:dyDescent="0.3">
      <c r="A2407">
        <f t="shared" si="38"/>
        <v>74</v>
      </c>
      <c r="B2407" s="10">
        <v>2016</v>
      </c>
      <c r="C2407" s="3" t="s">
        <v>2088</v>
      </c>
      <c r="D2407" s="3" t="s">
        <v>17</v>
      </c>
      <c r="E2407" s="4" t="s">
        <v>7</v>
      </c>
      <c r="F2407" s="11" t="s">
        <v>8</v>
      </c>
      <c r="H2407" t="str">
        <f>TRIM(SUBSTITUTE(PROPER(C2407)&amp;" "&amp;IF(OR(D2407="County",D2407="Township",D2407="Village",D2407="Charter Township"),D2407,"")&amp;IF(D2407="Township"," "&amp;"("&amp;VLOOKUP(A2407,counties,3,0)&amp;")",""),"  "," "))</f>
        <v>Port Huron City Housing Commission</v>
      </c>
    </row>
    <row r="2408" spans="1:8" ht="15.75" thickBot="1" x14ac:dyDescent="0.3">
      <c r="A2408">
        <f t="shared" si="38"/>
        <v>74</v>
      </c>
      <c r="B2408" s="8">
        <v>2016</v>
      </c>
      <c r="C2408" s="1" t="s">
        <v>2089</v>
      </c>
      <c r="D2408" s="1" t="s">
        <v>17</v>
      </c>
      <c r="E2408" s="2" t="s">
        <v>7</v>
      </c>
      <c r="F2408" s="9" t="s">
        <v>8</v>
      </c>
      <c r="H2408" t="str">
        <f>TRIM(SUBSTITUTE(PROPER(C2408)&amp;" "&amp;IF(OR(D2408="County",D2408="Township",D2408="Village",D2408="Charter Township"),D2408,"")&amp;IF(D2408="Township"," "&amp;"("&amp;VLOOKUP(A2408,counties,3,0)&amp;")",""),"  "," "))</f>
        <v>Region 10</v>
      </c>
    </row>
    <row r="2409" spans="1:8" ht="15.75" thickBot="1" x14ac:dyDescent="0.3">
      <c r="A2409">
        <f t="shared" si="38"/>
        <v>74</v>
      </c>
      <c r="B2409" s="10">
        <v>2016</v>
      </c>
      <c r="C2409" s="3" t="s">
        <v>2090</v>
      </c>
      <c r="D2409" s="3" t="s">
        <v>9</v>
      </c>
      <c r="E2409" s="4" t="s">
        <v>7</v>
      </c>
      <c r="F2409" s="11" t="s">
        <v>8</v>
      </c>
      <c r="H2409" t="str">
        <f>TRIM(SUBSTITUTE(PROPER(C2409)&amp;" "&amp;IF(OR(D2409="County",D2409="Township",D2409="Village",D2409="Charter Township"),D2409,"")&amp;IF(D2409="Township"," "&amp;"("&amp;VLOOKUP(A2409,counties,3,0)&amp;")",""),"  "," "))</f>
        <v>Riley Township (St. Clair County)</v>
      </c>
    </row>
    <row r="2410" spans="1:8" ht="15.75" thickBot="1" x14ac:dyDescent="0.3">
      <c r="A2410">
        <f t="shared" si="38"/>
        <v>74</v>
      </c>
      <c r="B2410" s="8">
        <v>2016</v>
      </c>
      <c r="C2410" s="1" t="s">
        <v>2091</v>
      </c>
      <c r="D2410" s="1" t="s">
        <v>15</v>
      </c>
      <c r="E2410" s="2" t="s">
        <v>7</v>
      </c>
      <c r="F2410" s="9" t="s">
        <v>8</v>
      </c>
      <c r="H2410" t="str">
        <f>TRIM(SUBSTITUTE(PROPER(C2410)&amp;" "&amp;IF(OR(D2410="County",D2410="Township",D2410="Village",D2410="Charter Township"),D2410,"")&amp;IF(D2410="Township"," "&amp;"("&amp;VLOOKUP(A2410,counties,3,0)&amp;")",""),"  "," "))</f>
        <v>St Clair</v>
      </c>
    </row>
    <row r="2411" spans="1:8" ht="15.75" thickBot="1" x14ac:dyDescent="0.3">
      <c r="A2411">
        <f t="shared" si="38"/>
        <v>74</v>
      </c>
      <c r="B2411" s="10">
        <v>2016</v>
      </c>
      <c r="C2411" s="3" t="s">
        <v>2091</v>
      </c>
      <c r="D2411" s="3" t="s">
        <v>6</v>
      </c>
      <c r="E2411" s="4" t="s">
        <v>7</v>
      </c>
      <c r="F2411" s="11" t="s">
        <v>8</v>
      </c>
      <c r="H2411" t="str">
        <f>TRIM(SUBSTITUTE(PROPER(C2411)&amp;" "&amp;IF(OR(D2411="County",D2411="Township",D2411="Village",D2411="Charter Township"),D2411,"")&amp;IF(D2411="Township"," "&amp;"("&amp;VLOOKUP(A2411,counties,3,0)&amp;")",""),"  "," "))</f>
        <v>St Clair County</v>
      </c>
    </row>
    <row r="2412" spans="1:8" ht="15.75" thickBot="1" x14ac:dyDescent="0.3">
      <c r="A2412">
        <f t="shared" si="38"/>
        <v>74</v>
      </c>
      <c r="B2412" s="8">
        <v>2016</v>
      </c>
      <c r="C2412" s="1" t="s">
        <v>2091</v>
      </c>
      <c r="D2412" s="1" t="s">
        <v>9</v>
      </c>
      <c r="E2412" s="2" t="s">
        <v>7</v>
      </c>
      <c r="F2412" s="9" t="s">
        <v>8</v>
      </c>
      <c r="H2412" t="str">
        <f>TRIM(SUBSTITUTE(PROPER(C2412)&amp;" "&amp;IF(OR(D2412="County",D2412="Township",D2412="Village",D2412="Charter Township"),D2412,"")&amp;IF(D2412="Township"," "&amp;"("&amp;VLOOKUP(A2412,counties,3,0)&amp;")",""),"  "," "))</f>
        <v>St Clair Township (St. Clair County)</v>
      </c>
    </row>
    <row r="2413" spans="1:8" ht="15.75" thickBot="1" x14ac:dyDescent="0.3">
      <c r="A2413">
        <f t="shared" si="38"/>
        <v>74</v>
      </c>
      <c r="B2413" s="10">
        <v>2016</v>
      </c>
      <c r="C2413" s="3" t="s">
        <v>2092</v>
      </c>
      <c r="D2413" s="3" t="s">
        <v>17</v>
      </c>
      <c r="E2413" s="4" t="s">
        <v>7</v>
      </c>
      <c r="F2413" s="11" t="s">
        <v>8</v>
      </c>
      <c r="H2413" t="str">
        <f>TRIM(SUBSTITUTE(PROPER(C2413)&amp;" "&amp;IF(OR(D2413="County",D2413="Township",D2413="Village",D2413="Charter Township"),D2413,"")&amp;IF(D2413="Township"," "&amp;"("&amp;VLOOKUP(A2413,counties,3,0)&amp;")",""),"  "," "))</f>
        <v>St Clair Area Fire Authority</v>
      </c>
    </row>
    <row r="2414" spans="1:8" ht="15.75" thickBot="1" x14ac:dyDescent="0.3">
      <c r="A2414">
        <f t="shared" si="38"/>
        <v>74</v>
      </c>
      <c r="B2414" s="8">
        <v>2016</v>
      </c>
      <c r="C2414" s="1" t="s">
        <v>2093</v>
      </c>
      <c r="D2414" s="1" t="s">
        <v>88</v>
      </c>
      <c r="E2414" s="2" t="s">
        <v>7</v>
      </c>
      <c r="F2414" s="9" t="s">
        <v>8</v>
      </c>
      <c r="H2414" t="str">
        <f>TRIM(SUBSTITUTE(PROPER(C2414)&amp;" "&amp;IF(OR(D2414="County",D2414="Township",D2414="Village",D2414="Charter Township"),D2414,"")&amp;IF(D2414="Township"," "&amp;"("&amp;VLOOKUP(A2414,counties,3,0)&amp;")",""),"  "," "))</f>
        <v>St Clair County Community College</v>
      </c>
    </row>
    <row r="2415" spans="1:8" ht="21.75" thickBot="1" x14ac:dyDescent="0.3">
      <c r="A2415">
        <f t="shared" si="38"/>
        <v>74</v>
      </c>
      <c r="B2415" s="10">
        <v>2016</v>
      </c>
      <c r="C2415" s="3" t="s">
        <v>2094</v>
      </c>
      <c r="D2415" s="3" t="s">
        <v>17</v>
      </c>
      <c r="E2415" s="4" t="s">
        <v>7</v>
      </c>
      <c r="F2415" s="11" t="s">
        <v>8</v>
      </c>
      <c r="H2415" t="str">
        <f>TRIM(SUBSTITUTE(PROPER(C2415)&amp;" "&amp;IF(OR(D2415="County",D2415="Township",D2415="Village",D2415="Charter Township"),D2415,"")&amp;IF(D2415="Township"," "&amp;"("&amp;VLOOKUP(A2415,counties,3,0)&amp;")",""),"  "," "))</f>
        <v>St Clair County Community Mental Health Authority</v>
      </c>
    </row>
    <row r="2416" spans="1:8" ht="15.75" thickBot="1" x14ac:dyDescent="0.3">
      <c r="A2416">
        <f t="shared" si="38"/>
        <v>74</v>
      </c>
      <c r="B2416" s="8">
        <v>2016</v>
      </c>
      <c r="C2416" s="1" t="s">
        <v>2095</v>
      </c>
      <c r="D2416" s="1" t="s">
        <v>17</v>
      </c>
      <c r="E2416" s="2" t="s">
        <v>7</v>
      </c>
      <c r="F2416" s="9" t="s">
        <v>8</v>
      </c>
      <c r="H2416" t="str">
        <f>TRIM(SUBSTITUTE(PROPER(C2416)&amp;" "&amp;IF(OR(D2416="County",D2416="Township",D2416="Village",D2416="Charter Township"),D2416,"")&amp;IF(D2416="Township"," "&amp;"("&amp;VLOOKUP(A2416,counties,3,0)&amp;")",""),"  "," "))</f>
        <v>St Clair County Department Of Public Works</v>
      </c>
    </row>
    <row r="2417" spans="1:8" ht="15.75" thickBot="1" x14ac:dyDescent="0.3">
      <c r="A2417">
        <f t="shared" si="38"/>
        <v>74</v>
      </c>
      <c r="B2417" s="10">
        <v>2016</v>
      </c>
      <c r="C2417" s="3" t="s">
        <v>2096</v>
      </c>
      <c r="D2417" s="3" t="s">
        <v>11</v>
      </c>
      <c r="E2417" s="4" t="s">
        <v>7</v>
      </c>
      <c r="F2417" s="11" t="s">
        <v>8</v>
      </c>
      <c r="H2417" t="str">
        <f>TRIM(SUBSTITUTE(PROPER(C2417)&amp;" "&amp;IF(OR(D2417="County",D2417="Township",D2417="Village",D2417="Charter Township"),D2417,"")&amp;IF(D2417="Township"," "&amp;"("&amp;VLOOKUP(A2417,counties,3,0)&amp;")",""),"  "," "))</f>
        <v>St Clair County Road Commission</v>
      </c>
    </row>
    <row r="2418" spans="1:8" ht="15.75" thickBot="1" x14ac:dyDescent="0.3">
      <c r="A2418">
        <f t="shared" si="38"/>
        <v>74</v>
      </c>
      <c r="B2418" s="8">
        <v>2016</v>
      </c>
      <c r="C2418" s="1" t="s">
        <v>2097</v>
      </c>
      <c r="D2418" s="1" t="s">
        <v>17</v>
      </c>
      <c r="E2418" s="2" t="s">
        <v>7</v>
      </c>
      <c r="F2418" s="9" t="s">
        <v>8</v>
      </c>
      <c r="H2418" t="str">
        <f>TRIM(SUBSTITUTE(PROPER(C2418)&amp;" "&amp;IF(OR(D2418="County",D2418="Township",D2418="Village",D2418="Charter Township"),D2418,"")&amp;IF(D2418="Township"," "&amp;"("&amp;VLOOKUP(A2418,counties,3,0)&amp;")",""),"  "," "))</f>
        <v>St Clair River Sewer &amp; Water Authority</v>
      </c>
    </row>
    <row r="2419" spans="1:8" ht="15.75" thickBot="1" x14ac:dyDescent="0.3">
      <c r="A2419">
        <f t="shared" si="38"/>
        <v>74</v>
      </c>
      <c r="B2419" s="10">
        <v>2016</v>
      </c>
      <c r="C2419" s="3" t="s">
        <v>2098</v>
      </c>
      <c r="D2419" s="3" t="s">
        <v>9</v>
      </c>
      <c r="E2419" s="4" t="s">
        <v>7</v>
      </c>
      <c r="F2419" s="11" t="s">
        <v>8</v>
      </c>
      <c r="H2419" t="str">
        <f>TRIM(SUBSTITUTE(PROPER(C2419)&amp;" "&amp;IF(OR(D2419="County",D2419="Township",D2419="Village",D2419="Charter Township"),D2419,"")&amp;IF(D2419="Township"," "&amp;"("&amp;VLOOKUP(A2419,counties,3,0)&amp;")",""),"  "," "))</f>
        <v>Wales Township (St. Clair County)</v>
      </c>
    </row>
    <row r="2420" spans="1:8" ht="15.75" thickBot="1" x14ac:dyDescent="0.3">
      <c r="A2420">
        <f t="shared" si="38"/>
        <v>74</v>
      </c>
      <c r="B2420" s="16">
        <v>2016</v>
      </c>
      <c r="C2420" s="17" t="s">
        <v>2099</v>
      </c>
      <c r="D2420" s="17" t="s">
        <v>15</v>
      </c>
      <c r="E2420" s="18" t="s">
        <v>7</v>
      </c>
      <c r="F2420" s="19" t="s">
        <v>8</v>
      </c>
      <c r="H2420" t="str">
        <f>TRIM(SUBSTITUTE(PROPER(C2420)&amp;" "&amp;IF(OR(D2420="County",D2420="Township",D2420="Village",D2420="Charter Township"),D2420,"")&amp;IF(D2420="Township"," "&amp;"("&amp;VLOOKUP(A2420,counties,3,0)&amp;")",""),"  "," "))</f>
        <v>Yale</v>
      </c>
    </row>
    <row r="2421" spans="1:8" ht="16.5" thickTop="1" thickBot="1" x14ac:dyDescent="0.3">
      <c r="A2421">
        <f t="shared" si="38"/>
        <v>75</v>
      </c>
      <c r="B2421" s="5" t="s">
        <v>0</v>
      </c>
      <c r="C2421" s="6" t="s">
        <v>1</v>
      </c>
      <c r="D2421" s="6" t="s">
        <v>2</v>
      </c>
      <c r="E2421" s="6" t="s">
        <v>3</v>
      </c>
      <c r="F2421" s="7" t="s">
        <v>4</v>
      </c>
      <c r="H2421" t="str">
        <f>TRIM(SUBSTITUTE(PROPER(C2421)&amp;" "&amp;IF(OR(D2421="County",D2421="Township",D2421="Village",D2421="Charter Township"),D2421,"")&amp;IF(D2421="Township"," "&amp;"("&amp;VLOOKUP(A2421,counties,3,0)&amp;")",""),"  "," "))</f>
        <v>Municipality</v>
      </c>
    </row>
    <row r="2422" spans="1:8" ht="15.75" thickBot="1" x14ac:dyDescent="0.3">
      <c r="A2422">
        <f t="shared" si="38"/>
        <v>75</v>
      </c>
      <c r="B2422" s="8">
        <v>2016</v>
      </c>
      <c r="C2422" s="1" t="s">
        <v>2100</v>
      </c>
      <c r="D2422" s="1" t="s">
        <v>9</v>
      </c>
      <c r="E2422" s="2" t="s">
        <v>7</v>
      </c>
      <c r="F2422" s="9" t="s">
        <v>8</v>
      </c>
      <c r="H2422" t="str">
        <f>TRIM(SUBSTITUTE(PROPER(C2422)&amp;" "&amp;IF(OR(D2422="County",D2422="Township",D2422="Village",D2422="Charter Township"),D2422,"")&amp;IF(D2422="Township"," "&amp;"("&amp;VLOOKUP(A2422,counties,3,0)&amp;")",""),"  "," "))</f>
        <v>Burr Oak Township (St. Joseph County)</v>
      </c>
    </row>
    <row r="2423" spans="1:8" ht="15.75" thickBot="1" x14ac:dyDescent="0.3">
      <c r="A2423">
        <f t="shared" si="38"/>
        <v>75</v>
      </c>
      <c r="B2423" s="10">
        <v>2016</v>
      </c>
      <c r="C2423" s="3" t="s">
        <v>2100</v>
      </c>
      <c r="D2423" s="3" t="s">
        <v>21</v>
      </c>
      <c r="E2423" s="4" t="s">
        <v>7</v>
      </c>
      <c r="F2423" s="11" t="s">
        <v>8</v>
      </c>
      <c r="H2423" t="str">
        <f>TRIM(SUBSTITUTE(PROPER(C2423)&amp;" "&amp;IF(OR(D2423="County",D2423="Township",D2423="Village",D2423="Charter Township"),D2423,"")&amp;IF(D2423="Township"," "&amp;"("&amp;VLOOKUP(A2423,counties,3,0)&amp;")",""),"  "," "))</f>
        <v>Burr Oak Village</v>
      </c>
    </row>
    <row r="2424" spans="1:8" ht="15.75" thickBot="1" x14ac:dyDescent="0.3">
      <c r="A2424">
        <f t="shared" si="38"/>
        <v>75</v>
      </c>
      <c r="B2424" s="8">
        <v>2016</v>
      </c>
      <c r="C2424" s="1" t="s">
        <v>2101</v>
      </c>
      <c r="D2424" s="1" t="s">
        <v>21</v>
      </c>
      <c r="E2424" s="2" t="s">
        <v>7</v>
      </c>
      <c r="F2424" s="9" t="s">
        <v>8</v>
      </c>
      <c r="H2424" t="str">
        <f>TRIM(SUBSTITUTE(PROPER(C2424)&amp;" "&amp;IF(OR(D2424="County",D2424="Township",D2424="Village",D2424="Charter Township"),D2424,"")&amp;IF(D2424="Township"," "&amp;"("&amp;VLOOKUP(A2424,counties,3,0)&amp;")",""),"  "," "))</f>
        <v>Centreville Village</v>
      </c>
    </row>
    <row r="2425" spans="1:8" ht="15.75" thickBot="1" x14ac:dyDescent="0.3">
      <c r="A2425">
        <f t="shared" si="38"/>
        <v>75</v>
      </c>
      <c r="B2425" s="10">
        <v>2016</v>
      </c>
      <c r="C2425" s="3" t="s">
        <v>2102</v>
      </c>
      <c r="D2425" s="3" t="s">
        <v>9</v>
      </c>
      <c r="E2425" s="4" t="s">
        <v>7</v>
      </c>
      <c r="F2425" s="11" t="s">
        <v>8</v>
      </c>
      <c r="H2425" t="str">
        <f>TRIM(SUBSTITUTE(PROPER(C2425)&amp;" "&amp;IF(OR(D2425="County",D2425="Township",D2425="Village",D2425="Charter Township"),D2425,"")&amp;IF(D2425="Township"," "&amp;"("&amp;VLOOKUP(A2425,counties,3,0)&amp;")",""),"  "," "))</f>
        <v>Colon Township (St. Joseph County)</v>
      </c>
    </row>
    <row r="2426" spans="1:8" ht="15.75" thickBot="1" x14ac:dyDescent="0.3">
      <c r="A2426">
        <f t="shared" si="38"/>
        <v>75</v>
      </c>
      <c r="B2426" s="8">
        <v>2016</v>
      </c>
      <c r="C2426" s="1" t="s">
        <v>2102</v>
      </c>
      <c r="D2426" s="1" t="s">
        <v>21</v>
      </c>
      <c r="E2426" s="2" t="s">
        <v>7</v>
      </c>
      <c r="F2426" s="9" t="s">
        <v>19</v>
      </c>
      <c r="H2426" t="str">
        <f>TRIM(SUBSTITUTE(PROPER(C2426)&amp;" "&amp;IF(OR(D2426="County",D2426="Township",D2426="Village",D2426="Charter Township"),D2426,"")&amp;IF(D2426="Township"," "&amp;"("&amp;VLOOKUP(A2426,counties,3,0)&amp;")",""),"  "," "))</f>
        <v>Colon Village</v>
      </c>
    </row>
    <row r="2427" spans="1:8" ht="15.75" thickBot="1" x14ac:dyDescent="0.3">
      <c r="A2427">
        <f t="shared" si="38"/>
        <v>75</v>
      </c>
      <c r="B2427" s="10">
        <v>2016</v>
      </c>
      <c r="C2427" s="3" t="s">
        <v>2103</v>
      </c>
      <c r="D2427" s="3" t="s">
        <v>17</v>
      </c>
      <c r="E2427" s="4" t="s">
        <v>7</v>
      </c>
      <c r="F2427" s="11" t="s">
        <v>8</v>
      </c>
      <c r="H2427" t="str">
        <f>TRIM(SUBSTITUTE(PROPER(C2427)&amp;" "&amp;IF(OR(D2427="County",D2427="Township",D2427="Village",D2427="Charter Township"),D2427,"")&amp;IF(D2427="Township"," "&amp;"("&amp;VLOOKUP(A2427,counties,3,0)&amp;")",""),"  "," "))</f>
        <v>Colon Community Fire And Rescue Department</v>
      </c>
    </row>
    <row r="2428" spans="1:8" ht="15.75" thickBot="1" x14ac:dyDescent="0.3">
      <c r="A2428">
        <f t="shared" si="38"/>
        <v>75</v>
      </c>
      <c r="B2428" s="8">
        <v>2016</v>
      </c>
      <c r="C2428" s="1" t="s">
        <v>2104</v>
      </c>
      <c r="D2428" s="1" t="s">
        <v>9</v>
      </c>
      <c r="E2428" s="2" t="s">
        <v>7</v>
      </c>
      <c r="F2428" s="9" t="s">
        <v>8</v>
      </c>
      <c r="H2428" t="str">
        <f>TRIM(SUBSTITUTE(PROPER(C2428)&amp;" "&amp;IF(OR(D2428="County",D2428="Township",D2428="Village",D2428="Charter Township"),D2428,"")&amp;IF(D2428="Township"," "&amp;"("&amp;VLOOKUP(A2428,counties,3,0)&amp;")",""),"  "," "))</f>
        <v>Constantine Township (St. Joseph County)</v>
      </c>
    </row>
    <row r="2429" spans="1:8" ht="15.75" thickBot="1" x14ac:dyDescent="0.3">
      <c r="A2429">
        <f t="shared" si="38"/>
        <v>75</v>
      </c>
      <c r="B2429" s="10">
        <v>2016</v>
      </c>
      <c r="C2429" s="3" t="s">
        <v>2105</v>
      </c>
      <c r="D2429" s="3" t="s">
        <v>9</v>
      </c>
      <c r="E2429" s="4" t="s">
        <v>7</v>
      </c>
      <c r="F2429" s="11" t="s">
        <v>19</v>
      </c>
      <c r="H2429" t="str">
        <f>TRIM(SUBSTITUTE(PROPER(C2429)&amp;" "&amp;IF(OR(D2429="County",D2429="Township",D2429="Village",D2429="Charter Township"),D2429,"")&amp;IF(D2429="Township"," "&amp;"("&amp;VLOOKUP(A2429,counties,3,0)&amp;")",""),"  "," "))</f>
        <v>Fabius Township (St. Joseph County)</v>
      </c>
    </row>
    <row r="2430" spans="1:8" ht="15.75" thickBot="1" x14ac:dyDescent="0.3">
      <c r="A2430">
        <f t="shared" si="38"/>
        <v>75</v>
      </c>
      <c r="B2430" s="8">
        <v>2016</v>
      </c>
      <c r="C2430" s="1" t="s">
        <v>2106</v>
      </c>
      <c r="D2430" s="1" t="s">
        <v>17</v>
      </c>
      <c r="E2430" s="2" t="s">
        <v>7</v>
      </c>
      <c r="F2430" s="9" t="s">
        <v>8</v>
      </c>
      <c r="H2430" t="str">
        <f>TRIM(SUBSTITUTE(PROPER(C2430)&amp;" "&amp;IF(OR(D2430="County",D2430="Township",D2430="Village",D2430="Charter Township"),D2430,"")&amp;IF(D2430="Township"," "&amp;"("&amp;VLOOKUP(A2430,counties,3,0)&amp;")",""),"  "," "))</f>
        <v>Fabius Park Twps Fire Department</v>
      </c>
    </row>
    <row r="2431" spans="1:8" ht="15.75" thickBot="1" x14ac:dyDescent="0.3">
      <c r="A2431">
        <f t="shared" si="38"/>
        <v>75</v>
      </c>
      <c r="B2431" s="10">
        <v>2016</v>
      </c>
      <c r="C2431" s="3" t="s">
        <v>2107</v>
      </c>
      <c r="D2431" s="3" t="s">
        <v>9</v>
      </c>
      <c r="E2431" s="4" t="s">
        <v>7</v>
      </c>
      <c r="F2431" s="11" t="s">
        <v>8</v>
      </c>
      <c r="H2431" t="str">
        <f>TRIM(SUBSTITUTE(PROPER(C2431)&amp;" "&amp;IF(OR(D2431="County",D2431="Township",D2431="Village",D2431="Charter Township"),D2431,"")&amp;IF(D2431="Township"," "&amp;"("&amp;VLOOKUP(A2431,counties,3,0)&amp;")",""),"  "," "))</f>
        <v>Fawn River Township (St. Joseph County)</v>
      </c>
    </row>
    <row r="2432" spans="1:8" ht="15.75" thickBot="1" x14ac:dyDescent="0.3">
      <c r="A2432">
        <f t="shared" si="38"/>
        <v>75</v>
      </c>
      <c r="B2432" s="8">
        <v>2016</v>
      </c>
      <c r="C2432" s="1" t="s">
        <v>2108</v>
      </c>
      <c r="D2432" s="1" t="s">
        <v>9</v>
      </c>
      <c r="E2432" s="2" t="s">
        <v>7</v>
      </c>
      <c r="F2432" s="9" t="s">
        <v>8</v>
      </c>
      <c r="H2432" t="str">
        <f>TRIM(SUBSTITUTE(PROPER(C2432)&amp;" "&amp;IF(OR(D2432="County",D2432="Township",D2432="Village",D2432="Charter Township"),D2432,"")&amp;IF(D2432="Township"," "&amp;"("&amp;VLOOKUP(A2432,counties,3,0)&amp;")",""),"  "," "))</f>
        <v>Florence Township (St. Joseph County)</v>
      </c>
    </row>
    <row r="2433" spans="1:8" ht="15.75" thickBot="1" x14ac:dyDescent="0.3">
      <c r="A2433">
        <f t="shared" si="38"/>
        <v>75</v>
      </c>
      <c r="B2433" s="10">
        <v>2016</v>
      </c>
      <c r="C2433" s="3" t="s">
        <v>2109</v>
      </c>
      <c r="D2433" s="3" t="s">
        <v>9</v>
      </c>
      <c r="E2433" s="4" t="s">
        <v>7</v>
      </c>
      <c r="F2433" s="11" t="s">
        <v>8</v>
      </c>
      <c r="H2433" t="str">
        <f>TRIM(SUBSTITUTE(PROPER(C2433)&amp;" "&amp;IF(OR(D2433="County",D2433="Township",D2433="Village",D2433="Charter Township"),D2433,"")&amp;IF(D2433="Township"," "&amp;"("&amp;VLOOKUP(A2433,counties,3,0)&amp;")",""),"  "," "))</f>
        <v>Flowerfield Township (St. Joseph County)</v>
      </c>
    </row>
    <row r="2434" spans="1:8" ht="15.75" thickBot="1" x14ac:dyDescent="0.3">
      <c r="A2434">
        <f t="shared" si="38"/>
        <v>75</v>
      </c>
      <c r="B2434" s="8">
        <v>2016</v>
      </c>
      <c r="C2434" s="1" t="s">
        <v>2110</v>
      </c>
      <c r="D2434" s="1" t="s">
        <v>88</v>
      </c>
      <c r="E2434" s="2" t="s">
        <v>7</v>
      </c>
      <c r="F2434" s="9" t="s">
        <v>8</v>
      </c>
      <c r="H2434" t="str">
        <f>TRIM(SUBSTITUTE(PROPER(C2434)&amp;" "&amp;IF(OR(D2434="County",D2434="Township",D2434="Village",D2434="Charter Township"),D2434,"")&amp;IF(D2434="Township"," "&amp;"("&amp;VLOOKUP(A2434,counties,3,0)&amp;")",""),"  "," "))</f>
        <v>Glen Oaks Community College District</v>
      </c>
    </row>
    <row r="2435" spans="1:8" ht="15.75" thickBot="1" x14ac:dyDescent="0.3">
      <c r="A2435">
        <f t="shared" ref="A2435:A2498" si="39">IF(B2435="Year",A2434+1,A2434)</f>
        <v>75</v>
      </c>
      <c r="B2435" s="10">
        <v>2016</v>
      </c>
      <c r="C2435" s="3" t="s">
        <v>2111</v>
      </c>
      <c r="D2435" s="3" t="s">
        <v>9</v>
      </c>
      <c r="E2435" s="4" t="s">
        <v>7</v>
      </c>
      <c r="F2435" s="11" t="s">
        <v>8</v>
      </c>
      <c r="H2435" t="str">
        <f>TRIM(SUBSTITUTE(PROPER(C2435)&amp;" "&amp;IF(OR(D2435="County",D2435="Township",D2435="Village",D2435="Charter Township"),D2435,"")&amp;IF(D2435="Township"," "&amp;"("&amp;VLOOKUP(A2435,counties,3,0)&amp;")",""),"  "," "))</f>
        <v>Leonidas Township (St. Joseph County)</v>
      </c>
    </row>
    <row r="2436" spans="1:8" ht="15.75" thickBot="1" x14ac:dyDescent="0.3">
      <c r="A2436">
        <f t="shared" si="39"/>
        <v>75</v>
      </c>
      <c r="B2436" s="8">
        <v>2016</v>
      </c>
      <c r="C2436" s="1" t="s">
        <v>2112</v>
      </c>
      <c r="D2436" s="1" t="s">
        <v>21</v>
      </c>
      <c r="E2436" s="2" t="s">
        <v>7</v>
      </c>
      <c r="F2436" s="9" t="s">
        <v>8</v>
      </c>
      <c r="H2436" t="str">
        <f>TRIM(SUBSTITUTE(PROPER(C2436)&amp;" "&amp;IF(OR(D2436="County",D2436="Township",D2436="Village",D2436="Charter Township"),D2436,"")&amp;IF(D2436="Township"," "&amp;"("&amp;VLOOKUP(A2436,counties,3,0)&amp;")",""),"  "," "))</f>
        <v>Mendon Village</v>
      </c>
    </row>
    <row r="2437" spans="1:8" ht="15.75" thickBot="1" x14ac:dyDescent="0.3">
      <c r="A2437">
        <f t="shared" si="39"/>
        <v>75</v>
      </c>
      <c r="B2437" s="10">
        <v>2016</v>
      </c>
      <c r="C2437" s="3" t="s">
        <v>2113</v>
      </c>
      <c r="D2437" s="3" t="s">
        <v>17</v>
      </c>
      <c r="E2437" s="4" t="s">
        <v>7</v>
      </c>
      <c r="F2437" s="11" t="s">
        <v>8</v>
      </c>
      <c r="H2437" t="str">
        <f>TRIM(SUBSTITUTE(PROPER(C2437)&amp;" "&amp;IF(OR(D2437="County",D2437="Township",D2437="Village",D2437="Charter Township"),D2437,"")&amp;IF(D2437="Township"," "&amp;"("&amp;VLOOKUP(A2437,counties,3,0)&amp;")",""),"  "," "))</f>
        <v>Mendon Village Downtown Development Authority</v>
      </c>
    </row>
    <row r="2438" spans="1:8" ht="15.75" thickBot="1" x14ac:dyDescent="0.3">
      <c r="A2438">
        <f t="shared" si="39"/>
        <v>75</v>
      </c>
      <c r="B2438" s="8">
        <v>2016</v>
      </c>
      <c r="C2438" s="1" t="s">
        <v>2114</v>
      </c>
      <c r="D2438" s="1" t="s">
        <v>9</v>
      </c>
      <c r="E2438" s="2" t="s">
        <v>7</v>
      </c>
      <c r="F2438" s="9" t="s">
        <v>8</v>
      </c>
      <c r="H2438" t="str">
        <f>TRIM(SUBSTITUTE(PROPER(C2438)&amp;" "&amp;IF(OR(D2438="County",D2438="Township",D2438="Village",D2438="Charter Township"),D2438,"")&amp;IF(D2438="Township"," "&amp;"("&amp;VLOOKUP(A2438,counties,3,0)&amp;")",""),"  "," "))</f>
        <v>Mottville Township (St. Joseph County)</v>
      </c>
    </row>
    <row r="2439" spans="1:8" ht="15.75" thickBot="1" x14ac:dyDescent="0.3">
      <c r="A2439">
        <f t="shared" si="39"/>
        <v>75</v>
      </c>
      <c r="B2439" s="10">
        <v>2016</v>
      </c>
      <c r="C2439" s="3" t="s">
        <v>1066</v>
      </c>
      <c r="D2439" s="3" t="s">
        <v>9</v>
      </c>
      <c r="E2439" s="4" t="s">
        <v>7</v>
      </c>
      <c r="F2439" s="11" t="s">
        <v>8</v>
      </c>
      <c r="H2439" t="str">
        <f>TRIM(SUBSTITUTE(PROPER(C2439)&amp;" "&amp;IF(OR(D2439="County",D2439="Township",D2439="Village",D2439="Charter Township"),D2439,"")&amp;IF(D2439="Township"," "&amp;"("&amp;VLOOKUP(A2439,counties,3,0)&amp;")",""),"  "," "))</f>
        <v>Nottawa Township (St. Joseph County)</v>
      </c>
    </row>
    <row r="2440" spans="1:8" ht="15.75" thickBot="1" x14ac:dyDescent="0.3">
      <c r="A2440">
        <f t="shared" si="39"/>
        <v>75</v>
      </c>
      <c r="B2440" s="8">
        <v>2016</v>
      </c>
      <c r="C2440" s="1" t="s">
        <v>2115</v>
      </c>
      <c r="D2440" s="1" t="s">
        <v>42</v>
      </c>
      <c r="E2440" s="2" t="s">
        <v>7</v>
      </c>
      <c r="F2440" s="9" t="s">
        <v>8</v>
      </c>
      <c r="H2440" t="str">
        <f>TRIM(SUBSTITUTE(PROPER(C2440)&amp;" "&amp;IF(OR(D2440="County",D2440="Township",D2440="Village",D2440="Charter Township"),D2440,"")&amp;IF(D2440="Township"," "&amp;"("&amp;VLOOKUP(A2440,counties,3,0)&amp;")",""),"  "," "))</f>
        <v>Nottawa Township Library</v>
      </c>
    </row>
    <row r="2441" spans="1:8" ht="15.75" thickBot="1" x14ac:dyDescent="0.3">
      <c r="A2441">
        <f t="shared" si="39"/>
        <v>75</v>
      </c>
      <c r="B2441" s="10">
        <v>2016</v>
      </c>
      <c r="C2441" s="3" t="s">
        <v>2116</v>
      </c>
      <c r="D2441" s="3" t="s">
        <v>17</v>
      </c>
      <c r="E2441" s="4" t="s">
        <v>7</v>
      </c>
      <c r="F2441" s="11" t="s">
        <v>8</v>
      </c>
      <c r="H2441" t="str">
        <f>TRIM(SUBSTITUTE(PROPER(C2441)&amp;" "&amp;IF(OR(D2441="County",D2441="Township",D2441="Village",D2441="Charter Township"),D2441,"")&amp;IF(D2441="Township"," "&amp;"("&amp;VLOOKUP(A2441,counties,3,0)&amp;")",""),"  "," "))</f>
        <v>River Country Recreational Authority</v>
      </c>
    </row>
    <row r="2442" spans="1:8" ht="15.75" thickBot="1" x14ac:dyDescent="0.3">
      <c r="A2442">
        <f t="shared" si="39"/>
        <v>75</v>
      </c>
      <c r="B2442" s="8">
        <v>2016</v>
      </c>
      <c r="C2442" s="1" t="s">
        <v>302</v>
      </c>
      <c r="D2442" s="1" t="s">
        <v>6</v>
      </c>
      <c r="E2442" s="2" t="s">
        <v>7</v>
      </c>
      <c r="F2442" s="9" t="s">
        <v>8</v>
      </c>
      <c r="H2442" t="str">
        <f>TRIM(SUBSTITUTE(PROPER(C2442)&amp;" "&amp;IF(OR(D2442="County",D2442="Township",D2442="Village",D2442="Charter Township"),D2442,"")&amp;IF(D2442="Township"," "&amp;"("&amp;VLOOKUP(A2442,counties,3,0)&amp;")",""),"  "," "))</f>
        <v>St Joseph County</v>
      </c>
    </row>
    <row r="2443" spans="1:8" ht="15.75" thickBot="1" x14ac:dyDescent="0.3">
      <c r="A2443">
        <f t="shared" si="39"/>
        <v>75</v>
      </c>
      <c r="B2443" s="10">
        <v>2016</v>
      </c>
      <c r="C2443" s="3" t="s">
        <v>2117</v>
      </c>
      <c r="D2443" s="3" t="s">
        <v>17</v>
      </c>
      <c r="E2443" s="4" t="s">
        <v>7</v>
      </c>
      <c r="F2443" s="11" t="s">
        <v>8</v>
      </c>
      <c r="H2443" t="str">
        <f>TRIM(SUBSTITUTE(PROPER(C2443)&amp;" "&amp;IF(OR(D2443="County",D2443="Township",D2443="Village",D2443="Charter Township"),D2443,"")&amp;IF(D2443="Township"," "&amp;"("&amp;VLOOKUP(A2443,counties,3,0)&amp;")",""),"  "," "))</f>
        <v>St Joseph Co Community Mental Health Services</v>
      </c>
    </row>
    <row r="2444" spans="1:8" ht="15.75" thickBot="1" x14ac:dyDescent="0.3">
      <c r="A2444">
        <f t="shared" si="39"/>
        <v>75</v>
      </c>
      <c r="B2444" s="8">
        <v>2016</v>
      </c>
      <c r="C2444" s="1" t="s">
        <v>2118</v>
      </c>
      <c r="D2444" s="1" t="s">
        <v>17</v>
      </c>
      <c r="E2444" s="2" t="s">
        <v>7</v>
      </c>
      <c r="F2444" s="9" t="s">
        <v>8</v>
      </c>
      <c r="H2444" t="str">
        <f>TRIM(SUBSTITUTE(PROPER(C2444)&amp;" "&amp;IF(OR(D2444="County",D2444="Township",D2444="Village",D2444="Charter Township"),D2444,"")&amp;IF(D2444="Township"," "&amp;"("&amp;VLOOKUP(A2444,counties,3,0)&amp;")",""),"  "," "))</f>
        <v>St Joseph Co Conservation District</v>
      </c>
    </row>
    <row r="2445" spans="1:8" ht="15.75" thickBot="1" x14ac:dyDescent="0.3">
      <c r="A2445">
        <f t="shared" si="39"/>
        <v>75</v>
      </c>
      <c r="B2445" s="10">
        <v>2016</v>
      </c>
      <c r="C2445" s="3" t="s">
        <v>2119</v>
      </c>
      <c r="D2445" s="3" t="s">
        <v>17</v>
      </c>
      <c r="E2445" s="4" t="s">
        <v>7</v>
      </c>
      <c r="F2445" s="11" t="s">
        <v>8</v>
      </c>
      <c r="H2445" t="str">
        <f>TRIM(SUBSTITUTE(PROPER(C2445)&amp;" "&amp;IF(OR(D2445="County",D2445="Township",D2445="Village",D2445="Charter Township"),D2445,"")&amp;IF(D2445="Township"," "&amp;"("&amp;VLOOKUP(A2445,counties,3,0)&amp;")",""),"  "," "))</f>
        <v>St Joseph Co Public Transportation Authority</v>
      </c>
    </row>
    <row r="2446" spans="1:8" ht="15.75" thickBot="1" x14ac:dyDescent="0.3">
      <c r="A2446">
        <f t="shared" si="39"/>
        <v>75</v>
      </c>
      <c r="B2446" s="8">
        <v>2016</v>
      </c>
      <c r="C2446" s="1" t="s">
        <v>2120</v>
      </c>
      <c r="D2446" s="1" t="s">
        <v>11</v>
      </c>
      <c r="E2446" s="2" t="s">
        <v>7</v>
      </c>
      <c r="F2446" s="9" t="s">
        <v>8</v>
      </c>
      <c r="H2446" t="str">
        <f>TRIM(SUBSTITUTE(PROPER(C2446)&amp;" "&amp;IF(OR(D2446="County",D2446="Township",D2446="Village",D2446="Charter Township"),D2446,"")&amp;IF(D2446="Township"," "&amp;"("&amp;VLOOKUP(A2446,counties,3,0)&amp;")",""),"  "," "))</f>
        <v>St Joseph County Road Commission</v>
      </c>
    </row>
    <row r="2447" spans="1:8" ht="15.75" thickBot="1" x14ac:dyDescent="0.3">
      <c r="A2447">
        <f t="shared" si="39"/>
        <v>75</v>
      </c>
      <c r="B2447" s="10">
        <v>2016</v>
      </c>
      <c r="C2447" s="3" t="s">
        <v>2121</v>
      </c>
      <c r="D2447" s="3" t="s">
        <v>15</v>
      </c>
      <c r="E2447" s="4" t="s">
        <v>7</v>
      </c>
      <c r="F2447" s="11" t="s">
        <v>8</v>
      </c>
      <c r="H2447" t="str">
        <f>TRIM(SUBSTITUTE(PROPER(C2447)&amp;" "&amp;IF(OR(D2447="County",D2447="Township",D2447="Village",D2447="Charter Township"),D2447,"")&amp;IF(D2447="Township"," "&amp;"("&amp;VLOOKUP(A2447,counties,3,0)&amp;")",""),"  "," "))</f>
        <v>Sturgis</v>
      </c>
    </row>
    <row r="2448" spans="1:8" ht="15.75" thickBot="1" x14ac:dyDescent="0.3">
      <c r="A2448">
        <f t="shared" si="39"/>
        <v>75</v>
      </c>
      <c r="B2448" s="8">
        <v>2016</v>
      </c>
      <c r="C2448" s="1" t="s">
        <v>2121</v>
      </c>
      <c r="D2448" s="1" t="s">
        <v>9</v>
      </c>
      <c r="E2448" s="2" t="s">
        <v>7</v>
      </c>
      <c r="F2448" s="9" t="s">
        <v>8</v>
      </c>
      <c r="H2448" t="str">
        <f>TRIM(SUBSTITUTE(PROPER(C2448)&amp;" "&amp;IF(OR(D2448="County",D2448="Township",D2448="Village",D2448="Charter Township"),D2448,"")&amp;IF(D2448="Township"," "&amp;"("&amp;VLOOKUP(A2448,counties,3,0)&amp;")",""),"  "," "))</f>
        <v>Sturgis Township (St. Joseph County)</v>
      </c>
    </row>
    <row r="2449" spans="1:8" ht="15.75" thickBot="1" x14ac:dyDescent="0.3">
      <c r="A2449">
        <f t="shared" si="39"/>
        <v>75</v>
      </c>
      <c r="B2449" s="10">
        <v>2016</v>
      </c>
      <c r="C2449" s="3" t="s">
        <v>2122</v>
      </c>
      <c r="D2449" s="3" t="s">
        <v>17</v>
      </c>
      <c r="E2449" s="4" t="s">
        <v>7</v>
      </c>
      <c r="F2449" s="11" t="s">
        <v>8</v>
      </c>
      <c r="H2449" t="str">
        <f>TRIM(SUBSTITUTE(PROPER(C2449)&amp;" "&amp;IF(OR(D2449="County",D2449="Township",D2449="Village",D2449="Charter Township"),D2449,"")&amp;IF(D2449="Township"," "&amp;"("&amp;VLOOKUP(A2449,counties,3,0)&amp;")",""),"  "," "))</f>
        <v>Sturgis City Dda</v>
      </c>
    </row>
    <row r="2450" spans="1:8" ht="15.75" thickBot="1" x14ac:dyDescent="0.3">
      <c r="A2450">
        <f t="shared" si="39"/>
        <v>75</v>
      </c>
      <c r="B2450" s="8">
        <v>2016</v>
      </c>
      <c r="C2450" s="1" t="s">
        <v>2123</v>
      </c>
      <c r="D2450" s="1" t="s">
        <v>17</v>
      </c>
      <c r="E2450" s="2" t="s">
        <v>7</v>
      </c>
      <c r="F2450" s="9" t="s">
        <v>8</v>
      </c>
      <c r="H2450" t="str">
        <f>TRIM(SUBSTITUTE(PROPER(C2450)&amp;" "&amp;IF(OR(D2450="County",D2450="Township",D2450="Village",D2450="Charter Township"),D2450,"")&amp;IF(D2450="Township"," "&amp;"("&amp;VLOOKUP(A2450,counties,3,0)&amp;")",""),"  "," "))</f>
        <v>Sturgis City Housing Commission</v>
      </c>
    </row>
    <row r="2451" spans="1:8" ht="15.75" thickBot="1" x14ac:dyDescent="0.3">
      <c r="A2451">
        <f t="shared" si="39"/>
        <v>75</v>
      </c>
      <c r="B2451" s="10">
        <v>2016</v>
      </c>
      <c r="C2451" s="3" t="s">
        <v>2124</v>
      </c>
      <c r="D2451" s="3" t="s">
        <v>42</v>
      </c>
      <c r="E2451" s="4" t="s">
        <v>7</v>
      </c>
      <c r="F2451" s="11" t="s">
        <v>8</v>
      </c>
      <c r="H2451" t="str">
        <f>TRIM(SUBSTITUTE(PROPER(C2451)&amp;" "&amp;IF(OR(D2451="County",D2451="Township",D2451="Village",D2451="Charter Township"),D2451,"")&amp;IF(D2451="Township"," "&amp;"("&amp;VLOOKUP(A2451,counties,3,0)&amp;")",""),"  "," "))</f>
        <v>Sturgis District Library</v>
      </c>
    </row>
    <row r="2452" spans="1:8" ht="15.75" thickBot="1" x14ac:dyDescent="0.3">
      <c r="A2452">
        <f t="shared" si="39"/>
        <v>75</v>
      </c>
      <c r="B2452" s="8">
        <v>2016</v>
      </c>
      <c r="C2452" s="1" t="s">
        <v>2125</v>
      </c>
      <c r="D2452" s="1" t="s">
        <v>15</v>
      </c>
      <c r="E2452" s="2" t="s">
        <v>7</v>
      </c>
      <c r="F2452" s="9" t="s">
        <v>8</v>
      </c>
      <c r="H2452" t="str">
        <f>TRIM(SUBSTITUTE(PROPER(C2452)&amp;" "&amp;IF(OR(D2452="County",D2452="Township",D2452="Village",D2452="Charter Township"),D2452,"")&amp;IF(D2452="Township"," "&amp;"("&amp;VLOOKUP(A2452,counties,3,0)&amp;")",""),"  "," "))</f>
        <v>Three Rivers</v>
      </c>
    </row>
    <row r="2453" spans="1:8" ht="21.75" thickBot="1" x14ac:dyDescent="0.3">
      <c r="A2453">
        <f t="shared" si="39"/>
        <v>75</v>
      </c>
      <c r="B2453" s="10">
        <v>2016</v>
      </c>
      <c r="C2453" s="3" t="s">
        <v>2126</v>
      </c>
      <c r="D2453" s="3" t="s">
        <v>17</v>
      </c>
      <c r="E2453" s="4" t="s">
        <v>7</v>
      </c>
      <c r="F2453" s="11" t="s">
        <v>8</v>
      </c>
      <c r="H2453" t="str">
        <f>TRIM(SUBSTITUTE(PROPER(C2453)&amp;" "&amp;IF(OR(D2453="County",D2453="Township",D2453="Village",D2453="Charter Township"),D2453,"")&amp;IF(D2453="Township"," "&amp;"("&amp;VLOOKUP(A2453,counties,3,0)&amp;")",""),"  "," "))</f>
        <v>Tri-Township Fire Assoc/Sherman/Sturgis/Fawn River</v>
      </c>
    </row>
    <row r="2454" spans="1:8" ht="15.75" thickBot="1" x14ac:dyDescent="0.3">
      <c r="A2454">
        <f t="shared" si="39"/>
        <v>75</v>
      </c>
      <c r="B2454" s="8">
        <v>2016</v>
      </c>
      <c r="C2454" s="1" t="s">
        <v>2127</v>
      </c>
      <c r="D2454" s="1" t="s">
        <v>9</v>
      </c>
      <c r="E2454" s="2" t="s">
        <v>7</v>
      </c>
      <c r="F2454" s="9" t="s">
        <v>8</v>
      </c>
      <c r="H2454" t="str">
        <f>TRIM(SUBSTITUTE(PROPER(C2454)&amp;" "&amp;IF(OR(D2454="County",D2454="Township",D2454="Village",D2454="Charter Township"),D2454,"")&amp;IF(D2454="Township"," "&amp;"("&amp;VLOOKUP(A2454,counties,3,0)&amp;")",""),"  "," "))</f>
        <v>White Pigeon Township (St. Joseph County)</v>
      </c>
    </row>
    <row r="2455" spans="1:8" ht="15.75" thickBot="1" x14ac:dyDescent="0.3">
      <c r="A2455">
        <f t="shared" si="39"/>
        <v>75</v>
      </c>
      <c r="B2455" s="10">
        <v>2016</v>
      </c>
      <c r="C2455" s="3" t="s">
        <v>2127</v>
      </c>
      <c r="D2455" s="3" t="s">
        <v>21</v>
      </c>
      <c r="E2455" s="4" t="s">
        <v>7</v>
      </c>
      <c r="F2455" s="11" t="s">
        <v>8</v>
      </c>
      <c r="H2455" t="str">
        <f>TRIM(SUBSTITUTE(PROPER(C2455)&amp;" "&amp;IF(OR(D2455="County",D2455="Township",D2455="Village",D2455="Charter Township"),D2455,"")&amp;IF(D2455="Township"," "&amp;"("&amp;VLOOKUP(A2455,counties,3,0)&amp;")",""),"  "," "))</f>
        <v>White Pigeon Village</v>
      </c>
    </row>
    <row r="2456" spans="1:8" ht="15.75" thickBot="1" x14ac:dyDescent="0.3">
      <c r="A2456">
        <f t="shared" si="39"/>
        <v>75</v>
      </c>
      <c r="B2456" s="8">
        <v>2016</v>
      </c>
      <c r="C2456" s="1" t="s">
        <v>2128</v>
      </c>
      <c r="D2456" s="1" t="s">
        <v>17</v>
      </c>
      <c r="E2456" s="2" t="s">
        <v>7</v>
      </c>
      <c r="F2456" s="9" t="s">
        <v>8</v>
      </c>
      <c r="H2456" t="str">
        <f>TRIM(SUBSTITUTE(PROPER(C2456)&amp;" "&amp;IF(OR(D2456="County",D2456="Township",D2456="Village",D2456="Charter Township"),D2456,"")&amp;IF(D2456="Township"," "&amp;"("&amp;VLOOKUP(A2456,counties,3,0)&amp;")",""),"  "," "))</f>
        <v>White Pigeon Sanitary System</v>
      </c>
    </row>
    <row r="2457" spans="1:8" ht="15.75" thickBot="1" x14ac:dyDescent="0.3">
      <c r="A2457">
        <f t="shared" si="39"/>
        <v>75</v>
      </c>
      <c r="B2457" s="12">
        <v>2016</v>
      </c>
      <c r="C2457" s="13" t="s">
        <v>2129</v>
      </c>
      <c r="D2457" s="13" t="s">
        <v>42</v>
      </c>
      <c r="E2457" s="14" t="s">
        <v>7</v>
      </c>
      <c r="F2457" s="15" t="s">
        <v>8</v>
      </c>
      <c r="H2457" t="str">
        <f>TRIM(SUBSTITUTE(PROPER(C2457)&amp;" "&amp;IF(OR(D2457="County",D2457="Township",D2457="Village",D2457="Charter Township"),D2457,"")&amp;IF(D2457="Township"," "&amp;"("&amp;VLOOKUP(A2457,counties,3,0)&amp;")",""),"  "," "))</f>
        <v>White Pigeon Township Library</v>
      </c>
    </row>
    <row r="2458" spans="1:8" ht="16.5" thickTop="1" thickBot="1" x14ac:dyDescent="0.3">
      <c r="A2458">
        <f t="shared" si="39"/>
        <v>76</v>
      </c>
      <c r="B2458" s="5" t="s">
        <v>0</v>
      </c>
      <c r="C2458" s="6" t="s">
        <v>1</v>
      </c>
      <c r="D2458" s="6" t="s">
        <v>2</v>
      </c>
      <c r="E2458" s="6" t="s">
        <v>3</v>
      </c>
      <c r="F2458" s="7" t="s">
        <v>4</v>
      </c>
      <c r="H2458" t="str">
        <f>TRIM(SUBSTITUTE(PROPER(C2458)&amp;" "&amp;IF(OR(D2458="County",D2458="Township",D2458="Village",D2458="Charter Township"),D2458,"")&amp;IF(D2458="Township"," "&amp;"("&amp;VLOOKUP(A2458,counties,3,0)&amp;")",""),"  "," "))</f>
        <v>Municipality</v>
      </c>
    </row>
    <row r="2459" spans="1:8" ht="15.75" thickBot="1" x14ac:dyDescent="0.3">
      <c r="A2459">
        <f t="shared" si="39"/>
        <v>76</v>
      </c>
      <c r="B2459" s="8">
        <v>2016</v>
      </c>
      <c r="C2459" s="1" t="s">
        <v>2130</v>
      </c>
      <c r="D2459" s="1" t="s">
        <v>42</v>
      </c>
      <c r="E2459" s="2" t="s">
        <v>7</v>
      </c>
      <c r="F2459" s="9" t="s">
        <v>8</v>
      </c>
      <c r="H2459" t="str">
        <f>TRIM(SUBSTITUTE(PROPER(C2459)&amp;" "&amp;IF(OR(D2459="County",D2459="Township",D2459="Village",D2459="Charter Township"),D2459,"")&amp;IF(D2459="Township"," "&amp;"("&amp;VLOOKUP(A2459,counties,3,0)&amp;")",""),"  "," "))</f>
        <v>Aitkin Memorial District Library</v>
      </c>
    </row>
    <row r="2460" spans="1:8" ht="15.75" thickBot="1" x14ac:dyDescent="0.3">
      <c r="A2460">
        <f t="shared" si="39"/>
        <v>76</v>
      </c>
      <c r="B2460" s="10">
        <v>2016</v>
      </c>
      <c r="C2460" s="3" t="s">
        <v>1524</v>
      </c>
      <c r="D2460" s="3" t="s">
        <v>9</v>
      </c>
      <c r="E2460" s="4" t="s">
        <v>7</v>
      </c>
      <c r="F2460" s="11" t="s">
        <v>8</v>
      </c>
      <c r="H2460" t="str">
        <f>TRIM(SUBSTITUTE(PROPER(C2460)&amp;" "&amp;IF(OR(D2460="County",D2460="Township",D2460="Village",D2460="Charter Township"),D2460,"")&amp;IF(D2460="Township"," "&amp;"("&amp;VLOOKUP(A2460,counties,3,0)&amp;")",""),"  "," "))</f>
        <v>Austin Township (Sanilac County)</v>
      </c>
    </row>
    <row r="2461" spans="1:8" ht="15.75" thickBot="1" x14ac:dyDescent="0.3">
      <c r="A2461">
        <f t="shared" si="39"/>
        <v>76</v>
      </c>
      <c r="B2461" s="8">
        <v>2016</v>
      </c>
      <c r="C2461" s="1" t="s">
        <v>2131</v>
      </c>
      <c r="D2461" s="1" t="s">
        <v>15</v>
      </c>
      <c r="E2461" s="2" t="s">
        <v>7</v>
      </c>
      <c r="F2461" s="9" t="s">
        <v>8</v>
      </c>
      <c r="H2461" t="str">
        <f>TRIM(SUBSTITUTE(PROPER(C2461)&amp;" "&amp;IF(OR(D2461="County",D2461="Township",D2461="Village",D2461="Charter Township"),D2461,"")&amp;IF(D2461="Township"," "&amp;"("&amp;VLOOKUP(A2461,counties,3,0)&amp;")",""),"  "," "))</f>
        <v>Brown City</v>
      </c>
    </row>
    <row r="2462" spans="1:8" ht="15.75" thickBot="1" x14ac:dyDescent="0.3">
      <c r="A2462">
        <f t="shared" si="39"/>
        <v>76</v>
      </c>
      <c r="B2462" s="10">
        <v>2016</v>
      </c>
      <c r="C2462" s="3" t="s">
        <v>2132</v>
      </c>
      <c r="D2462" s="3" t="s">
        <v>17</v>
      </c>
      <c r="E2462" s="4" t="s">
        <v>7</v>
      </c>
      <c r="F2462" s="11" t="s">
        <v>8</v>
      </c>
      <c r="H2462" t="str">
        <f>TRIM(SUBSTITUTE(PROPER(C2462)&amp;" "&amp;IF(OR(D2462="County",D2462="Township",D2462="Village",D2462="Charter Township"),D2462,"")&amp;IF(D2462="Township"," "&amp;"("&amp;VLOOKUP(A2462,counties,3,0)&amp;")",""),"  "," "))</f>
        <v>Brown City Area Fire Authority</v>
      </c>
    </row>
    <row r="2463" spans="1:8" ht="15.75" thickBot="1" x14ac:dyDescent="0.3">
      <c r="A2463">
        <f t="shared" si="39"/>
        <v>76</v>
      </c>
      <c r="B2463" s="8">
        <v>2016</v>
      </c>
      <c r="C2463" s="1" t="s">
        <v>2133</v>
      </c>
      <c r="D2463" s="1" t="s">
        <v>42</v>
      </c>
      <c r="E2463" s="2" t="s">
        <v>7</v>
      </c>
      <c r="F2463" s="9" t="s">
        <v>8</v>
      </c>
      <c r="H2463" t="str">
        <f>TRIM(SUBSTITUTE(PROPER(C2463)&amp;" "&amp;IF(OR(D2463="County",D2463="Township",D2463="Village",D2463="Charter Township"),D2463,"")&amp;IF(D2463="Township"," "&amp;"("&amp;VLOOKUP(A2463,counties,3,0)&amp;")",""),"  "," "))</f>
        <v>Brown City Public Library</v>
      </c>
    </row>
    <row r="2464" spans="1:8" ht="15.75" thickBot="1" x14ac:dyDescent="0.3">
      <c r="A2464">
        <f t="shared" si="39"/>
        <v>76</v>
      </c>
      <c r="B2464" s="10">
        <v>2016</v>
      </c>
      <c r="C2464" s="3" t="s">
        <v>2134</v>
      </c>
      <c r="D2464" s="3" t="s">
        <v>9</v>
      </c>
      <c r="E2464" s="4" t="s">
        <v>7</v>
      </c>
      <c r="F2464" s="11" t="s">
        <v>8</v>
      </c>
      <c r="H2464" t="str">
        <f>TRIM(SUBSTITUTE(PROPER(C2464)&amp;" "&amp;IF(OR(D2464="County",D2464="Township",D2464="Village",D2464="Charter Township"),D2464,"")&amp;IF(D2464="Township"," "&amp;"("&amp;VLOOKUP(A2464,counties,3,0)&amp;")",""),"  "," "))</f>
        <v>Buel Township (Sanilac County)</v>
      </c>
    </row>
    <row r="2465" spans="1:8" ht="15.75" thickBot="1" x14ac:dyDescent="0.3">
      <c r="A2465">
        <f t="shared" si="39"/>
        <v>76</v>
      </c>
      <c r="B2465" s="8">
        <v>2016</v>
      </c>
      <c r="C2465" s="1" t="s">
        <v>2135</v>
      </c>
      <c r="D2465" s="1" t="s">
        <v>21</v>
      </c>
      <c r="E2465" s="2" t="s">
        <v>7</v>
      </c>
      <c r="F2465" s="9" t="s">
        <v>8</v>
      </c>
      <c r="H2465" t="str">
        <f>TRIM(SUBSTITUTE(PROPER(C2465)&amp;" "&amp;IF(OR(D2465="County",D2465="Township",D2465="Village",D2465="Charter Township"),D2465,"")&amp;IF(D2465="Township"," "&amp;"("&amp;VLOOKUP(A2465,counties,3,0)&amp;")",""),"  "," "))</f>
        <v>Carsonville Village</v>
      </c>
    </row>
    <row r="2466" spans="1:8" ht="15.75" thickBot="1" x14ac:dyDescent="0.3">
      <c r="A2466">
        <f t="shared" si="39"/>
        <v>76</v>
      </c>
      <c r="B2466" s="10">
        <v>2016</v>
      </c>
      <c r="C2466" s="3" t="s">
        <v>2136</v>
      </c>
      <c r="D2466" s="3" t="s">
        <v>15</v>
      </c>
      <c r="E2466" s="4" t="s">
        <v>7</v>
      </c>
      <c r="F2466" s="11" t="s">
        <v>8</v>
      </c>
      <c r="H2466" t="str">
        <f>TRIM(SUBSTITUTE(PROPER(C2466)&amp;" "&amp;IF(OR(D2466="County",D2466="Township",D2466="Village",D2466="Charter Township"),D2466,"")&amp;IF(D2466="Township"," "&amp;"("&amp;VLOOKUP(A2466,counties,3,0)&amp;")",""),"  "," "))</f>
        <v>Croswell</v>
      </c>
    </row>
    <row r="2467" spans="1:8" ht="15.75" thickBot="1" x14ac:dyDescent="0.3">
      <c r="A2467">
        <f t="shared" si="39"/>
        <v>76</v>
      </c>
      <c r="B2467" s="8">
        <v>2016</v>
      </c>
      <c r="C2467" s="1" t="s">
        <v>106</v>
      </c>
      <c r="D2467" s="1" t="s">
        <v>9</v>
      </c>
      <c r="E2467" s="2" t="s">
        <v>7</v>
      </c>
      <c r="F2467" s="9" t="s">
        <v>8</v>
      </c>
      <c r="H2467" t="str">
        <f>TRIM(SUBSTITUTE(PROPER(C2467)&amp;" "&amp;IF(OR(D2467="County",D2467="Township",D2467="Village",D2467="Charter Township"),D2467,"")&amp;IF(D2467="Township"," "&amp;"("&amp;VLOOKUP(A2467,counties,3,0)&amp;")",""),"  "," "))</f>
        <v>Custer Township (Sanilac County)</v>
      </c>
    </row>
    <row r="2468" spans="1:8" ht="15.75" thickBot="1" x14ac:dyDescent="0.3">
      <c r="A2468">
        <f t="shared" si="39"/>
        <v>76</v>
      </c>
      <c r="B2468" s="10">
        <v>2016</v>
      </c>
      <c r="C2468" s="3" t="s">
        <v>2137</v>
      </c>
      <c r="D2468" s="3" t="s">
        <v>21</v>
      </c>
      <c r="E2468" s="4" t="s">
        <v>7</v>
      </c>
      <c r="F2468" s="11" t="s">
        <v>8</v>
      </c>
      <c r="H2468" t="str">
        <f>TRIM(SUBSTITUTE(PROPER(C2468)&amp;" "&amp;IF(OR(D2468="County",D2468="Township",D2468="Village",D2468="Charter Township"),D2468,"")&amp;IF(D2468="Township"," "&amp;"("&amp;VLOOKUP(A2468,counties,3,0)&amp;")",""),"  "," "))</f>
        <v>Deckerville Village</v>
      </c>
    </row>
    <row r="2469" spans="1:8" ht="15.75" thickBot="1" x14ac:dyDescent="0.3">
      <c r="A2469">
        <f t="shared" si="39"/>
        <v>76</v>
      </c>
      <c r="B2469" s="8">
        <v>2016</v>
      </c>
      <c r="C2469" s="1" t="s">
        <v>2138</v>
      </c>
      <c r="D2469" s="1" t="s">
        <v>42</v>
      </c>
      <c r="E2469" s="2" t="s">
        <v>7</v>
      </c>
      <c r="F2469" s="9" t="s">
        <v>8</v>
      </c>
      <c r="H2469" t="str">
        <f>TRIM(SUBSTITUTE(PROPER(C2469)&amp;" "&amp;IF(OR(D2469="County",D2469="Township",D2469="Village",D2469="Charter Township"),D2469,"")&amp;IF(D2469="Township"," "&amp;"("&amp;VLOOKUP(A2469,counties,3,0)&amp;")",""),"  "," "))</f>
        <v>Deckerville Public Library</v>
      </c>
    </row>
    <row r="2470" spans="1:8" ht="15.75" thickBot="1" x14ac:dyDescent="0.3">
      <c r="A2470">
        <f t="shared" si="39"/>
        <v>76</v>
      </c>
      <c r="B2470" s="10">
        <v>2016</v>
      </c>
      <c r="C2470" s="3" t="s">
        <v>2139</v>
      </c>
      <c r="D2470" s="3" t="s">
        <v>9</v>
      </c>
      <c r="E2470" s="4" t="s">
        <v>7</v>
      </c>
      <c r="F2470" s="11" t="s">
        <v>8</v>
      </c>
      <c r="H2470" t="str">
        <f>TRIM(SUBSTITUTE(PROPER(C2470)&amp;" "&amp;IF(OR(D2470="County",D2470="Township",D2470="Village",D2470="Charter Township"),D2470,"")&amp;IF(D2470="Township"," "&amp;"("&amp;VLOOKUP(A2470,counties,3,0)&amp;")",""),"  "," "))</f>
        <v>Delaware Township (Sanilac County)</v>
      </c>
    </row>
    <row r="2471" spans="1:8" ht="15.75" thickBot="1" x14ac:dyDescent="0.3">
      <c r="A2471">
        <f t="shared" si="39"/>
        <v>76</v>
      </c>
      <c r="B2471" s="8">
        <v>2016</v>
      </c>
      <c r="C2471" s="1" t="s">
        <v>1250</v>
      </c>
      <c r="D2471" s="1" t="s">
        <v>9</v>
      </c>
      <c r="E2471" s="2" t="s">
        <v>7</v>
      </c>
      <c r="F2471" s="9" t="s">
        <v>8</v>
      </c>
      <c r="H2471" t="str">
        <f>TRIM(SUBSTITUTE(PROPER(C2471)&amp;" "&amp;IF(OR(D2471="County",D2471="Township",D2471="Village",D2471="Charter Township"),D2471,"")&amp;IF(D2471="Township"," "&amp;"("&amp;VLOOKUP(A2471,counties,3,0)&amp;")",""),"  "," "))</f>
        <v>Elk Township (Sanilac County)</v>
      </c>
    </row>
    <row r="2472" spans="1:8" ht="15.75" thickBot="1" x14ac:dyDescent="0.3">
      <c r="A2472">
        <f t="shared" si="39"/>
        <v>76</v>
      </c>
      <c r="B2472" s="10">
        <v>2016</v>
      </c>
      <c r="C2472" s="3" t="s">
        <v>1919</v>
      </c>
      <c r="D2472" s="3" t="s">
        <v>9</v>
      </c>
      <c r="E2472" s="4" t="s">
        <v>7</v>
      </c>
      <c r="F2472" s="11" t="s">
        <v>8</v>
      </c>
      <c r="H2472" t="str">
        <f>TRIM(SUBSTITUTE(PROPER(C2472)&amp;" "&amp;IF(OR(D2472="County",D2472="Township",D2472="Village",D2472="Charter Township"),D2472,"")&amp;IF(D2472="Township"," "&amp;"("&amp;VLOOKUP(A2472,counties,3,0)&amp;")",""),"  "," "))</f>
        <v>Elmer Township (Sanilac County)</v>
      </c>
    </row>
    <row r="2473" spans="1:8" ht="15.75" thickBot="1" x14ac:dyDescent="0.3">
      <c r="A2473">
        <f t="shared" si="39"/>
        <v>76</v>
      </c>
      <c r="B2473" s="8">
        <v>2016</v>
      </c>
      <c r="C2473" s="1" t="s">
        <v>1648</v>
      </c>
      <c r="D2473" s="1" t="s">
        <v>9</v>
      </c>
      <c r="E2473" s="2" t="s">
        <v>7</v>
      </c>
      <c r="F2473" s="9" t="s">
        <v>8</v>
      </c>
      <c r="H2473" t="str">
        <f>TRIM(SUBSTITUTE(PROPER(C2473)&amp;" "&amp;IF(OR(D2473="County",D2473="Township",D2473="Village",D2473="Charter Township"),D2473,"")&amp;IF(D2473="Township"," "&amp;"("&amp;VLOOKUP(A2473,counties,3,0)&amp;")",""),"  "," "))</f>
        <v>Evergreen Township (Sanilac County)</v>
      </c>
    </row>
    <row r="2474" spans="1:8" ht="15.75" thickBot="1" x14ac:dyDescent="0.3">
      <c r="A2474">
        <f t="shared" si="39"/>
        <v>76</v>
      </c>
      <c r="B2474" s="10">
        <v>2016</v>
      </c>
      <c r="C2474" s="3" t="s">
        <v>2140</v>
      </c>
      <c r="D2474" s="3" t="s">
        <v>9</v>
      </c>
      <c r="E2474" s="4" t="s">
        <v>7</v>
      </c>
      <c r="F2474" s="11" t="s">
        <v>8</v>
      </c>
      <c r="H2474" t="str">
        <f>TRIM(SUBSTITUTE(PROPER(C2474)&amp;" "&amp;IF(OR(D2474="County",D2474="Township",D2474="Village",D2474="Charter Township"),D2474,"")&amp;IF(D2474="Township"," "&amp;"("&amp;VLOOKUP(A2474,counties,3,0)&amp;")",""),"  "," "))</f>
        <v>Forester Township (Sanilac County)</v>
      </c>
    </row>
    <row r="2475" spans="1:8" ht="15.75" thickBot="1" x14ac:dyDescent="0.3">
      <c r="A2475">
        <f t="shared" si="39"/>
        <v>76</v>
      </c>
      <c r="B2475" s="8">
        <v>2016</v>
      </c>
      <c r="C2475" s="1" t="s">
        <v>2141</v>
      </c>
      <c r="D2475" s="1" t="s">
        <v>21</v>
      </c>
      <c r="E2475" s="2" t="s">
        <v>7</v>
      </c>
      <c r="F2475" s="9" t="s">
        <v>8</v>
      </c>
      <c r="H2475" t="str">
        <f>TRIM(SUBSTITUTE(PROPER(C2475)&amp;" "&amp;IF(OR(D2475="County",D2475="Township",D2475="Village",D2475="Charter Township"),D2475,"")&amp;IF(D2475="Township"," "&amp;"("&amp;VLOOKUP(A2475,counties,3,0)&amp;")",""),"  "," "))</f>
        <v>Forestville Village</v>
      </c>
    </row>
    <row r="2476" spans="1:8" ht="15.75" thickBot="1" x14ac:dyDescent="0.3">
      <c r="A2476">
        <f t="shared" si="39"/>
        <v>76</v>
      </c>
      <c r="B2476" s="10">
        <v>2016</v>
      </c>
      <c r="C2476" s="3" t="s">
        <v>1729</v>
      </c>
      <c r="D2476" s="3" t="s">
        <v>9</v>
      </c>
      <c r="E2476" s="4" t="s">
        <v>7</v>
      </c>
      <c r="F2476" s="11" t="s">
        <v>8</v>
      </c>
      <c r="H2476" t="str">
        <f>TRIM(SUBSTITUTE(PROPER(C2476)&amp;" "&amp;IF(OR(D2476="County",D2476="Township",D2476="Village",D2476="Charter Township"),D2476,"")&amp;IF(D2476="Township"," "&amp;"("&amp;VLOOKUP(A2476,counties,3,0)&amp;")",""),"  "," "))</f>
        <v>Fremont Township (Sanilac County)</v>
      </c>
    </row>
    <row r="2477" spans="1:8" ht="15.75" thickBot="1" x14ac:dyDescent="0.3">
      <c r="A2477">
        <f t="shared" si="39"/>
        <v>76</v>
      </c>
      <c r="B2477" s="8">
        <v>2016</v>
      </c>
      <c r="C2477" s="1" t="s">
        <v>2142</v>
      </c>
      <c r="D2477" s="1" t="s">
        <v>9</v>
      </c>
      <c r="E2477" s="2" t="s">
        <v>7</v>
      </c>
      <c r="F2477" s="9" t="s">
        <v>8</v>
      </c>
      <c r="H2477" t="str">
        <f>TRIM(SUBSTITUTE(PROPER(C2477)&amp;" "&amp;IF(OR(D2477="County",D2477="Township",D2477="Village",D2477="Charter Township"),D2477,"")&amp;IF(D2477="Township"," "&amp;"("&amp;VLOOKUP(A2477,counties,3,0)&amp;")",""),"  "," "))</f>
        <v>Greenleaf Township (Sanilac County)</v>
      </c>
    </row>
    <row r="2478" spans="1:8" ht="15.75" thickBot="1" x14ac:dyDescent="0.3">
      <c r="A2478">
        <f t="shared" si="39"/>
        <v>76</v>
      </c>
      <c r="B2478" s="10">
        <v>2016</v>
      </c>
      <c r="C2478" s="3" t="s">
        <v>2143</v>
      </c>
      <c r="D2478" s="3" t="s">
        <v>9</v>
      </c>
      <c r="E2478" s="4" t="s">
        <v>7</v>
      </c>
      <c r="F2478" s="11" t="s">
        <v>8</v>
      </c>
      <c r="H2478" t="str">
        <f>TRIM(SUBSTITUTE(PROPER(C2478)&amp;" "&amp;IF(OR(D2478="County",D2478="Township",D2478="Village",D2478="Charter Township"),D2478,"")&amp;IF(D2478="Township"," "&amp;"("&amp;VLOOKUP(A2478,counties,3,0)&amp;")",""),"  "," "))</f>
        <v>Lamotte Township (Sanilac County)</v>
      </c>
    </row>
    <row r="2479" spans="1:8" ht="15.75" thickBot="1" x14ac:dyDescent="0.3">
      <c r="A2479">
        <f t="shared" si="39"/>
        <v>76</v>
      </c>
      <c r="B2479" s="8">
        <v>2016</v>
      </c>
      <c r="C2479" s="1" t="s">
        <v>2144</v>
      </c>
      <c r="D2479" s="1" t="s">
        <v>9</v>
      </c>
      <c r="E2479" s="2" t="s">
        <v>7</v>
      </c>
      <c r="F2479" s="9" t="s">
        <v>8</v>
      </c>
      <c r="H2479" t="str">
        <f>TRIM(SUBSTITUTE(PROPER(C2479)&amp;" "&amp;IF(OR(D2479="County",D2479="Township",D2479="Village",D2479="Charter Township"),D2479,"")&amp;IF(D2479="Township"," "&amp;"("&amp;VLOOKUP(A2479,counties,3,0)&amp;")",""),"  "," "))</f>
        <v>Lexington Township (Sanilac County)</v>
      </c>
    </row>
    <row r="2480" spans="1:8" ht="15.75" thickBot="1" x14ac:dyDescent="0.3">
      <c r="A2480">
        <f t="shared" si="39"/>
        <v>76</v>
      </c>
      <c r="B2480" s="10">
        <v>2016</v>
      </c>
      <c r="C2480" s="3" t="s">
        <v>2144</v>
      </c>
      <c r="D2480" s="3" t="s">
        <v>21</v>
      </c>
      <c r="E2480" s="4" t="s">
        <v>7</v>
      </c>
      <c r="F2480" s="11" t="s">
        <v>8</v>
      </c>
      <c r="H2480" t="str">
        <f>TRIM(SUBSTITUTE(PROPER(C2480)&amp;" "&amp;IF(OR(D2480="County",D2480="Township",D2480="Village",D2480="Charter Township"),D2480,"")&amp;IF(D2480="Township"," "&amp;"("&amp;VLOOKUP(A2480,counties,3,0)&amp;")",""),"  "," "))</f>
        <v>Lexington Village</v>
      </c>
    </row>
    <row r="2481" spans="1:8" ht="15.75" thickBot="1" x14ac:dyDescent="0.3">
      <c r="A2481">
        <f t="shared" si="39"/>
        <v>76</v>
      </c>
      <c r="B2481" s="8">
        <v>2016</v>
      </c>
      <c r="C2481" s="1" t="s">
        <v>2145</v>
      </c>
      <c r="D2481" s="1" t="s">
        <v>9</v>
      </c>
      <c r="E2481" s="2" t="s">
        <v>7</v>
      </c>
      <c r="F2481" s="9" t="s">
        <v>8</v>
      </c>
      <c r="H2481" t="str">
        <f>TRIM(SUBSTITUTE(PROPER(C2481)&amp;" "&amp;IF(OR(D2481="County",D2481="Township",D2481="Village",D2481="Charter Township"),D2481,"")&amp;IF(D2481="Township"," "&amp;"("&amp;VLOOKUP(A2481,counties,3,0)&amp;")",""),"  "," "))</f>
        <v>Maple Valley Township (Sanilac County)</v>
      </c>
    </row>
    <row r="2482" spans="1:8" ht="15.75" thickBot="1" x14ac:dyDescent="0.3">
      <c r="A2482">
        <f t="shared" si="39"/>
        <v>76</v>
      </c>
      <c r="B2482" s="10">
        <v>2016</v>
      </c>
      <c r="C2482" s="3" t="s">
        <v>2146</v>
      </c>
      <c r="D2482" s="3" t="s">
        <v>15</v>
      </c>
      <c r="E2482" s="4" t="s">
        <v>7</v>
      </c>
      <c r="F2482" s="11" t="s">
        <v>8</v>
      </c>
      <c r="H2482" t="str">
        <f>TRIM(SUBSTITUTE(PROPER(C2482)&amp;" "&amp;IF(OR(D2482="County",D2482="Township",D2482="Village",D2482="Charter Township"),D2482,"")&amp;IF(D2482="Township"," "&amp;"("&amp;VLOOKUP(A2482,counties,3,0)&amp;")",""),"  "," "))</f>
        <v>Marlette</v>
      </c>
    </row>
    <row r="2483" spans="1:8" ht="15.75" thickBot="1" x14ac:dyDescent="0.3">
      <c r="A2483">
        <f t="shared" si="39"/>
        <v>76</v>
      </c>
      <c r="B2483" s="8">
        <v>2016</v>
      </c>
      <c r="C2483" s="1" t="s">
        <v>2146</v>
      </c>
      <c r="D2483" s="1" t="s">
        <v>9</v>
      </c>
      <c r="E2483" s="2" t="s">
        <v>7</v>
      </c>
      <c r="F2483" s="9" t="s">
        <v>8</v>
      </c>
      <c r="H2483" t="str">
        <f>TRIM(SUBSTITUTE(PROPER(C2483)&amp;" "&amp;IF(OR(D2483="County",D2483="Township",D2483="Village",D2483="Charter Township"),D2483,"")&amp;IF(D2483="Township"," "&amp;"("&amp;VLOOKUP(A2483,counties,3,0)&amp;")",""),"  "," "))</f>
        <v>Marlette Township (Sanilac County)</v>
      </c>
    </row>
    <row r="2484" spans="1:8" ht="15.75" thickBot="1" x14ac:dyDescent="0.3">
      <c r="A2484">
        <f t="shared" si="39"/>
        <v>76</v>
      </c>
      <c r="B2484" s="10">
        <v>2016</v>
      </c>
      <c r="C2484" s="3" t="s">
        <v>2147</v>
      </c>
      <c r="D2484" s="3" t="s">
        <v>17</v>
      </c>
      <c r="E2484" s="4" t="s">
        <v>7</v>
      </c>
      <c r="F2484" s="11" t="s">
        <v>8</v>
      </c>
      <c r="H2484" t="str">
        <f>TRIM(SUBSTITUTE(PROPER(C2484)&amp;" "&amp;IF(OR(D2484="County",D2484="Township",D2484="Village",D2484="Charter Township"),D2484,"")&amp;IF(D2484="Township"," "&amp;"("&amp;VLOOKUP(A2484,counties,3,0)&amp;")",""),"  "," "))</f>
        <v>Marlette Community Fire Department</v>
      </c>
    </row>
    <row r="2485" spans="1:8" ht="15.75" thickBot="1" x14ac:dyDescent="0.3">
      <c r="A2485">
        <f t="shared" si="39"/>
        <v>76</v>
      </c>
      <c r="B2485" s="8">
        <v>2016</v>
      </c>
      <c r="C2485" s="1" t="s">
        <v>2148</v>
      </c>
      <c r="D2485" s="1" t="s">
        <v>42</v>
      </c>
      <c r="E2485" s="2" t="s">
        <v>7</v>
      </c>
      <c r="F2485" s="9" t="s">
        <v>8</v>
      </c>
      <c r="H2485" t="str">
        <f>TRIM(SUBSTITUTE(PROPER(C2485)&amp;" "&amp;IF(OR(D2485="County",D2485="Township",D2485="Village",D2485="Charter Township"),D2485,"")&amp;IF(D2485="Township"," "&amp;"("&amp;VLOOKUP(A2485,counties,3,0)&amp;")",""),"  "," "))</f>
        <v>Marlette District Library</v>
      </c>
    </row>
    <row r="2486" spans="1:8" ht="15.75" thickBot="1" x14ac:dyDescent="0.3">
      <c r="A2486">
        <f t="shared" si="39"/>
        <v>76</v>
      </c>
      <c r="B2486" s="10">
        <v>2016</v>
      </c>
      <c r="C2486" s="3" t="s">
        <v>2149</v>
      </c>
      <c r="D2486" s="3" t="s">
        <v>9</v>
      </c>
      <c r="E2486" s="4" t="s">
        <v>7</v>
      </c>
      <c r="F2486" s="11" t="s">
        <v>8</v>
      </c>
      <c r="H2486" t="str">
        <f>TRIM(SUBSTITUTE(PROPER(C2486)&amp;" "&amp;IF(OR(D2486="County",D2486="Township",D2486="Village",D2486="Charter Township"),D2486,"")&amp;IF(D2486="Township"," "&amp;"("&amp;VLOOKUP(A2486,counties,3,0)&amp;")",""),"  "," "))</f>
        <v>Minden Township (Sanilac County)</v>
      </c>
    </row>
    <row r="2487" spans="1:8" ht="15.75" thickBot="1" x14ac:dyDescent="0.3">
      <c r="A2487">
        <f t="shared" si="39"/>
        <v>76</v>
      </c>
      <c r="B2487" s="8">
        <v>2016</v>
      </c>
      <c r="C2487" s="1" t="s">
        <v>2150</v>
      </c>
      <c r="D2487" s="1" t="s">
        <v>21</v>
      </c>
      <c r="E2487" s="2" t="s">
        <v>7</v>
      </c>
      <c r="F2487" s="9" t="s">
        <v>8</v>
      </c>
      <c r="H2487" t="str">
        <f>TRIM(SUBSTITUTE(PROPER(C2487)&amp;" "&amp;IF(OR(D2487="County",D2487="Township",D2487="Village",D2487="Charter Township"),D2487,"")&amp;IF(D2487="Township"," "&amp;"("&amp;VLOOKUP(A2487,counties,3,0)&amp;")",""),"  "," "))</f>
        <v>Minden City Village</v>
      </c>
    </row>
    <row r="2488" spans="1:8" ht="15.75" thickBot="1" x14ac:dyDescent="0.3">
      <c r="A2488">
        <f t="shared" si="39"/>
        <v>76</v>
      </c>
      <c r="B2488" s="10">
        <v>2016</v>
      </c>
      <c r="C2488" s="3" t="s">
        <v>2151</v>
      </c>
      <c r="D2488" s="3" t="s">
        <v>9</v>
      </c>
      <c r="E2488" s="4" t="s">
        <v>7</v>
      </c>
      <c r="F2488" s="11" t="s">
        <v>8</v>
      </c>
      <c r="H2488" t="str">
        <f>TRIM(SUBSTITUTE(PROPER(C2488)&amp;" "&amp;IF(OR(D2488="County",D2488="Township",D2488="Village",D2488="Charter Township"),D2488,"")&amp;IF(D2488="Township"," "&amp;"("&amp;VLOOKUP(A2488,counties,3,0)&amp;")",""),"  "," "))</f>
        <v>Moore Township (Sanilac County)</v>
      </c>
    </row>
    <row r="2489" spans="1:8" ht="15.75" thickBot="1" x14ac:dyDescent="0.3">
      <c r="A2489">
        <f t="shared" si="39"/>
        <v>76</v>
      </c>
      <c r="B2489" s="8">
        <v>2016</v>
      </c>
      <c r="C2489" s="1" t="s">
        <v>2152</v>
      </c>
      <c r="D2489" s="1" t="s">
        <v>42</v>
      </c>
      <c r="E2489" s="2" t="s">
        <v>7</v>
      </c>
      <c r="F2489" s="9" t="s">
        <v>8</v>
      </c>
      <c r="H2489" t="str">
        <f>TRIM(SUBSTITUTE(PROPER(C2489)&amp;" "&amp;IF(OR(D2489="County",D2489="Township",D2489="Village",D2489="Charter Township"),D2489,"")&amp;IF(D2489="Township"," "&amp;"("&amp;VLOOKUP(A2489,counties,3,0)&amp;")",""),"  "," "))</f>
        <v>Moore Public Library</v>
      </c>
    </row>
    <row r="2490" spans="1:8" ht="15.75" thickBot="1" x14ac:dyDescent="0.3">
      <c r="A2490">
        <f t="shared" si="39"/>
        <v>76</v>
      </c>
      <c r="B2490" s="10">
        <v>2016</v>
      </c>
      <c r="C2490" s="3" t="s">
        <v>2153</v>
      </c>
      <c r="D2490" s="3" t="s">
        <v>21</v>
      </c>
      <c r="E2490" s="4" t="s">
        <v>7</v>
      </c>
      <c r="F2490" s="11" t="s">
        <v>8</v>
      </c>
      <c r="H2490" t="str">
        <f>TRIM(SUBSTITUTE(PROPER(C2490)&amp;" "&amp;IF(OR(D2490="County",D2490="Township",D2490="Village",D2490="Charter Township"),D2490,"")&amp;IF(D2490="Township"," "&amp;"("&amp;VLOOKUP(A2490,counties,3,0)&amp;")",""),"  "," "))</f>
        <v>Peck Village</v>
      </c>
    </row>
    <row r="2491" spans="1:8" ht="15.75" thickBot="1" x14ac:dyDescent="0.3">
      <c r="A2491">
        <f t="shared" si="39"/>
        <v>76</v>
      </c>
      <c r="B2491" s="8">
        <v>2016</v>
      </c>
      <c r="C2491" s="1" t="s">
        <v>2154</v>
      </c>
      <c r="D2491" s="1" t="s">
        <v>21</v>
      </c>
      <c r="E2491" s="2" t="s">
        <v>7</v>
      </c>
      <c r="F2491" s="9" t="s">
        <v>8</v>
      </c>
      <c r="H2491" t="str">
        <f>TRIM(SUBSTITUTE(PROPER(C2491)&amp;" "&amp;IF(OR(D2491="County",D2491="Township",D2491="Village",D2491="Charter Township"),D2491,"")&amp;IF(D2491="Township"," "&amp;"("&amp;VLOOKUP(A2491,counties,3,0)&amp;")",""),"  "," "))</f>
        <v>Port Sanilac Village</v>
      </c>
    </row>
    <row r="2492" spans="1:8" ht="15.75" thickBot="1" x14ac:dyDescent="0.3">
      <c r="A2492">
        <f t="shared" si="39"/>
        <v>76</v>
      </c>
      <c r="B2492" s="10">
        <v>2016</v>
      </c>
      <c r="C2492" s="3" t="s">
        <v>2155</v>
      </c>
      <c r="D2492" s="3" t="s">
        <v>15</v>
      </c>
      <c r="E2492" s="4" t="s">
        <v>7</v>
      </c>
      <c r="F2492" s="11" t="s">
        <v>19</v>
      </c>
      <c r="H2492" t="str">
        <f>TRIM(SUBSTITUTE(PROPER(C2492)&amp;" "&amp;IF(OR(D2492="County",D2492="Township",D2492="Village",D2492="Charter Township"),D2492,"")&amp;IF(D2492="Township"," "&amp;"("&amp;VLOOKUP(A2492,counties,3,0)&amp;")",""),"  "," "))</f>
        <v>Sandusky</v>
      </c>
    </row>
    <row r="2493" spans="1:8" ht="15.75" thickBot="1" x14ac:dyDescent="0.3">
      <c r="A2493">
        <f t="shared" si="39"/>
        <v>76</v>
      </c>
      <c r="B2493" s="8">
        <v>2016</v>
      </c>
      <c r="C2493" s="1" t="s">
        <v>2156</v>
      </c>
      <c r="D2493" s="1" t="s">
        <v>17</v>
      </c>
      <c r="E2493" s="2" t="s">
        <v>7</v>
      </c>
      <c r="F2493" s="9" t="s">
        <v>19</v>
      </c>
      <c r="H2493" t="str">
        <f>TRIM(SUBSTITUTE(PROPER(C2493)&amp;" "&amp;IF(OR(D2493="County",D2493="Township",D2493="Village",D2493="Charter Township"),D2493,"")&amp;IF(D2493="Township"," "&amp;"("&amp;VLOOKUP(A2493,counties,3,0)&amp;")",""),"  "," "))</f>
        <v>Sandusky Community Fire Department Assoc</v>
      </c>
    </row>
    <row r="2494" spans="1:8" ht="15.75" thickBot="1" x14ac:dyDescent="0.3">
      <c r="A2494">
        <f t="shared" si="39"/>
        <v>76</v>
      </c>
      <c r="B2494" s="10">
        <v>2016</v>
      </c>
      <c r="C2494" s="3" t="s">
        <v>2157</v>
      </c>
      <c r="D2494" s="3" t="s">
        <v>42</v>
      </c>
      <c r="E2494" s="4" t="s">
        <v>7</v>
      </c>
      <c r="F2494" s="11" t="s">
        <v>8</v>
      </c>
      <c r="H2494" t="str">
        <f>TRIM(SUBSTITUTE(PROPER(C2494)&amp;" "&amp;IF(OR(D2494="County",D2494="Township",D2494="Village",D2494="Charter Township"),D2494,"")&amp;IF(D2494="Township"," "&amp;"("&amp;VLOOKUP(A2494,counties,3,0)&amp;")",""),"  "," "))</f>
        <v>Sandusky District Library</v>
      </c>
    </row>
    <row r="2495" spans="1:8" ht="15.75" thickBot="1" x14ac:dyDescent="0.3">
      <c r="A2495">
        <f t="shared" si="39"/>
        <v>76</v>
      </c>
      <c r="B2495" s="8">
        <v>2016</v>
      </c>
      <c r="C2495" s="1" t="s">
        <v>2158</v>
      </c>
      <c r="D2495" s="1" t="s">
        <v>6</v>
      </c>
      <c r="E2495" s="2" t="s">
        <v>7</v>
      </c>
      <c r="F2495" s="9" t="s">
        <v>8</v>
      </c>
      <c r="H2495" t="str">
        <f>TRIM(SUBSTITUTE(PROPER(C2495)&amp;" "&amp;IF(OR(D2495="County",D2495="Township",D2495="Village",D2495="Charter Township"),D2495,"")&amp;IF(D2495="Township"," "&amp;"("&amp;VLOOKUP(A2495,counties,3,0)&amp;")",""),"  "," "))</f>
        <v>Sanilac County</v>
      </c>
    </row>
    <row r="2496" spans="1:8" ht="15.75" thickBot="1" x14ac:dyDescent="0.3">
      <c r="A2496">
        <f t="shared" si="39"/>
        <v>76</v>
      </c>
      <c r="B2496" s="10">
        <v>2016</v>
      </c>
      <c r="C2496" s="3" t="s">
        <v>2159</v>
      </c>
      <c r="D2496" s="3" t="s">
        <v>17</v>
      </c>
      <c r="E2496" s="4" t="s">
        <v>7</v>
      </c>
      <c r="F2496" s="11" t="s">
        <v>8</v>
      </c>
      <c r="H2496" t="str">
        <f>TRIM(SUBSTITUTE(PROPER(C2496)&amp;" "&amp;IF(OR(D2496="County",D2496="Township",D2496="Village",D2496="Charter Township"),D2496,"")&amp;IF(D2496="Township"," "&amp;"("&amp;VLOOKUP(A2496,counties,3,0)&amp;")",""),"  "," "))</f>
        <v>Sanilac Co Community Mental Health Authority</v>
      </c>
    </row>
    <row r="2497" spans="1:8" ht="15.75" thickBot="1" x14ac:dyDescent="0.3">
      <c r="A2497">
        <f t="shared" si="39"/>
        <v>76</v>
      </c>
      <c r="B2497" s="8">
        <v>2016</v>
      </c>
      <c r="C2497" s="1" t="s">
        <v>2160</v>
      </c>
      <c r="D2497" s="1" t="s">
        <v>11</v>
      </c>
      <c r="E2497" s="2" t="s">
        <v>7</v>
      </c>
      <c r="F2497" s="9" t="s">
        <v>8</v>
      </c>
      <c r="H2497" t="str">
        <f>TRIM(SUBSTITUTE(PROPER(C2497)&amp;" "&amp;IF(OR(D2497="County",D2497="Township",D2497="Village",D2497="Charter Township"),D2497,"")&amp;IF(D2497="Township"," "&amp;"("&amp;VLOOKUP(A2497,counties,3,0)&amp;")",""),"  "," "))</f>
        <v>Sanilac Co Road Commission</v>
      </c>
    </row>
    <row r="2498" spans="1:8" ht="15.75" thickBot="1" x14ac:dyDescent="0.3">
      <c r="A2498">
        <f t="shared" si="39"/>
        <v>76</v>
      </c>
      <c r="B2498" s="10">
        <v>2016</v>
      </c>
      <c r="C2498" s="3" t="s">
        <v>2161</v>
      </c>
      <c r="D2498" s="3" t="s">
        <v>42</v>
      </c>
      <c r="E2498" s="4" t="s">
        <v>7</v>
      </c>
      <c r="F2498" s="11" t="s">
        <v>8</v>
      </c>
      <c r="H2498" t="str">
        <f>TRIM(SUBSTITUTE(PROPER(C2498)&amp;" "&amp;IF(OR(D2498="County",D2498="Township",D2498="Village",D2498="Charter Township"),D2498,"")&amp;IF(D2498="Township"," "&amp;"("&amp;VLOOKUP(A2498,counties,3,0)&amp;")",""),"  "," "))</f>
        <v>Sanilac District Library</v>
      </c>
    </row>
    <row r="2499" spans="1:8" ht="15.75" thickBot="1" x14ac:dyDescent="0.3">
      <c r="A2499">
        <f t="shared" ref="A2499:A2562" si="40">IF(B2499="Year",A2498+1,A2498)</f>
        <v>76</v>
      </c>
      <c r="B2499" s="8">
        <v>2016</v>
      </c>
      <c r="C2499" s="1" t="s">
        <v>2162</v>
      </c>
      <c r="D2499" s="1" t="s">
        <v>17</v>
      </c>
      <c r="E2499" s="2" t="s">
        <v>7</v>
      </c>
      <c r="F2499" s="9" t="s">
        <v>8</v>
      </c>
      <c r="H2499" t="str">
        <f>TRIM(SUBSTITUTE(PROPER(C2499)&amp;" "&amp;IF(OR(D2499="County",D2499="Township",D2499="Village",D2499="Charter Township"),D2499,"")&amp;IF(D2499="Township"," "&amp;"("&amp;VLOOKUP(A2499,counties,3,0)&amp;")",""),"  "," "))</f>
        <v>Sanilac Transportation Corporation</v>
      </c>
    </row>
    <row r="2500" spans="1:8" ht="15.75" thickBot="1" x14ac:dyDescent="0.3">
      <c r="A2500">
        <f t="shared" si="40"/>
        <v>76</v>
      </c>
      <c r="B2500" s="10">
        <v>2016</v>
      </c>
      <c r="C2500" s="3" t="s">
        <v>2163</v>
      </c>
      <c r="D2500" s="3" t="s">
        <v>9</v>
      </c>
      <c r="E2500" s="4" t="s">
        <v>7</v>
      </c>
      <c r="F2500" s="11" t="s">
        <v>8</v>
      </c>
      <c r="H2500" t="str">
        <f>TRIM(SUBSTITUTE(PROPER(C2500)&amp;" "&amp;IF(OR(D2500="County",D2500="Township",D2500="Village",D2500="Charter Township"),D2500,"")&amp;IF(D2500="Township"," "&amp;"("&amp;VLOOKUP(A2500,counties,3,0)&amp;")",""),"  "," "))</f>
        <v>Speaker Township (Sanilac County)</v>
      </c>
    </row>
    <row r="2501" spans="1:8" ht="15.75" thickBot="1" x14ac:dyDescent="0.3">
      <c r="A2501">
        <f t="shared" si="40"/>
        <v>76</v>
      </c>
      <c r="B2501" s="8">
        <v>2016</v>
      </c>
      <c r="C2501" s="1" t="s">
        <v>2164</v>
      </c>
      <c r="D2501" s="1" t="s">
        <v>17</v>
      </c>
      <c r="E2501" s="2" t="s">
        <v>7</v>
      </c>
      <c r="F2501" s="9" t="s">
        <v>8</v>
      </c>
      <c r="H2501" t="str">
        <f>TRIM(SUBSTITUTE(PROPER(C2501)&amp;" "&amp;IF(OR(D2501="County",D2501="Township",D2501="Village",D2501="Charter Township"),D2501,"")&amp;IF(D2501="Township"," "&amp;"("&amp;VLOOKUP(A2501,counties,3,0)&amp;")",""),"  "," "))</f>
        <v>Thumb Area Employment &amp; Training Consortium</v>
      </c>
    </row>
    <row r="2502" spans="1:8" ht="15.75" thickBot="1" x14ac:dyDescent="0.3">
      <c r="A2502">
        <f t="shared" si="40"/>
        <v>76</v>
      </c>
      <c r="B2502" s="10">
        <v>2016</v>
      </c>
      <c r="C2502" s="3" t="s">
        <v>817</v>
      </c>
      <c r="D2502" s="3" t="s">
        <v>9</v>
      </c>
      <c r="E2502" s="4" t="s">
        <v>7</v>
      </c>
      <c r="F2502" s="11" t="s">
        <v>8</v>
      </c>
      <c r="H2502" t="str">
        <f>TRIM(SUBSTITUTE(PROPER(C2502)&amp;" "&amp;IF(OR(D2502="County",D2502="Township",D2502="Village",D2502="Charter Township"),D2502,"")&amp;IF(D2502="Township"," "&amp;"("&amp;VLOOKUP(A2502,counties,3,0)&amp;")",""),"  "," "))</f>
        <v>Washington Township (Sanilac County)</v>
      </c>
    </row>
    <row r="2503" spans="1:8" ht="15.75" thickBot="1" x14ac:dyDescent="0.3">
      <c r="A2503">
        <f t="shared" si="40"/>
        <v>76</v>
      </c>
      <c r="B2503" s="8">
        <v>2016</v>
      </c>
      <c r="C2503" s="1" t="s">
        <v>2165</v>
      </c>
      <c r="D2503" s="1" t="s">
        <v>9</v>
      </c>
      <c r="E2503" s="2" t="s">
        <v>7</v>
      </c>
      <c r="F2503" s="9" t="s">
        <v>8</v>
      </c>
      <c r="H2503" t="str">
        <f>TRIM(SUBSTITUTE(PROPER(C2503)&amp;" "&amp;IF(OR(D2503="County",D2503="Township",D2503="Village",D2503="Charter Township"),D2503,"")&amp;IF(D2503="Township"," "&amp;"("&amp;VLOOKUP(A2503,counties,3,0)&amp;")",""),"  "," "))</f>
        <v>Watertown Township (Sanilac County)</v>
      </c>
    </row>
    <row r="2504" spans="1:8" ht="15.75" thickBot="1" x14ac:dyDescent="0.3">
      <c r="A2504">
        <f t="shared" si="40"/>
        <v>76</v>
      </c>
      <c r="B2504" s="10">
        <v>2016</v>
      </c>
      <c r="C2504" s="3" t="s">
        <v>847</v>
      </c>
      <c r="D2504" s="3" t="s">
        <v>9</v>
      </c>
      <c r="E2504" s="4" t="s">
        <v>7</v>
      </c>
      <c r="F2504" s="11" t="s">
        <v>8</v>
      </c>
      <c r="H2504" t="str">
        <f>TRIM(SUBSTITUTE(PROPER(C2504)&amp;" "&amp;IF(OR(D2504="County",D2504="Township",D2504="Village",D2504="Charter Township"),D2504,"")&amp;IF(D2504="Township"," "&amp;"("&amp;VLOOKUP(A2504,counties,3,0)&amp;")",""),"  "," "))</f>
        <v>Wheatland Township (Sanilac County)</v>
      </c>
    </row>
    <row r="2505" spans="1:8" ht="15.75" thickBot="1" x14ac:dyDescent="0.3">
      <c r="A2505">
        <f t="shared" si="40"/>
        <v>76</v>
      </c>
      <c r="B2505" s="16">
        <v>2016</v>
      </c>
      <c r="C2505" s="17" t="s">
        <v>2166</v>
      </c>
      <c r="D2505" s="17" t="s">
        <v>9</v>
      </c>
      <c r="E2505" s="18" t="s">
        <v>7</v>
      </c>
      <c r="F2505" s="19" t="s">
        <v>8</v>
      </c>
      <c r="H2505" t="str">
        <f>TRIM(SUBSTITUTE(PROPER(C2505)&amp;" "&amp;IF(OR(D2505="County",D2505="Township",D2505="Village",D2505="Charter Township"),D2505,"")&amp;IF(D2505="Township"," "&amp;"("&amp;VLOOKUP(A2505,counties,3,0)&amp;")",""),"  "," "))</f>
        <v>Worth Township (Sanilac County)</v>
      </c>
    </row>
    <row r="2506" spans="1:8" ht="16.5" thickTop="1" thickBot="1" x14ac:dyDescent="0.3">
      <c r="A2506">
        <f t="shared" si="40"/>
        <v>77</v>
      </c>
      <c r="B2506" s="5" t="s">
        <v>0</v>
      </c>
      <c r="C2506" s="6" t="s">
        <v>1</v>
      </c>
      <c r="D2506" s="6" t="s">
        <v>2</v>
      </c>
      <c r="E2506" s="6" t="s">
        <v>3</v>
      </c>
      <c r="F2506" s="7" t="s">
        <v>4</v>
      </c>
      <c r="H2506" t="str">
        <f>TRIM(SUBSTITUTE(PROPER(C2506)&amp;" "&amp;IF(OR(D2506="County",D2506="Township",D2506="Village",D2506="Charter Township"),D2506,"")&amp;IF(D2506="Township"," "&amp;"("&amp;VLOOKUP(A2506,counties,3,0)&amp;")",""),"  "," "))</f>
        <v>Municipality</v>
      </c>
    </row>
    <row r="2507" spans="1:8" ht="15.75" thickBot="1" x14ac:dyDescent="0.3">
      <c r="A2507">
        <f t="shared" si="40"/>
        <v>77</v>
      </c>
      <c r="B2507" s="8">
        <v>2016</v>
      </c>
      <c r="C2507" s="1" t="s">
        <v>2167</v>
      </c>
      <c r="D2507" s="1" t="s">
        <v>9</v>
      </c>
      <c r="E2507" s="2" t="s">
        <v>7</v>
      </c>
      <c r="F2507" s="9" t="s">
        <v>8</v>
      </c>
      <c r="H2507" t="str">
        <f>TRIM(SUBSTITUTE(PROPER(C2507)&amp;" "&amp;IF(OR(D2507="County",D2507="Township",D2507="Village",D2507="Charter Township"),D2507,"")&amp;IF(D2507="Township"," "&amp;"("&amp;VLOOKUP(A2507,counties,3,0)&amp;")",""),"  "," "))</f>
        <v>Germfask Township (Schoolcraft County)</v>
      </c>
    </row>
    <row r="2508" spans="1:8" ht="15.75" thickBot="1" x14ac:dyDescent="0.3">
      <c r="A2508">
        <f t="shared" si="40"/>
        <v>77</v>
      </c>
      <c r="B2508" s="10">
        <v>2016</v>
      </c>
      <c r="C2508" s="3" t="s">
        <v>2168</v>
      </c>
      <c r="D2508" s="3" t="s">
        <v>9</v>
      </c>
      <c r="E2508" s="4" t="s">
        <v>7</v>
      </c>
      <c r="F2508" s="11" t="s">
        <v>8</v>
      </c>
      <c r="H2508" t="str">
        <f>TRIM(SUBSTITUTE(PROPER(C2508)&amp;" "&amp;IF(OR(D2508="County",D2508="Township",D2508="Village",D2508="Charter Township"),D2508,"")&amp;IF(D2508="Township"," "&amp;"("&amp;VLOOKUP(A2508,counties,3,0)&amp;")",""),"  "," "))</f>
        <v>Hiawatha Township (Schoolcraft County)</v>
      </c>
    </row>
    <row r="2509" spans="1:8" ht="15.75" thickBot="1" x14ac:dyDescent="0.3">
      <c r="A2509">
        <f t="shared" si="40"/>
        <v>77</v>
      </c>
      <c r="B2509" s="8">
        <v>2016</v>
      </c>
      <c r="C2509" s="1" t="s">
        <v>2169</v>
      </c>
      <c r="D2509" s="1" t="s">
        <v>17</v>
      </c>
      <c r="E2509" s="2" t="s">
        <v>7</v>
      </c>
      <c r="F2509" s="9" t="s">
        <v>8</v>
      </c>
      <c r="H2509" t="str">
        <f>TRIM(SUBSTITUTE(PROPER(C2509)&amp;" "&amp;IF(OR(D2509="County",D2509="Township",D2509="Village",D2509="Charter Township"),D2509,"")&amp;IF(D2509="Township"," "&amp;"("&amp;VLOOKUP(A2509,counties,3,0)&amp;")",""),"  "," "))</f>
        <v>Hiawatha Community Behavioral Health Authority</v>
      </c>
    </row>
    <row r="2510" spans="1:8" ht="15.75" thickBot="1" x14ac:dyDescent="0.3">
      <c r="A2510">
        <f t="shared" si="40"/>
        <v>77</v>
      </c>
      <c r="B2510" s="10">
        <v>2016</v>
      </c>
      <c r="C2510" s="3" t="s">
        <v>2170</v>
      </c>
      <c r="D2510" s="3" t="s">
        <v>9</v>
      </c>
      <c r="E2510" s="4" t="s">
        <v>7</v>
      </c>
      <c r="F2510" s="11" t="s">
        <v>8</v>
      </c>
      <c r="H2510" t="str">
        <f>TRIM(SUBSTITUTE(PROPER(C2510)&amp;" "&amp;IF(OR(D2510="County",D2510="Township",D2510="Village",D2510="Charter Township"),D2510,"")&amp;IF(D2510="Township"," "&amp;"("&amp;VLOOKUP(A2510,counties,3,0)&amp;")",""),"  "," "))</f>
        <v>Inwood Township (Schoolcraft County)</v>
      </c>
    </row>
    <row r="2511" spans="1:8" ht="15.75" thickBot="1" x14ac:dyDescent="0.3">
      <c r="A2511">
        <f t="shared" si="40"/>
        <v>77</v>
      </c>
      <c r="B2511" s="8">
        <v>2016</v>
      </c>
      <c r="C2511" s="1" t="s">
        <v>2171</v>
      </c>
      <c r="D2511" s="1" t="s">
        <v>15</v>
      </c>
      <c r="E2511" s="2" t="s">
        <v>7</v>
      </c>
      <c r="F2511" s="9" t="s">
        <v>8</v>
      </c>
      <c r="H2511" t="str">
        <f>TRIM(SUBSTITUTE(PROPER(C2511)&amp;" "&amp;IF(OR(D2511="County",D2511="Township",D2511="Village",D2511="Charter Township"),D2511,"")&amp;IF(D2511="Township"," "&amp;"("&amp;VLOOKUP(A2511,counties,3,0)&amp;")",""),"  "," "))</f>
        <v>Manistique</v>
      </c>
    </row>
    <row r="2512" spans="1:8" ht="15.75" thickBot="1" x14ac:dyDescent="0.3">
      <c r="A2512">
        <f t="shared" si="40"/>
        <v>77</v>
      </c>
      <c r="B2512" s="10">
        <v>2016</v>
      </c>
      <c r="C2512" s="3" t="s">
        <v>2171</v>
      </c>
      <c r="D2512" s="3" t="s">
        <v>9</v>
      </c>
      <c r="E2512" s="4" t="s">
        <v>7</v>
      </c>
      <c r="F2512" s="11" t="s">
        <v>8</v>
      </c>
      <c r="H2512" t="str">
        <f>TRIM(SUBSTITUTE(PROPER(C2512)&amp;" "&amp;IF(OR(D2512="County",D2512="Township",D2512="Village",D2512="Charter Township"),D2512,"")&amp;IF(D2512="Township"," "&amp;"("&amp;VLOOKUP(A2512,counties,3,0)&amp;")",""),"  "," "))</f>
        <v>Manistique Township (Schoolcraft County)</v>
      </c>
    </row>
    <row r="2513" spans="1:8" ht="15.75" thickBot="1" x14ac:dyDescent="0.3">
      <c r="A2513">
        <f t="shared" si="40"/>
        <v>77</v>
      </c>
      <c r="B2513" s="8">
        <v>2016</v>
      </c>
      <c r="C2513" s="1" t="s">
        <v>2172</v>
      </c>
      <c r="D2513" s="1" t="s">
        <v>17</v>
      </c>
      <c r="E2513" s="2" t="s">
        <v>7</v>
      </c>
      <c r="F2513" s="9" t="s">
        <v>8</v>
      </c>
      <c r="H2513" t="str">
        <f>TRIM(SUBSTITUTE(PROPER(C2513)&amp;" "&amp;IF(OR(D2513="County",D2513="Township",D2513="Village",D2513="Charter Township"),D2513,"")&amp;IF(D2513="Township"," "&amp;"("&amp;VLOOKUP(A2513,counties,3,0)&amp;")",""),"  "," "))</f>
        <v>Manistique City Housing Commission</v>
      </c>
    </row>
    <row r="2514" spans="1:8" ht="15.75" thickBot="1" x14ac:dyDescent="0.3">
      <c r="A2514">
        <f t="shared" si="40"/>
        <v>77</v>
      </c>
      <c r="B2514" s="10">
        <v>2016</v>
      </c>
      <c r="C2514" s="3" t="s">
        <v>2173</v>
      </c>
      <c r="D2514" s="3" t="s">
        <v>9</v>
      </c>
      <c r="E2514" s="4" t="s">
        <v>7</v>
      </c>
      <c r="F2514" s="11" t="s">
        <v>8</v>
      </c>
      <c r="H2514" t="str">
        <f>TRIM(SUBSTITUTE(PROPER(C2514)&amp;" "&amp;IF(OR(D2514="County",D2514="Township",D2514="Village",D2514="Charter Township"),D2514,"")&amp;IF(D2514="Township"," "&amp;"("&amp;VLOOKUP(A2514,counties,3,0)&amp;")",""),"  "," "))</f>
        <v>Mueller Township (Schoolcraft County)</v>
      </c>
    </row>
    <row r="2515" spans="1:8" ht="15.75" thickBot="1" x14ac:dyDescent="0.3">
      <c r="A2515">
        <f t="shared" si="40"/>
        <v>77</v>
      </c>
      <c r="B2515" s="8">
        <v>2016</v>
      </c>
      <c r="C2515" s="1" t="s">
        <v>870</v>
      </c>
      <c r="D2515" s="1" t="s">
        <v>6</v>
      </c>
      <c r="E2515" s="2" t="s">
        <v>7</v>
      </c>
      <c r="F2515" s="9" t="s">
        <v>8</v>
      </c>
      <c r="H2515" t="str">
        <f>TRIM(SUBSTITUTE(PROPER(C2515)&amp;" "&amp;IF(OR(D2515="County",D2515="Township",D2515="Village",D2515="Charter Township"),D2515,"")&amp;IF(D2515="Township"," "&amp;"("&amp;VLOOKUP(A2515,counties,3,0)&amp;")",""),"  "," "))</f>
        <v>Schoolcraft County</v>
      </c>
    </row>
    <row r="2516" spans="1:8" ht="15.75" thickBot="1" x14ac:dyDescent="0.3">
      <c r="A2516">
        <f t="shared" si="40"/>
        <v>77</v>
      </c>
      <c r="B2516" s="10">
        <v>2016</v>
      </c>
      <c r="C2516" s="3" t="s">
        <v>2174</v>
      </c>
      <c r="D2516" s="3" t="s">
        <v>17</v>
      </c>
      <c r="E2516" s="4" t="s">
        <v>7</v>
      </c>
      <c r="F2516" s="11" t="s">
        <v>8</v>
      </c>
      <c r="H2516" t="str">
        <f>TRIM(SUBSTITUTE(PROPER(C2516)&amp;" "&amp;IF(OR(D2516="County",D2516="Township",D2516="Village",D2516="Charter Township"),D2516,"")&amp;IF(D2516="Township"," "&amp;"("&amp;VLOOKUP(A2516,counties,3,0)&amp;")",""),"  "," "))</f>
        <v>Schoolcraft County Housing Commission</v>
      </c>
    </row>
    <row r="2517" spans="1:8" ht="15.75" thickBot="1" x14ac:dyDescent="0.3">
      <c r="A2517">
        <f t="shared" si="40"/>
        <v>77</v>
      </c>
      <c r="B2517" s="8">
        <v>2016</v>
      </c>
      <c r="C2517" s="1" t="s">
        <v>2175</v>
      </c>
      <c r="D2517" s="1" t="s">
        <v>17</v>
      </c>
      <c r="E2517" s="2" t="s">
        <v>7</v>
      </c>
      <c r="F2517" s="9" t="s">
        <v>8</v>
      </c>
      <c r="H2517" t="str">
        <f>TRIM(SUBSTITUTE(PROPER(C2517)&amp;" "&amp;IF(OR(D2517="County",D2517="Township",D2517="Village",D2517="Charter Township"),D2517,"")&amp;IF(D2517="Township"," "&amp;"("&amp;VLOOKUP(A2517,counties,3,0)&amp;")",""),"  "," "))</f>
        <v>Schoolcraft County Medical Care Facility</v>
      </c>
    </row>
    <row r="2518" spans="1:8" ht="15.75" thickBot="1" x14ac:dyDescent="0.3">
      <c r="A2518">
        <f t="shared" si="40"/>
        <v>77</v>
      </c>
      <c r="B2518" s="10">
        <v>2016</v>
      </c>
      <c r="C2518" s="3" t="s">
        <v>2176</v>
      </c>
      <c r="D2518" s="3" t="s">
        <v>17</v>
      </c>
      <c r="E2518" s="4" t="s">
        <v>7</v>
      </c>
      <c r="F2518" s="11" t="s">
        <v>8</v>
      </c>
      <c r="H2518" t="str">
        <f>TRIM(SUBSTITUTE(PROPER(C2518)&amp;" "&amp;IF(OR(D2518="County",D2518="Township",D2518="Village",D2518="Charter Township"),D2518,"")&amp;IF(D2518="Township"," "&amp;"("&amp;VLOOKUP(A2518,counties,3,0)&amp;")",""),"  "," "))</f>
        <v>Schoolcraft County Public Transit System</v>
      </c>
    </row>
    <row r="2519" spans="1:8" ht="15.75" thickBot="1" x14ac:dyDescent="0.3">
      <c r="A2519">
        <f t="shared" si="40"/>
        <v>77</v>
      </c>
      <c r="B2519" s="8">
        <v>2016</v>
      </c>
      <c r="C2519" s="1" t="s">
        <v>2177</v>
      </c>
      <c r="D2519" s="1" t="s">
        <v>11</v>
      </c>
      <c r="E2519" s="2" t="s">
        <v>7</v>
      </c>
      <c r="F2519" s="9" t="s">
        <v>8</v>
      </c>
      <c r="H2519" t="str">
        <f>TRIM(SUBSTITUTE(PROPER(C2519)&amp;" "&amp;IF(OR(D2519="County",D2519="Township",D2519="Village",D2519="Charter Township"),D2519,"")&amp;IF(D2519="Township"," "&amp;"("&amp;VLOOKUP(A2519,counties,3,0)&amp;")",""),"  "," "))</f>
        <v>Schoolcraft County Road Commission</v>
      </c>
    </row>
    <row r="2520" spans="1:8" ht="15.75" thickBot="1" x14ac:dyDescent="0.3">
      <c r="A2520">
        <f t="shared" si="40"/>
        <v>77</v>
      </c>
      <c r="B2520" s="12">
        <v>2016</v>
      </c>
      <c r="C2520" s="13" t="s">
        <v>2178</v>
      </c>
      <c r="D2520" s="13" t="s">
        <v>9</v>
      </c>
      <c r="E2520" s="14" t="s">
        <v>7</v>
      </c>
      <c r="F2520" s="15" t="s">
        <v>8</v>
      </c>
      <c r="H2520" t="str">
        <f>TRIM(SUBSTITUTE(PROPER(C2520)&amp;" "&amp;IF(OR(D2520="County",D2520="Township",D2520="Village",D2520="Charter Township"),D2520,"")&amp;IF(D2520="Township"," "&amp;"("&amp;VLOOKUP(A2520,counties,3,0)&amp;")",""),"  "," "))</f>
        <v>Thompson Township (Schoolcraft County)</v>
      </c>
    </row>
    <row r="2521" spans="1:8" ht="16.5" thickTop="1" thickBot="1" x14ac:dyDescent="0.3">
      <c r="A2521">
        <f t="shared" si="40"/>
        <v>78</v>
      </c>
      <c r="B2521" s="5" t="s">
        <v>0</v>
      </c>
      <c r="C2521" s="6" t="s">
        <v>1</v>
      </c>
      <c r="D2521" s="6" t="s">
        <v>2</v>
      </c>
      <c r="E2521" s="6" t="s">
        <v>3</v>
      </c>
      <c r="F2521" s="7" t="s">
        <v>4</v>
      </c>
      <c r="H2521" t="str">
        <f>TRIM(SUBSTITUTE(PROPER(C2521)&amp;" "&amp;IF(OR(D2521="County",D2521="Township",D2521="Village",D2521="Charter Township"),D2521,"")&amp;IF(D2521="Township"," "&amp;"("&amp;VLOOKUP(A2521,counties,3,0)&amp;")",""),"  "," "))</f>
        <v>Municipality</v>
      </c>
    </row>
    <row r="2522" spans="1:8" ht="15.75" thickBot="1" x14ac:dyDescent="0.3">
      <c r="A2522">
        <f t="shared" si="40"/>
        <v>78</v>
      </c>
      <c r="B2522" s="8">
        <v>2016</v>
      </c>
      <c r="C2522" s="1" t="s">
        <v>2179</v>
      </c>
      <c r="D2522" s="1" t="s">
        <v>21</v>
      </c>
      <c r="E2522" s="2" t="s">
        <v>7</v>
      </c>
      <c r="F2522" s="9" t="s">
        <v>8</v>
      </c>
      <c r="H2522" t="str">
        <f>TRIM(SUBSTITUTE(PROPER(C2522)&amp;" "&amp;IF(OR(D2522="County",D2522="Township",D2522="Village",D2522="Charter Township"),D2522,"")&amp;IF(D2522="Township"," "&amp;"("&amp;VLOOKUP(A2522,counties,3,0)&amp;")",""),"  "," "))</f>
        <v>Bancroft Village</v>
      </c>
    </row>
    <row r="2523" spans="1:8" ht="15.75" thickBot="1" x14ac:dyDescent="0.3">
      <c r="A2523">
        <f t="shared" si="40"/>
        <v>78</v>
      </c>
      <c r="B2523" s="10">
        <v>2016</v>
      </c>
      <c r="C2523" s="3" t="s">
        <v>2180</v>
      </c>
      <c r="D2523" s="3" t="s">
        <v>9</v>
      </c>
      <c r="E2523" s="4" t="s">
        <v>7</v>
      </c>
      <c r="F2523" s="11" t="s">
        <v>8</v>
      </c>
      <c r="H2523" t="str">
        <f>TRIM(SUBSTITUTE(PROPER(C2523)&amp;" "&amp;IF(OR(D2523="County",D2523="Township",D2523="Village",D2523="Charter Township"),D2523,"")&amp;IF(D2523="Township"," "&amp;"("&amp;VLOOKUP(A2523,counties,3,0)&amp;")",""),"  "," "))</f>
        <v>Bennington Township (Shiawassee County)</v>
      </c>
    </row>
    <row r="2524" spans="1:8" ht="15.75" thickBot="1" x14ac:dyDescent="0.3">
      <c r="A2524">
        <f t="shared" si="40"/>
        <v>78</v>
      </c>
      <c r="B2524" s="8">
        <v>2016</v>
      </c>
      <c r="C2524" s="1" t="s">
        <v>2181</v>
      </c>
      <c r="D2524" s="1" t="s">
        <v>9</v>
      </c>
      <c r="E2524" s="2" t="s">
        <v>7</v>
      </c>
      <c r="F2524" s="9" t="s">
        <v>8</v>
      </c>
      <c r="H2524" t="str">
        <f>TRIM(SUBSTITUTE(PROPER(C2524)&amp;" "&amp;IF(OR(D2524="County",D2524="Township",D2524="Village",D2524="Charter Township"),D2524,"")&amp;IF(D2524="Township"," "&amp;"("&amp;VLOOKUP(A2524,counties,3,0)&amp;")",""),"  "," "))</f>
        <v>Burns Township (Shiawassee County)</v>
      </c>
    </row>
    <row r="2525" spans="1:8" ht="15.75" thickBot="1" x14ac:dyDescent="0.3">
      <c r="A2525">
        <f t="shared" si="40"/>
        <v>78</v>
      </c>
      <c r="B2525" s="10">
        <v>2016</v>
      </c>
      <c r="C2525" s="3" t="s">
        <v>1179</v>
      </c>
      <c r="D2525" s="3" t="s">
        <v>21</v>
      </c>
      <c r="E2525" s="4" t="s">
        <v>7</v>
      </c>
      <c r="F2525" s="11" t="s">
        <v>8</v>
      </c>
      <c r="H2525" t="str">
        <f>TRIM(SUBSTITUTE(PROPER(C2525)&amp;" "&amp;IF(OR(D2525="County",D2525="Township",D2525="Village",D2525="Charter Township"),D2525,"")&amp;IF(D2525="Township"," "&amp;"("&amp;VLOOKUP(A2525,counties,3,0)&amp;")",""),"  "," "))</f>
        <v>Byron Village</v>
      </c>
    </row>
    <row r="2526" spans="1:8" ht="15.75" thickBot="1" x14ac:dyDescent="0.3">
      <c r="A2526">
        <f t="shared" si="40"/>
        <v>78</v>
      </c>
      <c r="B2526" s="8">
        <v>2016</v>
      </c>
      <c r="C2526" s="1" t="s">
        <v>2182</v>
      </c>
      <c r="D2526" s="1" t="s">
        <v>42</v>
      </c>
      <c r="E2526" s="2" t="s">
        <v>7</v>
      </c>
      <c r="F2526" s="9" t="s">
        <v>8</v>
      </c>
      <c r="H2526" t="str">
        <f>TRIM(SUBSTITUTE(PROPER(C2526)&amp;" "&amp;IF(OR(D2526="County",D2526="Township",D2526="Village",D2526="Charter Township"),D2526,"")&amp;IF(D2526="Township"," "&amp;"("&amp;VLOOKUP(A2526,counties,3,0)&amp;")",""),"  "," "))</f>
        <v>Community District Library</v>
      </c>
    </row>
    <row r="2527" spans="1:8" ht="15.75" thickBot="1" x14ac:dyDescent="0.3">
      <c r="A2527">
        <f t="shared" si="40"/>
        <v>78</v>
      </c>
      <c r="B2527" s="10">
        <v>2016</v>
      </c>
      <c r="C2527" s="3" t="s">
        <v>2183</v>
      </c>
      <c r="D2527" s="3" t="s">
        <v>15</v>
      </c>
      <c r="E2527" s="4" t="s">
        <v>7</v>
      </c>
      <c r="F2527" s="11" t="s">
        <v>8</v>
      </c>
      <c r="H2527" t="str">
        <f>TRIM(SUBSTITUTE(PROPER(C2527)&amp;" "&amp;IF(OR(D2527="County",D2527="Township",D2527="Village",D2527="Charter Township"),D2527,"")&amp;IF(D2527="Township"," "&amp;"("&amp;VLOOKUP(A2527,counties,3,0)&amp;")",""),"  "," "))</f>
        <v>Corunna</v>
      </c>
    </row>
    <row r="2528" spans="1:8" ht="15.75" thickBot="1" x14ac:dyDescent="0.3">
      <c r="A2528">
        <f t="shared" si="40"/>
        <v>78</v>
      </c>
      <c r="B2528" s="8">
        <v>2016</v>
      </c>
      <c r="C2528" s="1" t="s">
        <v>2184</v>
      </c>
      <c r="D2528" s="1" t="s">
        <v>15</v>
      </c>
      <c r="E2528" s="2" t="s">
        <v>7</v>
      </c>
      <c r="F2528" s="9" t="s">
        <v>8</v>
      </c>
      <c r="H2528" t="str">
        <f>TRIM(SUBSTITUTE(PROPER(C2528)&amp;" "&amp;IF(OR(D2528="County",D2528="Township",D2528="Village",D2528="Charter Township"),D2528,"")&amp;IF(D2528="Township"," "&amp;"("&amp;VLOOKUP(A2528,counties,3,0)&amp;")",""),"  "," "))</f>
        <v>Durand</v>
      </c>
    </row>
    <row r="2529" spans="1:8" ht="15.75" thickBot="1" x14ac:dyDescent="0.3">
      <c r="A2529">
        <f t="shared" si="40"/>
        <v>78</v>
      </c>
      <c r="B2529" s="10">
        <v>2016</v>
      </c>
      <c r="C2529" s="3" t="s">
        <v>1318</v>
      </c>
      <c r="D2529" s="3" t="s">
        <v>9</v>
      </c>
      <c r="E2529" s="4" t="s">
        <v>7</v>
      </c>
      <c r="F2529" s="11" t="s">
        <v>8</v>
      </c>
      <c r="H2529" t="str">
        <f>TRIM(SUBSTITUTE(PROPER(C2529)&amp;" "&amp;IF(OR(D2529="County",D2529="Township",D2529="Village",D2529="Charter Township"),D2529,"")&amp;IF(D2529="Township"," "&amp;"("&amp;VLOOKUP(A2529,counties,3,0)&amp;")",""),"  "," "))</f>
        <v>Fairfield Township (Shiawassee County)</v>
      </c>
    </row>
    <row r="2530" spans="1:8" ht="15.75" thickBot="1" x14ac:dyDescent="0.3">
      <c r="A2530">
        <f t="shared" si="40"/>
        <v>78</v>
      </c>
      <c r="B2530" s="8">
        <v>2016</v>
      </c>
      <c r="C2530" s="1" t="s">
        <v>2185</v>
      </c>
      <c r="D2530" s="1" t="s">
        <v>9</v>
      </c>
      <c r="E2530" s="2" t="s">
        <v>7</v>
      </c>
      <c r="F2530" s="9" t="s">
        <v>8</v>
      </c>
      <c r="H2530" t="str">
        <f>TRIM(SUBSTITUTE(PROPER(C2530)&amp;" "&amp;IF(OR(D2530="County",D2530="Township",D2530="Village",D2530="Charter Township"),D2530,"")&amp;IF(D2530="Township"," "&amp;"("&amp;VLOOKUP(A2530,counties,3,0)&amp;")",""),"  "," "))</f>
        <v>Hazelton Township (Shiawassee County)</v>
      </c>
    </row>
    <row r="2531" spans="1:8" ht="15.75" thickBot="1" x14ac:dyDescent="0.3">
      <c r="A2531">
        <f t="shared" si="40"/>
        <v>78</v>
      </c>
      <c r="B2531" s="10">
        <v>2016</v>
      </c>
      <c r="C2531" s="3" t="s">
        <v>2186</v>
      </c>
      <c r="D2531" s="3" t="s">
        <v>15</v>
      </c>
      <c r="E2531" s="4" t="s">
        <v>7</v>
      </c>
      <c r="F2531" s="11" t="s">
        <v>8</v>
      </c>
      <c r="H2531" t="str">
        <f>TRIM(SUBSTITUTE(PROPER(C2531)&amp;" "&amp;IF(OR(D2531="County",D2531="Township",D2531="Village",D2531="Charter Township"),D2531,"")&amp;IF(D2531="Township"," "&amp;"("&amp;VLOOKUP(A2531,counties,3,0)&amp;")",""),"  "," "))</f>
        <v>Laingsburg</v>
      </c>
    </row>
    <row r="2532" spans="1:8" ht="21.75" thickBot="1" x14ac:dyDescent="0.3">
      <c r="A2532">
        <f t="shared" si="40"/>
        <v>78</v>
      </c>
      <c r="B2532" s="8">
        <v>2016</v>
      </c>
      <c r="C2532" s="1" t="s">
        <v>2187</v>
      </c>
      <c r="D2532" s="1" t="s">
        <v>17</v>
      </c>
      <c r="E2532" s="2" t="s">
        <v>7</v>
      </c>
      <c r="F2532" s="9" t="s">
        <v>8</v>
      </c>
      <c r="H2532" t="str">
        <f>TRIM(SUBSTITUTE(PROPER(C2532)&amp;" "&amp;IF(OR(D2532="County",D2532="Township",D2532="Village",D2532="Charter Township"),D2532,"")&amp;IF(D2532="Township"," "&amp;"("&amp;VLOOKUP(A2532,counties,3,0)&amp;")",""),"  "," "))</f>
        <v>Laingsburg/Sciota/Woodhull Emergency Service Auth</v>
      </c>
    </row>
    <row r="2533" spans="1:8" ht="15.75" thickBot="1" x14ac:dyDescent="0.3">
      <c r="A2533">
        <f t="shared" si="40"/>
        <v>78</v>
      </c>
      <c r="B2533" s="10">
        <v>2016</v>
      </c>
      <c r="C2533" s="3" t="s">
        <v>2188</v>
      </c>
      <c r="D2533" s="3" t="s">
        <v>21</v>
      </c>
      <c r="E2533" s="4" t="s">
        <v>7</v>
      </c>
      <c r="F2533" s="11" t="s">
        <v>8</v>
      </c>
      <c r="H2533" t="str">
        <f>TRIM(SUBSTITUTE(PROPER(C2533)&amp;" "&amp;IF(OR(D2533="County",D2533="Township",D2533="Village",D2533="Charter Township"),D2533,"")&amp;IF(D2533="Township"," "&amp;"("&amp;VLOOKUP(A2533,counties,3,0)&amp;")",""),"  "," "))</f>
        <v>Lennon Village</v>
      </c>
    </row>
    <row r="2534" spans="1:8" ht="15.75" thickBot="1" x14ac:dyDescent="0.3">
      <c r="A2534">
        <f t="shared" si="40"/>
        <v>78</v>
      </c>
      <c r="B2534" s="8">
        <v>2016</v>
      </c>
      <c r="C2534" s="1" t="s">
        <v>2189</v>
      </c>
      <c r="D2534" s="1" t="s">
        <v>9</v>
      </c>
      <c r="E2534" s="2" t="s">
        <v>7</v>
      </c>
      <c r="F2534" s="9" t="s">
        <v>8</v>
      </c>
      <c r="H2534" t="str">
        <f>TRIM(SUBSTITUTE(PROPER(C2534)&amp;" "&amp;IF(OR(D2534="County",D2534="Township",D2534="Village",D2534="Charter Township"),D2534,"")&amp;IF(D2534="Township"," "&amp;"("&amp;VLOOKUP(A2534,counties,3,0)&amp;")",""),"  "," "))</f>
        <v>Middlebury Township (Shiawassee County)</v>
      </c>
    </row>
    <row r="2535" spans="1:8" ht="15.75" thickBot="1" x14ac:dyDescent="0.3">
      <c r="A2535">
        <f t="shared" si="40"/>
        <v>78</v>
      </c>
      <c r="B2535" s="10">
        <v>2016</v>
      </c>
      <c r="C2535" s="3" t="s">
        <v>2190</v>
      </c>
      <c r="D2535" s="3" t="s">
        <v>21</v>
      </c>
      <c r="E2535" s="4" t="s">
        <v>7</v>
      </c>
      <c r="F2535" s="11" t="s">
        <v>8</v>
      </c>
      <c r="H2535" t="str">
        <f>TRIM(SUBSTITUTE(PROPER(C2535)&amp;" "&amp;IF(OR(D2535="County",D2535="Township",D2535="Village",D2535="Charter Township"),D2535,"")&amp;IF(D2535="Township"," "&amp;"("&amp;VLOOKUP(A2535,counties,3,0)&amp;")",""),"  "," "))</f>
        <v>Morrice Village</v>
      </c>
    </row>
    <row r="2536" spans="1:8" ht="15.75" thickBot="1" x14ac:dyDescent="0.3">
      <c r="A2536">
        <f t="shared" si="40"/>
        <v>78</v>
      </c>
      <c r="B2536" s="8">
        <v>2016</v>
      </c>
      <c r="C2536" s="1" t="s">
        <v>807</v>
      </c>
      <c r="D2536" s="1" t="s">
        <v>9</v>
      </c>
      <c r="E2536" s="2" t="s">
        <v>7</v>
      </c>
      <c r="F2536" s="9" t="s">
        <v>8</v>
      </c>
      <c r="H2536" t="str">
        <f>TRIM(SUBSTITUTE(PROPER(C2536)&amp;" "&amp;IF(OR(D2536="County",D2536="Township",D2536="Village",D2536="Charter Township"),D2536,"")&amp;IF(D2536="Township"," "&amp;"("&amp;VLOOKUP(A2536,counties,3,0)&amp;")",""),"  "," "))</f>
        <v>New Haven Township (Shiawassee County)</v>
      </c>
    </row>
    <row r="2537" spans="1:8" ht="15.75" thickBot="1" x14ac:dyDescent="0.3">
      <c r="A2537">
        <f t="shared" si="40"/>
        <v>78</v>
      </c>
      <c r="B2537" s="10">
        <v>2016</v>
      </c>
      <c r="C2537" s="3" t="s">
        <v>2191</v>
      </c>
      <c r="D2537" s="3" t="s">
        <v>21</v>
      </c>
      <c r="E2537" s="4" t="s">
        <v>7</v>
      </c>
      <c r="F2537" s="11" t="s">
        <v>8</v>
      </c>
      <c r="H2537" t="str">
        <f>TRIM(SUBSTITUTE(PROPER(C2537)&amp;" "&amp;IF(OR(D2537="County",D2537="Township",D2537="Village",D2537="Charter Township"),D2537,"")&amp;IF(D2537="Township"," "&amp;"("&amp;VLOOKUP(A2537,counties,3,0)&amp;")",""),"  "," "))</f>
        <v>New Lothrop Village</v>
      </c>
    </row>
    <row r="2538" spans="1:8" ht="15.75" thickBot="1" x14ac:dyDescent="0.3">
      <c r="A2538">
        <f t="shared" si="40"/>
        <v>78</v>
      </c>
      <c r="B2538" s="8">
        <v>2016</v>
      </c>
      <c r="C2538" s="1" t="s">
        <v>2192</v>
      </c>
      <c r="D2538" s="1" t="s">
        <v>15</v>
      </c>
      <c r="E2538" s="2" t="s">
        <v>7</v>
      </c>
      <c r="F2538" s="9" t="s">
        <v>8</v>
      </c>
      <c r="H2538" t="str">
        <f>TRIM(SUBSTITUTE(PROPER(C2538)&amp;" "&amp;IF(OR(D2538="County",D2538="Township",D2538="Village",D2538="Charter Township"),D2538,"")&amp;IF(D2538="Township"," "&amp;"("&amp;VLOOKUP(A2538,counties,3,0)&amp;")",""),"  "," "))</f>
        <v>Owosso</v>
      </c>
    </row>
    <row r="2539" spans="1:8" ht="15.75" thickBot="1" x14ac:dyDescent="0.3">
      <c r="A2539">
        <f t="shared" si="40"/>
        <v>78</v>
      </c>
      <c r="B2539" s="10">
        <v>2016</v>
      </c>
      <c r="C2539" s="3" t="s">
        <v>2193</v>
      </c>
      <c r="D2539" s="3" t="s">
        <v>9</v>
      </c>
      <c r="E2539" s="4" t="s">
        <v>7</v>
      </c>
      <c r="F2539" s="11" t="s">
        <v>8</v>
      </c>
      <c r="H2539" t="str">
        <f>TRIM(SUBSTITUTE(PROPER(C2539)&amp;" "&amp;IF(OR(D2539="County",D2539="Township",D2539="Village",D2539="Charter Township"),D2539,"")&amp;IF(D2539="Township"," "&amp;"("&amp;VLOOKUP(A2539,counties,3,0)&amp;")",""),"  "," "))</f>
        <v>Owosso Charter Township (Shiawassee County)</v>
      </c>
    </row>
    <row r="2540" spans="1:8" ht="15.75" thickBot="1" x14ac:dyDescent="0.3">
      <c r="A2540">
        <f t="shared" si="40"/>
        <v>78</v>
      </c>
      <c r="B2540" s="8">
        <v>2016</v>
      </c>
      <c r="C2540" s="1" t="s">
        <v>2194</v>
      </c>
      <c r="D2540" s="1" t="s">
        <v>17</v>
      </c>
      <c r="E2540" s="2" t="s">
        <v>7</v>
      </c>
      <c r="F2540" s="9" t="s">
        <v>8</v>
      </c>
      <c r="H2540" t="str">
        <f>TRIM(SUBSTITUTE(PROPER(C2540)&amp;" "&amp;IF(OR(D2540="County",D2540="Township",D2540="Village",D2540="Charter Township"),D2540,"")&amp;IF(D2540="Township"," "&amp;"("&amp;VLOOKUP(A2540,counties,3,0)&amp;")",""),"  "," "))</f>
        <v>Owosso City Downtown Development Authority</v>
      </c>
    </row>
    <row r="2541" spans="1:8" ht="15.75" thickBot="1" x14ac:dyDescent="0.3">
      <c r="A2541">
        <f t="shared" si="40"/>
        <v>78</v>
      </c>
      <c r="B2541" s="10">
        <v>2016</v>
      </c>
      <c r="C2541" s="3" t="s">
        <v>2195</v>
      </c>
      <c r="D2541" s="3" t="s">
        <v>17</v>
      </c>
      <c r="E2541" s="4" t="s">
        <v>7</v>
      </c>
      <c r="F2541" s="11" t="s">
        <v>8</v>
      </c>
      <c r="H2541" t="str">
        <f>TRIM(SUBSTITUTE(PROPER(C2541)&amp;" "&amp;IF(OR(D2541="County",D2541="Township",D2541="Village",D2541="Charter Township"),D2541,"")&amp;IF(D2541="Township"," "&amp;"("&amp;VLOOKUP(A2541,counties,3,0)&amp;")",""),"  "," "))</f>
        <v>Owosso Twp-Caledonia Twp Utility Authority</v>
      </c>
    </row>
    <row r="2542" spans="1:8" ht="15.75" thickBot="1" x14ac:dyDescent="0.3">
      <c r="A2542">
        <f t="shared" si="40"/>
        <v>78</v>
      </c>
      <c r="B2542" s="8">
        <v>2016</v>
      </c>
      <c r="C2542" s="1" t="s">
        <v>2196</v>
      </c>
      <c r="D2542" s="1" t="s">
        <v>15</v>
      </c>
      <c r="E2542" s="2" t="s">
        <v>7</v>
      </c>
      <c r="F2542" s="9" t="s">
        <v>8</v>
      </c>
      <c r="H2542" t="str">
        <f>TRIM(SUBSTITUTE(PROPER(C2542)&amp;" "&amp;IF(OR(D2542="County",D2542="Township",D2542="Village",D2542="Charter Township"),D2542,"")&amp;IF(D2542="Township"," "&amp;"("&amp;VLOOKUP(A2542,counties,3,0)&amp;")",""),"  "," "))</f>
        <v>Perry</v>
      </c>
    </row>
    <row r="2543" spans="1:8" ht="15.75" thickBot="1" x14ac:dyDescent="0.3">
      <c r="A2543">
        <f t="shared" si="40"/>
        <v>78</v>
      </c>
      <c r="B2543" s="10">
        <v>2016</v>
      </c>
      <c r="C2543" s="3" t="s">
        <v>2196</v>
      </c>
      <c r="D2543" s="3" t="s">
        <v>9</v>
      </c>
      <c r="E2543" s="4" t="s">
        <v>7</v>
      </c>
      <c r="F2543" s="11" t="s">
        <v>8</v>
      </c>
      <c r="H2543" t="str">
        <f>TRIM(SUBSTITUTE(PROPER(C2543)&amp;" "&amp;IF(OR(D2543="County",D2543="Township",D2543="Village",D2543="Charter Township"),D2543,"")&amp;IF(D2543="Township"," "&amp;"("&amp;VLOOKUP(A2543,counties,3,0)&amp;")",""),"  "," "))</f>
        <v>Perry Township (Shiawassee County)</v>
      </c>
    </row>
    <row r="2544" spans="1:8" ht="15.75" thickBot="1" x14ac:dyDescent="0.3">
      <c r="A2544">
        <f t="shared" si="40"/>
        <v>78</v>
      </c>
      <c r="B2544" s="8">
        <v>2016</v>
      </c>
      <c r="C2544" s="1" t="s">
        <v>2197</v>
      </c>
      <c r="D2544" s="1" t="s">
        <v>17</v>
      </c>
      <c r="E2544" s="2" t="s">
        <v>7</v>
      </c>
      <c r="F2544" s="9" t="s">
        <v>8</v>
      </c>
      <c r="H2544" t="str">
        <f>TRIM(SUBSTITUTE(PROPER(C2544)&amp;" "&amp;IF(OR(D2544="County",D2544="Township",D2544="Village",D2544="Charter Township"),D2544,"")&amp;IF(D2544="Township"," "&amp;"("&amp;VLOOKUP(A2544,counties,3,0)&amp;")",""),"  "," "))</f>
        <v>Perry Building Authority</v>
      </c>
    </row>
    <row r="2545" spans="1:8" ht="15.75" thickBot="1" x14ac:dyDescent="0.3">
      <c r="A2545">
        <f t="shared" si="40"/>
        <v>78</v>
      </c>
      <c r="B2545" s="10">
        <v>2016</v>
      </c>
      <c r="C2545" s="3" t="s">
        <v>2198</v>
      </c>
      <c r="D2545" s="3" t="s">
        <v>9</v>
      </c>
      <c r="E2545" s="4" t="s">
        <v>7</v>
      </c>
      <c r="F2545" s="11" t="s">
        <v>8</v>
      </c>
      <c r="H2545" t="str">
        <f>TRIM(SUBSTITUTE(PROPER(C2545)&amp;" "&amp;IF(OR(D2545="County",D2545="Township",D2545="Village",D2545="Charter Township"),D2545,"")&amp;IF(D2545="Township"," "&amp;"("&amp;VLOOKUP(A2545,counties,3,0)&amp;")",""),"  "," "))</f>
        <v>Rush Township (Shiawassee County)</v>
      </c>
    </row>
    <row r="2546" spans="1:8" ht="15.75" thickBot="1" x14ac:dyDescent="0.3">
      <c r="A2546">
        <f t="shared" si="40"/>
        <v>78</v>
      </c>
      <c r="B2546" s="8">
        <v>2016</v>
      </c>
      <c r="C2546" s="1" t="s">
        <v>2199</v>
      </c>
      <c r="D2546" s="1" t="s">
        <v>9</v>
      </c>
      <c r="E2546" s="2" t="s">
        <v>7</v>
      </c>
      <c r="F2546" s="9" t="s">
        <v>8</v>
      </c>
      <c r="H2546" t="str">
        <f>TRIM(SUBSTITUTE(PROPER(C2546)&amp;" "&amp;IF(OR(D2546="County",D2546="Township",D2546="Village",D2546="Charter Township"),D2546,"")&amp;IF(D2546="Township"," "&amp;"("&amp;VLOOKUP(A2546,counties,3,0)&amp;")",""),"  "," "))</f>
        <v>Sciota Township (Shiawassee County)</v>
      </c>
    </row>
    <row r="2547" spans="1:8" ht="15.75" thickBot="1" x14ac:dyDescent="0.3">
      <c r="A2547">
        <f t="shared" si="40"/>
        <v>78</v>
      </c>
      <c r="B2547" s="10">
        <v>2016</v>
      </c>
      <c r="C2547" s="3" t="s">
        <v>2200</v>
      </c>
      <c r="D2547" s="3" t="s">
        <v>6</v>
      </c>
      <c r="E2547" s="4" t="s">
        <v>7</v>
      </c>
      <c r="F2547" s="11" t="s">
        <v>8</v>
      </c>
      <c r="H2547" t="str">
        <f>TRIM(SUBSTITUTE(PROPER(C2547)&amp;" "&amp;IF(OR(D2547="County",D2547="Township",D2547="Village",D2547="Charter Township"),D2547,"")&amp;IF(D2547="Township"," "&amp;"("&amp;VLOOKUP(A2547,counties,3,0)&amp;")",""),"  "," "))</f>
        <v>Shiawassee County</v>
      </c>
    </row>
    <row r="2548" spans="1:8" ht="15.75" thickBot="1" x14ac:dyDescent="0.3">
      <c r="A2548">
        <f t="shared" si="40"/>
        <v>78</v>
      </c>
      <c r="B2548" s="8">
        <v>2016</v>
      </c>
      <c r="C2548" s="1" t="s">
        <v>2200</v>
      </c>
      <c r="D2548" s="1" t="s">
        <v>9</v>
      </c>
      <c r="E2548" s="2" t="s">
        <v>7</v>
      </c>
      <c r="F2548" s="9" t="s">
        <v>8</v>
      </c>
      <c r="H2548" t="str">
        <f>TRIM(SUBSTITUTE(PROPER(C2548)&amp;" "&amp;IF(OR(D2548="County",D2548="Township",D2548="Village",D2548="Charter Township"),D2548,"")&amp;IF(D2548="Township"," "&amp;"("&amp;VLOOKUP(A2548,counties,3,0)&amp;")",""),"  "," "))</f>
        <v>Shiawassee Township (Shiawassee County)</v>
      </c>
    </row>
    <row r="2549" spans="1:8" ht="15.75" thickBot="1" x14ac:dyDescent="0.3">
      <c r="A2549">
        <f t="shared" si="40"/>
        <v>78</v>
      </c>
      <c r="B2549" s="10">
        <v>2016</v>
      </c>
      <c r="C2549" s="3" t="s">
        <v>2201</v>
      </c>
      <c r="D2549" s="3" t="s">
        <v>17</v>
      </c>
      <c r="E2549" s="4" t="s">
        <v>7</v>
      </c>
      <c r="F2549" s="11" t="s">
        <v>8</v>
      </c>
      <c r="H2549" t="str">
        <f>TRIM(SUBSTITUTE(PROPER(C2549)&amp;" "&amp;IF(OR(D2549="County",D2549="Township",D2549="Village",D2549="Charter Township"),D2549,"")&amp;IF(D2549="Township"," "&amp;"("&amp;VLOOKUP(A2549,counties,3,0)&amp;")",""),"  "," "))</f>
        <v>Shiawassee Area Transportation Agency</v>
      </c>
    </row>
    <row r="2550" spans="1:8" ht="15.75" thickBot="1" x14ac:dyDescent="0.3">
      <c r="A2550">
        <f t="shared" si="40"/>
        <v>78</v>
      </c>
      <c r="B2550" s="8">
        <v>2016</v>
      </c>
      <c r="C2550" s="1" t="s">
        <v>2202</v>
      </c>
      <c r="D2550" s="1" t="s">
        <v>17</v>
      </c>
      <c r="E2550" s="2" t="s">
        <v>7</v>
      </c>
      <c r="F2550" s="9" t="s">
        <v>8</v>
      </c>
      <c r="H2550" t="str">
        <f>TRIM(SUBSTITUTE(PROPER(C2550)&amp;" "&amp;IF(OR(D2550="County",D2550="Township",D2550="Village",D2550="Charter Township"),D2550,"")&amp;IF(D2550="Township"," "&amp;"("&amp;VLOOKUP(A2550,counties,3,0)&amp;")",""),"  "," "))</f>
        <v>Shiawassee Co Community Mental Health Authority</v>
      </c>
    </row>
    <row r="2551" spans="1:8" ht="15.75" thickBot="1" x14ac:dyDescent="0.3">
      <c r="A2551">
        <f t="shared" si="40"/>
        <v>78</v>
      </c>
      <c r="B2551" s="10">
        <v>2016</v>
      </c>
      <c r="C2551" s="3" t="s">
        <v>2203</v>
      </c>
      <c r="D2551" s="3" t="s">
        <v>11</v>
      </c>
      <c r="E2551" s="4" t="s">
        <v>7</v>
      </c>
      <c r="F2551" s="11" t="s">
        <v>8</v>
      </c>
      <c r="H2551" t="str">
        <f>TRIM(SUBSTITUTE(PROPER(C2551)&amp;" "&amp;IF(OR(D2551="County",D2551="Township",D2551="Village",D2551="Charter Township"),D2551,"")&amp;IF(D2551="Township"," "&amp;"("&amp;VLOOKUP(A2551,counties,3,0)&amp;")",""),"  "," "))</f>
        <v>Shiawassee Co Road Commission</v>
      </c>
    </row>
    <row r="2552" spans="1:8" ht="15.75" thickBot="1" x14ac:dyDescent="0.3">
      <c r="A2552">
        <f t="shared" si="40"/>
        <v>78</v>
      </c>
      <c r="B2552" s="8">
        <v>2016</v>
      </c>
      <c r="C2552" s="1" t="s">
        <v>2204</v>
      </c>
      <c r="D2552" s="1" t="s">
        <v>42</v>
      </c>
      <c r="E2552" s="2" t="s">
        <v>7</v>
      </c>
      <c r="F2552" s="9" t="s">
        <v>8</v>
      </c>
      <c r="H2552" t="str">
        <f>TRIM(SUBSTITUTE(PROPER(C2552)&amp;" "&amp;IF(OR(D2552="County",D2552="Township",D2552="Village",D2552="Charter Township"),D2552,"")&amp;IF(D2552="Township"," "&amp;"("&amp;VLOOKUP(A2552,counties,3,0)&amp;")",""),"  "," "))</f>
        <v>Shiawassee District Library</v>
      </c>
    </row>
    <row r="2553" spans="1:8" ht="15.75" thickBot="1" x14ac:dyDescent="0.3">
      <c r="A2553">
        <f t="shared" si="40"/>
        <v>78</v>
      </c>
      <c r="B2553" s="10">
        <v>2016</v>
      </c>
      <c r="C2553" s="3" t="s">
        <v>1073</v>
      </c>
      <c r="D2553" s="3" t="s">
        <v>9</v>
      </c>
      <c r="E2553" s="4" t="s">
        <v>7</v>
      </c>
      <c r="F2553" s="11" t="s">
        <v>8</v>
      </c>
      <c r="H2553" t="str">
        <f>TRIM(SUBSTITUTE(PROPER(C2553)&amp;" "&amp;IF(OR(D2553="County",D2553="Township",D2553="Village",D2553="Charter Township"),D2553,"")&amp;IF(D2553="Township"," "&amp;"("&amp;VLOOKUP(A2553,counties,3,0)&amp;")",""),"  "," "))</f>
        <v>Vernon Township (Shiawassee County)</v>
      </c>
    </row>
    <row r="2554" spans="1:8" ht="15.75" thickBot="1" x14ac:dyDescent="0.3">
      <c r="A2554">
        <f t="shared" si="40"/>
        <v>78</v>
      </c>
      <c r="B2554" s="8">
        <v>2016</v>
      </c>
      <c r="C2554" s="1" t="s">
        <v>1073</v>
      </c>
      <c r="D2554" s="1" t="s">
        <v>21</v>
      </c>
      <c r="E2554" s="2" t="s">
        <v>7</v>
      </c>
      <c r="F2554" s="9" t="s">
        <v>8</v>
      </c>
      <c r="H2554" t="str">
        <f>TRIM(SUBSTITUTE(PROPER(C2554)&amp;" "&amp;IF(OR(D2554="County",D2554="Township",D2554="Village",D2554="Charter Township"),D2554,"")&amp;IF(D2554="Township"," "&amp;"("&amp;VLOOKUP(A2554,counties,3,0)&amp;")",""),"  "," "))</f>
        <v>Vernon Village</v>
      </c>
    </row>
    <row r="2555" spans="1:8" ht="15.75" thickBot="1" x14ac:dyDescent="0.3">
      <c r="A2555">
        <f t="shared" si="40"/>
        <v>78</v>
      </c>
      <c r="B2555" s="10">
        <v>2016</v>
      </c>
      <c r="C2555" s="3" t="s">
        <v>2205</v>
      </c>
      <c r="D2555" s="3" t="s">
        <v>42</v>
      </c>
      <c r="E2555" s="4" t="s">
        <v>7</v>
      </c>
      <c r="F2555" s="11" t="s">
        <v>8</v>
      </c>
      <c r="H2555" t="str">
        <f>TRIM(SUBSTITUTE(PROPER(C2555)&amp;" "&amp;IF(OR(D2555="County",D2555="Township",D2555="Village",D2555="Charter Township"),D2555,"")&amp;IF(D2555="Township"," "&amp;"("&amp;VLOOKUP(A2555,counties,3,0)&amp;")",""),"  "," "))</f>
        <v>Vernon District Public Library</v>
      </c>
    </row>
    <row r="2556" spans="1:8" ht="15.75" thickBot="1" x14ac:dyDescent="0.3">
      <c r="A2556">
        <f t="shared" si="40"/>
        <v>78</v>
      </c>
      <c r="B2556" s="16">
        <v>2016</v>
      </c>
      <c r="C2556" s="17" t="s">
        <v>2206</v>
      </c>
      <c r="D2556" s="17" t="s">
        <v>9</v>
      </c>
      <c r="E2556" s="18" t="s">
        <v>7</v>
      </c>
      <c r="F2556" s="19" t="s">
        <v>19</v>
      </c>
      <c r="H2556" t="str">
        <f>TRIM(SUBSTITUTE(PROPER(C2556)&amp;" "&amp;IF(OR(D2556="County",D2556="Township",D2556="Village",D2556="Charter Township"),D2556,"")&amp;IF(D2556="Township"," "&amp;"("&amp;VLOOKUP(A2556,counties,3,0)&amp;")",""),"  "," "))</f>
        <v>Woodhull Township (Shiawassee County)</v>
      </c>
    </row>
    <row r="2557" spans="1:8" ht="16.5" thickTop="1" thickBot="1" x14ac:dyDescent="0.3">
      <c r="A2557">
        <f t="shared" si="40"/>
        <v>79</v>
      </c>
      <c r="B2557" s="5" t="s">
        <v>0</v>
      </c>
      <c r="C2557" s="6" t="s">
        <v>1</v>
      </c>
      <c r="D2557" s="6" t="s">
        <v>2</v>
      </c>
      <c r="E2557" s="6" t="s">
        <v>3</v>
      </c>
      <c r="F2557" s="7" t="s">
        <v>4</v>
      </c>
      <c r="H2557" t="str">
        <f>TRIM(SUBSTITUTE(PROPER(C2557)&amp;" "&amp;IF(OR(D2557="County",D2557="Township",D2557="Village",D2557="Charter Township"),D2557,"")&amp;IF(D2557="Township"," "&amp;"("&amp;VLOOKUP(A2557,counties,3,0)&amp;")",""),"  "," "))</f>
        <v>Municipality</v>
      </c>
    </row>
    <row r="2558" spans="1:8" ht="15.75" thickBot="1" x14ac:dyDescent="0.3">
      <c r="A2558">
        <f t="shared" si="40"/>
        <v>79</v>
      </c>
      <c r="B2558" s="8">
        <v>2016</v>
      </c>
      <c r="C2558" s="1" t="s">
        <v>2207</v>
      </c>
      <c r="D2558" s="1" t="s">
        <v>17</v>
      </c>
      <c r="E2558" s="2" t="s">
        <v>7</v>
      </c>
      <c r="F2558" s="9" t="s">
        <v>19</v>
      </c>
      <c r="H2558" t="str">
        <f>TRIM(SUBSTITUTE(PROPER(C2558)&amp;" "&amp;IF(OR(D2558="County",D2558="Township",D2558="Village",D2558="Charter Township"),D2558,"")&amp;IF(D2558="Township"," "&amp;"("&amp;VLOOKUP(A2558,counties,3,0)&amp;")",""),"  "," "))</f>
        <v>Akron Fairgrove Wastewater System</v>
      </c>
    </row>
    <row r="2559" spans="1:8" ht="21.75" thickBot="1" x14ac:dyDescent="0.3">
      <c r="A2559">
        <f t="shared" si="40"/>
        <v>79</v>
      </c>
      <c r="B2559" s="10">
        <v>2016</v>
      </c>
      <c r="C2559" s="3" t="s">
        <v>2208</v>
      </c>
      <c r="D2559" s="3" t="s">
        <v>17</v>
      </c>
      <c r="E2559" s="4" t="s">
        <v>7</v>
      </c>
      <c r="F2559" s="11" t="s">
        <v>8</v>
      </c>
      <c r="H2559" t="str">
        <f>TRIM(SUBSTITUTE(PROPER(C2559)&amp;" "&amp;IF(OR(D2559="County",D2559="Township",D2559="Village",D2559="Charter Township"),D2559,"")&amp;IF(D2559="Township"," "&amp;"("&amp;VLOOKUP(A2559,counties,3,0)&amp;")",""),"  "," "))</f>
        <v>Akron,Columbia, Wisner Township And Village Of Unionville Fire Dept</v>
      </c>
    </row>
    <row r="2560" spans="1:8" ht="15.75" thickBot="1" x14ac:dyDescent="0.3">
      <c r="A2560">
        <f t="shared" si="40"/>
        <v>79</v>
      </c>
      <c r="B2560" s="8">
        <v>2016</v>
      </c>
      <c r="C2560" s="1" t="s">
        <v>2209</v>
      </c>
      <c r="D2560" s="1" t="s">
        <v>9</v>
      </c>
      <c r="E2560" s="2" t="s">
        <v>7</v>
      </c>
      <c r="F2560" s="9" t="s">
        <v>8</v>
      </c>
      <c r="H2560" t="str">
        <f>TRIM(SUBSTITUTE(PROPER(C2560)&amp;" "&amp;IF(OR(D2560="County",D2560="Township",D2560="Village",D2560="Charter Township"),D2560,"")&amp;IF(D2560="Township"," "&amp;"("&amp;VLOOKUP(A2560,counties,3,0)&amp;")",""),"  "," "))</f>
        <v>Almer Township (Tuscola County)</v>
      </c>
    </row>
    <row r="2561" spans="1:8" ht="15.75" thickBot="1" x14ac:dyDescent="0.3">
      <c r="A2561">
        <f t="shared" si="40"/>
        <v>79</v>
      </c>
      <c r="B2561" s="10">
        <v>2016</v>
      </c>
      <c r="C2561" s="3" t="s">
        <v>2210</v>
      </c>
      <c r="D2561" s="3" t="s">
        <v>9</v>
      </c>
      <c r="E2561" s="4" t="s">
        <v>7</v>
      </c>
      <c r="F2561" s="11" t="s">
        <v>19</v>
      </c>
      <c r="H2561" t="str">
        <f>TRIM(SUBSTITUTE(PROPER(C2561)&amp;" "&amp;IF(OR(D2561="County",D2561="Township",D2561="Village",D2561="Charter Township"),D2561,"")&amp;IF(D2561="Township"," "&amp;"("&amp;VLOOKUP(A2561,counties,3,0)&amp;")",""),"  "," "))</f>
        <v>Arbela Township (Tuscola County)</v>
      </c>
    </row>
    <row r="2562" spans="1:8" ht="15.75" thickBot="1" x14ac:dyDescent="0.3">
      <c r="A2562">
        <f t="shared" si="40"/>
        <v>79</v>
      </c>
      <c r="B2562" s="8">
        <v>2016</v>
      </c>
      <c r="C2562" s="1" t="s">
        <v>2211</v>
      </c>
      <c r="D2562" s="1" t="s">
        <v>42</v>
      </c>
      <c r="E2562" s="2" t="s">
        <v>7</v>
      </c>
      <c r="F2562" s="9" t="s">
        <v>8</v>
      </c>
      <c r="H2562" t="str">
        <f>TRIM(SUBSTITUTE(PROPER(C2562)&amp;" "&amp;IF(OR(D2562="County",D2562="Township",D2562="Village",D2562="Charter Township"),D2562,"")&amp;IF(D2562="Township"," "&amp;"("&amp;VLOOKUP(A2562,counties,3,0)&amp;")",""),"  "," "))</f>
        <v>Bullard Sanford Memorial Library</v>
      </c>
    </row>
    <row r="2563" spans="1:8" ht="15.75" thickBot="1" x14ac:dyDescent="0.3">
      <c r="A2563">
        <f t="shared" ref="A2563:A2626" si="41">IF(B2563="Year",A2562+1,A2562)</f>
        <v>79</v>
      </c>
      <c r="B2563" s="10">
        <v>2016</v>
      </c>
      <c r="C2563" s="3" t="s">
        <v>2212</v>
      </c>
      <c r="D2563" s="3" t="s">
        <v>15</v>
      </c>
      <c r="E2563" s="4" t="s">
        <v>7</v>
      </c>
      <c r="F2563" s="11" t="s">
        <v>8</v>
      </c>
      <c r="H2563" t="str">
        <f>TRIM(SUBSTITUTE(PROPER(C2563)&amp;" "&amp;IF(OR(D2563="County",D2563="Township",D2563="Village",D2563="Charter Township"),D2563,"")&amp;IF(D2563="Township"," "&amp;"("&amp;VLOOKUP(A2563,counties,3,0)&amp;")",""),"  "," "))</f>
        <v>Caro</v>
      </c>
    </row>
    <row r="2564" spans="1:8" ht="15.75" thickBot="1" x14ac:dyDescent="0.3">
      <c r="A2564">
        <f t="shared" si="41"/>
        <v>79</v>
      </c>
      <c r="B2564" s="8">
        <v>2016</v>
      </c>
      <c r="C2564" s="1" t="s">
        <v>2213</v>
      </c>
      <c r="D2564" s="1" t="s">
        <v>42</v>
      </c>
      <c r="E2564" s="2" t="s">
        <v>7</v>
      </c>
      <c r="F2564" s="9" t="s">
        <v>8</v>
      </c>
      <c r="H2564" t="str">
        <f>TRIM(SUBSTITUTE(PROPER(C2564)&amp;" "&amp;IF(OR(D2564="County",D2564="Township",D2564="Village",D2564="Charter Township"),D2564,"")&amp;IF(D2564="Township"," "&amp;"("&amp;VLOOKUP(A2564,counties,3,0)&amp;")",""),"  "," "))</f>
        <v>Caro Area District Library</v>
      </c>
    </row>
    <row r="2565" spans="1:8" ht="15.75" thickBot="1" x14ac:dyDescent="0.3">
      <c r="A2565">
        <f t="shared" si="41"/>
        <v>79</v>
      </c>
      <c r="B2565" s="10">
        <v>2016</v>
      </c>
      <c r="C2565" s="3" t="s">
        <v>2214</v>
      </c>
      <c r="D2565" s="3" t="s">
        <v>17</v>
      </c>
      <c r="E2565" s="4" t="s">
        <v>7</v>
      </c>
      <c r="F2565" s="11" t="s">
        <v>8</v>
      </c>
      <c r="H2565" t="str">
        <f>TRIM(SUBSTITUTE(PROPER(C2565)&amp;" "&amp;IF(OR(D2565="County",D2565="Township",D2565="Village",D2565="Charter Township"),D2565,"")&amp;IF(D2565="Township"," "&amp;"("&amp;VLOOKUP(A2565,counties,3,0)&amp;")",""),"  "," "))</f>
        <v>Caro Transit Authority</v>
      </c>
    </row>
    <row r="2566" spans="1:8" ht="15.75" thickBot="1" x14ac:dyDescent="0.3">
      <c r="A2566">
        <f t="shared" si="41"/>
        <v>79</v>
      </c>
      <c r="B2566" s="8">
        <v>2016</v>
      </c>
      <c r="C2566" s="1" t="s">
        <v>2215</v>
      </c>
      <c r="D2566" s="1" t="s">
        <v>21</v>
      </c>
      <c r="E2566" s="2" t="s">
        <v>7</v>
      </c>
      <c r="F2566" s="9" t="s">
        <v>8</v>
      </c>
      <c r="H2566" t="str">
        <f>TRIM(SUBSTITUTE(PROPER(C2566)&amp;" "&amp;IF(OR(D2566="County",D2566="Township",D2566="Village",D2566="Charter Township"),D2566,"")&amp;IF(D2566="Township"," "&amp;"("&amp;VLOOKUP(A2566,counties,3,0)&amp;")",""),"  "," "))</f>
        <v>Cass City Village</v>
      </c>
    </row>
    <row r="2567" spans="1:8" ht="15.75" thickBot="1" x14ac:dyDescent="0.3">
      <c r="A2567">
        <f t="shared" si="41"/>
        <v>79</v>
      </c>
      <c r="B2567" s="10">
        <v>2016</v>
      </c>
      <c r="C2567" s="3" t="s">
        <v>1077</v>
      </c>
      <c r="D2567" s="3" t="s">
        <v>9</v>
      </c>
      <c r="E2567" s="4" t="s">
        <v>7</v>
      </c>
      <c r="F2567" s="11" t="s">
        <v>8</v>
      </c>
      <c r="H2567" t="str">
        <f>TRIM(SUBSTITUTE(PROPER(C2567)&amp;" "&amp;IF(OR(D2567="County",D2567="Township",D2567="Village",D2567="Charter Township"),D2567,"")&amp;IF(D2567="Township"," "&amp;"("&amp;VLOOKUP(A2567,counties,3,0)&amp;")",""),"  "," "))</f>
        <v>Columbia Township (Tuscola County)</v>
      </c>
    </row>
    <row r="2568" spans="1:8" ht="15.75" thickBot="1" x14ac:dyDescent="0.3">
      <c r="A2568">
        <f t="shared" si="41"/>
        <v>79</v>
      </c>
      <c r="B2568" s="8">
        <v>2016</v>
      </c>
      <c r="C2568" s="1" t="s">
        <v>1727</v>
      </c>
      <c r="D2568" s="1" t="s">
        <v>9</v>
      </c>
      <c r="E2568" s="2" t="s">
        <v>7</v>
      </c>
      <c r="F2568" s="9" t="s">
        <v>8</v>
      </c>
      <c r="H2568" t="str">
        <f>TRIM(SUBSTITUTE(PROPER(C2568)&amp;" "&amp;IF(OR(D2568="County",D2568="Township",D2568="Village",D2568="Charter Township"),D2568,"")&amp;IF(D2568="Township"," "&amp;"("&amp;VLOOKUP(A2568,counties,3,0)&amp;")",""),"  "," "))</f>
        <v>Dayton Township (Tuscola County)</v>
      </c>
    </row>
    <row r="2569" spans="1:8" ht="15.75" thickBot="1" x14ac:dyDescent="0.3">
      <c r="A2569">
        <f t="shared" si="41"/>
        <v>79</v>
      </c>
      <c r="B2569" s="10">
        <v>2016</v>
      </c>
      <c r="C2569" s="3" t="s">
        <v>2216</v>
      </c>
      <c r="D2569" s="3" t="s">
        <v>9</v>
      </c>
      <c r="E2569" s="4" t="s">
        <v>7</v>
      </c>
      <c r="F2569" s="11" t="s">
        <v>8</v>
      </c>
      <c r="H2569" t="str">
        <f>TRIM(SUBSTITUTE(PROPER(C2569)&amp;" "&amp;IF(OR(D2569="County",D2569="Township",D2569="Village",D2569="Charter Township"),D2569,"")&amp;IF(D2569="Township"," "&amp;"("&amp;VLOOKUP(A2569,counties,3,0)&amp;")",""),"  "," "))</f>
        <v>Denmark Township (Tuscola County)</v>
      </c>
    </row>
    <row r="2570" spans="1:8" ht="15.75" thickBot="1" x14ac:dyDescent="0.3">
      <c r="A2570">
        <f t="shared" si="41"/>
        <v>79</v>
      </c>
      <c r="B2570" s="8">
        <v>2016</v>
      </c>
      <c r="C2570" s="1" t="s">
        <v>2217</v>
      </c>
      <c r="D2570" s="1" t="s">
        <v>9</v>
      </c>
      <c r="E2570" s="2" t="s">
        <v>7</v>
      </c>
      <c r="F2570" s="9" t="s">
        <v>8</v>
      </c>
      <c r="H2570" t="str">
        <f>TRIM(SUBSTITUTE(PROPER(C2570)&amp;" "&amp;IF(OR(D2570="County",D2570="Township",D2570="Village",D2570="Charter Township"),D2570,"")&amp;IF(D2570="Township"," "&amp;"("&amp;VLOOKUP(A2570,counties,3,0)&amp;")",""),"  "," "))</f>
        <v>Elkland Township (Tuscola County)</v>
      </c>
    </row>
    <row r="2571" spans="1:8" ht="15.75" thickBot="1" x14ac:dyDescent="0.3">
      <c r="A2571">
        <f t="shared" si="41"/>
        <v>79</v>
      </c>
      <c r="B2571" s="10">
        <v>2016</v>
      </c>
      <c r="C2571" s="3" t="s">
        <v>2218</v>
      </c>
      <c r="D2571" s="3" t="s">
        <v>9</v>
      </c>
      <c r="E2571" s="4" t="s">
        <v>7</v>
      </c>
      <c r="F2571" s="11" t="s">
        <v>8</v>
      </c>
      <c r="H2571" t="str">
        <f>TRIM(SUBSTITUTE(PROPER(C2571)&amp;" "&amp;IF(OR(D2571="County",D2571="Township",D2571="Village",D2571="Charter Township"),D2571,"")&amp;IF(D2571="Township"," "&amp;"("&amp;VLOOKUP(A2571,counties,3,0)&amp;")",""),"  "," "))</f>
        <v>Ellington Township (Tuscola County)</v>
      </c>
    </row>
    <row r="2572" spans="1:8" ht="15.75" thickBot="1" x14ac:dyDescent="0.3">
      <c r="A2572">
        <f t="shared" si="41"/>
        <v>79</v>
      </c>
      <c r="B2572" s="8">
        <v>2016</v>
      </c>
      <c r="C2572" s="1" t="s">
        <v>2219</v>
      </c>
      <c r="D2572" s="1" t="s">
        <v>9</v>
      </c>
      <c r="E2572" s="2" t="s">
        <v>7</v>
      </c>
      <c r="F2572" s="9" t="s">
        <v>8</v>
      </c>
      <c r="H2572" t="str">
        <f>TRIM(SUBSTITUTE(PROPER(C2572)&amp;" "&amp;IF(OR(D2572="County",D2572="Township",D2572="Village",D2572="Charter Township"),D2572,"")&amp;IF(D2572="Township"," "&amp;"("&amp;VLOOKUP(A2572,counties,3,0)&amp;")",""),"  "," "))</f>
        <v>Elmwood Township (Tuscola County)</v>
      </c>
    </row>
    <row r="2573" spans="1:8" ht="15.75" thickBot="1" x14ac:dyDescent="0.3">
      <c r="A2573">
        <f t="shared" si="41"/>
        <v>79</v>
      </c>
      <c r="B2573" s="10">
        <v>2016</v>
      </c>
      <c r="C2573" s="3" t="s">
        <v>2220</v>
      </c>
      <c r="D2573" s="3" t="s">
        <v>9</v>
      </c>
      <c r="E2573" s="4" t="s">
        <v>7</v>
      </c>
      <c r="F2573" s="11" t="s">
        <v>19</v>
      </c>
      <c r="H2573" t="str">
        <f>TRIM(SUBSTITUTE(PROPER(C2573)&amp;" "&amp;IF(OR(D2573="County",D2573="Township",D2573="Village",D2573="Charter Township"),D2573,"")&amp;IF(D2573="Township"," "&amp;"("&amp;VLOOKUP(A2573,counties,3,0)&amp;")",""),"  "," "))</f>
        <v>Fairgrove Township (Tuscola County)</v>
      </c>
    </row>
    <row r="2574" spans="1:8" ht="15.75" thickBot="1" x14ac:dyDescent="0.3">
      <c r="A2574">
        <f t="shared" si="41"/>
        <v>79</v>
      </c>
      <c r="B2574" s="8">
        <v>2016</v>
      </c>
      <c r="C2574" s="1" t="s">
        <v>2221</v>
      </c>
      <c r="D2574" s="1" t="s">
        <v>42</v>
      </c>
      <c r="E2574" s="2" t="s">
        <v>7</v>
      </c>
      <c r="F2574" s="9" t="s">
        <v>8</v>
      </c>
      <c r="H2574" t="str">
        <f>TRIM(SUBSTITUTE(PROPER(C2574)&amp;" "&amp;IF(OR(D2574="County",D2574="Township",D2574="Village",D2574="Charter Township"),D2574,"")&amp;IF(D2574="Township"," "&amp;"("&amp;VLOOKUP(A2574,counties,3,0)&amp;")",""),"  "," "))</f>
        <v>Fairgrove District Library</v>
      </c>
    </row>
    <row r="2575" spans="1:8" ht="15.75" thickBot="1" x14ac:dyDescent="0.3">
      <c r="A2575">
        <f t="shared" si="41"/>
        <v>79</v>
      </c>
      <c r="B2575" s="10">
        <v>2016</v>
      </c>
      <c r="C2575" s="3" t="s">
        <v>1729</v>
      </c>
      <c r="D2575" s="3" t="s">
        <v>9</v>
      </c>
      <c r="E2575" s="4" t="s">
        <v>7</v>
      </c>
      <c r="F2575" s="11" t="s">
        <v>8</v>
      </c>
      <c r="H2575" t="str">
        <f>TRIM(SUBSTITUTE(PROPER(C2575)&amp;" "&amp;IF(OR(D2575="County",D2575="Township",D2575="Village",D2575="Charter Township"),D2575,"")&amp;IF(D2575="Township"," "&amp;"("&amp;VLOOKUP(A2575,counties,3,0)&amp;")",""),"  "," "))</f>
        <v>Fremont Township (Tuscola County)</v>
      </c>
    </row>
    <row r="2576" spans="1:8" ht="15.75" thickBot="1" x14ac:dyDescent="0.3">
      <c r="A2576">
        <f t="shared" si="41"/>
        <v>79</v>
      </c>
      <c r="B2576" s="8">
        <v>2016</v>
      </c>
      <c r="C2576" s="1" t="s">
        <v>2222</v>
      </c>
      <c r="D2576" s="1" t="s">
        <v>9</v>
      </c>
      <c r="E2576" s="2" t="s">
        <v>7</v>
      </c>
      <c r="F2576" s="9" t="s">
        <v>8</v>
      </c>
      <c r="H2576" t="str">
        <f>TRIM(SUBSTITUTE(PROPER(C2576)&amp;" "&amp;IF(OR(D2576="County",D2576="Township",D2576="Village",D2576="Charter Township"),D2576,"")&amp;IF(D2576="Township"," "&amp;"("&amp;VLOOKUP(A2576,counties,3,0)&amp;")",""),"  "," "))</f>
        <v>Gilford Township (Tuscola County)</v>
      </c>
    </row>
    <row r="2577" spans="1:8" ht="15.75" thickBot="1" x14ac:dyDescent="0.3">
      <c r="A2577">
        <f t="shared" si="41"/>
        <v>79</v>
      </c>
      <c r="B2577" s="10">
        <v>2016</v>
      </c>
      <c r="C2577" s="3" t="s">
        <v>2223</v>
      </c>
      <c r="D2577" s="3" t="s">
        <v>9</v>
      </c>
      <c r="E2577" s="4" t="s">
        <v>7</v>
      </c>
      <c r="F2577" s="11" t="s">
        <v>8</v>
      </c>
      <c r="H2577" t="str">
        <f>TRIM(SUBSTITUTE(PROPER(C2577)&amp;" "&amp;IF(OR(D2577="County",D2577="Township",D2577="Village",D2577="Charter Township"),D2577,"")&amp;IF(D2577="Township"," "&amp;"("&amp;VLOOKUP(A2577,counties,3,0)&amp;")",""),"  "," "))</f>
        <v>Indianfields Township (Tuscola County)</v>
      </c>
    </row>
    <row r="2578" spans="1:8" ht="15.75" thickBot="1" x14ac:dyDescent="0.3">
      <c r="A2578">
        <f t="shared" si="41"/>
        <v>79</v>
      </c>
      <c r="B2578" s="8">
        <v>2016</v>
      </c>
      <c r="C2578" s="1" t="s">
        <v>2224</v>
      </c>
      <c r="D2578" s="1" t="s">
        <v>9</v>
      </c>
      <c r="E2578" s="2" t="s">
        <v>7</v>
      </c>
      <c r="F2578" s="9" t="s">
        <v>8</v>
      </c>
      <c r="H2578" t="str">
        <f>TRIM(SUBSTITUTE(PROPER(C2578)&amp;" "&amp;IF(OR(D2578="County",D2578="Township",D2578="Village",D2578="Charter Township"),D2578,"")&amp;IF(D2578="Township"," "&amp;"("&amp;VLOOKUP(A2578,counties,3,0)&amp;")",""),"  "," "))</f>
        <v>Juniata Township (Tuscola County)</v>
      </c>
    </row>
    <row r="2579" spans="1:8" ht="15.75" thickBot="1" x14ac:dyDescent="0.3">
      <c r="A2579">
        <f t="shared" si="41"/>
        <v>79</v>
      </c>
      <c r="B2579" s="10">
        <v>2016</v>
      </c>
      <c r="C2579" s="3" t="s">
        <v>2225</v>
      </c>
      <c r="D2579" s="3" t="s">
        <v>9</v>
      </c>
      <c r="E2579" s="4" t="s">
        <v>7</v>
      </c>
      <c r="F2579" s="11" t="s">
        <v>8</v>
      </c>
      <c r="H2579" t="str">
        <f>TRIM(SUBSTITUTE(PROPER(C2579)&amp;" "&amp;IF(OR(D2579="County",D2579="Township",D2579="Village",D2579="Charter Township"),D2579,"")&amp;IF(D2579="Township"," "&amp;"("&amp;VLOOKUP(A2579,counties,3,0)&amp;")",""),"  "," "))</f>
        <v>Kingston Township (Tuscola County)</v>
      </c>
    </row>
    <row r="2580" spans="1:8" ht="15.75" thickBot="1" x14ac:dyDescent="0.3">
      <c r="A2580">
        <f t="shared" si="41"/>
        <v>79</v>
      </c>
      <c r="B2580" s="8">
        <v>2016</v>
      </c>
      <c r="C2580" s="1" t="s">
        <v>2226</v>
      </c>
      <c r="D2580" s="1" t="s">
        <v>9</v>
      </c>
      <c r="E2580" s="2" t="s">
        <v>7</v>
      </c>
      <c r="F2580" s="9" t="s">
        <v>8</v>
      </c>
      <c r="H2580" t="str">
        <f>TRIM(SUBSTITUTE(PROPER(C2580)&amp;" "&amp;IF(OR(D2580="County",D2580="Township",D2580="Village",D2580="Charter Township"),D2580,"")&amp;IF(D2580="Township"," "&amp;"("&amp;VLOOKUP(A2580,counties,3,0)&amp;")",""),"  "," "))</f>
        <v>Koylton Township (Tuscola County)</v>
      </c>
    </row>
    <row r="2581" spans="1:8" ht="15.75" thickBot="1" x14ac:dyDescent="0.3">
      <c r="A2581">
        <f t="shared" si="41"/>
        <v>79</v>
      </c>
      <c r="B2581" s="10">
        <v>2016</v>
      </c>
      <c r="C2581" s="3" t="s">
        <v>2227</v>
      </c>
      <c r="D2581" s="3" t="s">
        <v>17</v>
      </c>
      <c r="E2581" s="4" t="s">
        <v>7</v>
      </c>
      <c r="F2581" s="11" t="s">
        <v>8</v>
      </c>
      <c r="H2581" t="str">
        <f>TRIM(SUBSTITUTE(PROPER(C2581)&amp;" "&amp;IF(OR(D2581="County",D2581="Township",D2581="Village",D2581="Charter Township"),D2581,"")&amp;IF(D2581="Township"," "&amp;"("&amp;VLOOKUP(A2581,counties,3,0)&amp;")",""),"  "," "))</f>
        <v>Mayville Area Ambulance Service</v>
      </c>
    </row>
    <row r="2582" spans="1:8" ht="15.75" thickBot="1" x14ac:dyDescent="0.3">
      <c r="A2582">
        <f t="shared" si="41"/>
        <v>79</v>
      </c>
      <c r="B2582" s="8">
        <v>2016</v>
      </c>
      <c r="C2582" s="1" t="s">
        <v>2228</v>
      </c>
      <c r="D2582" s="1" t="s">
        <v>42</v>
      </c>
      <c r="E2582" s="2" t="s">
        <v>7</v>
      </c>
      <c r="F2582" s="9" t="s">
        <v>8</v>
      </c>
      <c r="H2582" t="str">
        <f>TRIM(SUBSTITUTE(PROPER(C2582)&amp;" "&amp;IF(OR(D2582="County",D2582="Township",D2582="Village",D2582="Charter Township"),D2582,"")&amp;IF(D2582="Township"," "&amp;"("&amp;VLOOKUP(A2582,counties,3,0)&amp;")",""),"  "," "))</f>
        <v>Mayville District Public Library</v>
      </c>
    </row>
    <row r="2583" spans="1:8" ht="15.75" thickBot="1" x14ac:dyDescent="0.3">
      <c r="A2583">
        <f t="shared" si="41"/>
        <v>79</v>
      </c>
      <c r="B2583" s="10">
        <v>2016</v>
      </c>
      <c r="C2583" s="3" t="s">
        <v>2229</v>
      </c>
      <c r="D2583" s="3" t="s">
        <v>9</v>
      </c>
      <c r="E2583" s="4" t="s">
        <v>7</v>
      </c>
      <c r="F2583" s="11" t="s">
        <v>19</v>
      </c>
      <c r="H2583" t="str">
        <f>TRIM(SUBSTITUTE(PROPER(C2583)&amp;" "&amp;IF(OR(D2583="County",D2583="Township",D2583="Village",D2583="Charter Township"),D2583,"")&amp;IF(D2583="Township"," "&amp;"("&amp;VLOOKUP(A2583,counties,3,0)&amp;")",""),"  "," "))</f>
        <v>Millington Township (Tuscola County)</v>
      </c>
    </row>
    <row r="2584" spans="1:8" ht="15.75" thickBot="1" x14ac:dyDescent="0.3">
      <c r="A2584">
        <f t="shared" si="41"/>
        <v>79</v>
      </c>
      <c r="B2584" s="8">
        <v>2016</v>
      </c>
      <c r="C2584" s="1" t="s">
        <v>2229</v>
      </c>
      <c r="D2584" s="1" t="s">
        <v>21</v>
      </c>
      <c r="E2584" s="2" t="s">
        <v>7</v>
      </c>
      <c r="F2584" s="9" t="s">
        <v>19</v>
      </c>
      <c r="H2584" t="str">
        <f>TRIM(SUBSTITUTE(PROPER(C2584)&amp;" "&amp;IF(OR(D2584="County",D2584="Township",D2584="Village",D2584="Charter Township"),D2584,"")&amp;IF(D2584="Township"," "&amp;"("&amp;VLOOKUP(A2584,counties,3,0)&amp;")",""),"  "," "))</f>
        <v>Millington Village</v>
      </c>
    </row>
    <row r="2585" spans="1:8" ht="15.75" thickBot="1" x14ac:dyDescent="0.3">
      <c r="A2585">
        <f t="shared" si="41"/>
        <v>79</v>
      </c>
      <c r="B2585" s="10">
        <v>2016</v>
      </c>
      <c r="C2585" s="3" t="s">
        <v>2230</v>
      </c>
      <c r="D2585" s="3" t="s">
        <v>42</v>
      </c>
      <c r="E2585" s="4" t="s">
        <v>7</v>
      </c>
      <c r="F2585" s="11" t="s">
        <v>8</v>
      </c>
      <c r="H2585" t="str">
        <f>TRIM(SUBSTITUTE(PROPER(C2585)&amp;" "&amp;IF(OR(D2585="County",D2585="Township",D2585="Village",D2585="Charter Township"),D2585,"")&amp;IF(D2585="Township"," "&amp;"("&amp;VLOOKUP(A2585,counties,3,0)&amp;")",""),"  "," "))</f>
        <v>Millington Arbela District Library</v>
      </c>
    </row>
    <row r="2586" spans="1:8" ht="15.75" thickBot="1" x14ac:dyDescent="0.3">
      <c r="A2586">
        <f t="shared" si="41"/>
        <v>79</v>
      </c>
      <c r="B2586" s="8">
        <v>2016</v>
      </c>
      <c r="C2586" s="1" t="s">
        <v>2231</v>
      </c>
      <c r="D2586" s="1" t="s">
        <v>9</v>
      </c>
      <c r="E2586" s="2" t="s">
        <v>7</v>
      </c>
      <c r="F2586" s="9" t="s">
        <v>8</v>
      </c>
      <c r="H2586" t="str">
        <f>TRIM(SUBSTITUTE(PROPER(C2586)&amp;" "&amp;IF(OR(D2586="County",D2586="Township",D2586="Village",D2586="Charter Township"),D2586,"")&amp;IF(D2586="Township"," "&amp;"("&amp;VLOOKUP(A2586,counties,3,0)&amp;")",""),"  "," "))</f>
        <v>Novesta Township (Tuscola County)</v>
      </c>
    </row>
    <row r="2587" spans="1:8" ht="15.75" thickBot="1" x14ac:dyDescent="0.3">
      <c r="A2587">
        <f t="shared" si="41"/>
        <v>79</v>
      </c>
      <c r="B2587" s="10">
        <v>2016</v>
      </c>
      <c r="C2587" s="3" t="s">
        <v>2232</v>
      </c>
      <c r="D2587" s="3" t="s">
        <v>42</v>
      </c>
      <c r="E2587" s="4" t="s">
        <v>7</v>
      </c>
      <c r="F2587" s="11" t="s">
        <v>8</v>
      </c>
      <c r="H2587" t="str">
        <f>TRIM(SUBSTITUTE(PROPER(C2587)&amp;" "&amp;IF(OR(D2587="County",D2587="Township",D2587="Village",D2587="Charter Township"),D2587,"")&amp;IF(D2587="Township"," "&amp;"("&amp;VLOOKUP(A2587,counties,3,0)&amp;")",""),"  "," "))</f>
        <v>Rawson Memorial Library</v>
      </c>
    </row>
    <row r="2588" spans="1:8" ht="15.75" thickBot="1" x14ac:dyDescent="0.3">
      <c r="A2588">
        <f t="shared" si="41"/>
        <v>79</v>
      </c>
      <c r="B2588" s="8">
        <v>2016</v>
      </c>
      <c r="C2588" s="1" t="s">
        <v>2233</v>
      </c>
      <c r="D2588" s="1" t="s">
        <v>21</v>
      </c>
      <c r="E2588" s="2" t="s">
        <v>7</v>
      </c>
      <c r="F2588" s="9" t="s">
        <v>8</v>
      </c>
      <c r="H2588" t="str">
        <f>TRIM(SUBSTITUTE(PROPER(C2588)&amp;" "&amp;IF(OR(D2588="County",D2588="Township",D2588="Village",D2588="Charter Township"),D2588,"")&amp;IF(D2588="Township"," "&amp;"("&amp;VLOOKUP(A2588,counties,3,0)&amp;")",""),"  "," "))</f>
        <v>Reese Village</v>
      </c>
    </row>
    <row r="2589" spans="1:8" ht="15.75" thickBot="1" x14ac:dyDescent="0.3">
      <c r="A2589">
        <f t="shared" si="41"/>
        <v>79</v>
      </c>
      <c r="B2589" s="10">
        <v>2016</v>
      </c>
      <c r="C2589" s="3" t="s">
        <v>2234</v>
      </c>
      <c r="D2589" s="3" t="s">
        <v>42</v>
      </c>
      <c r="E2589" s="4" t="s">
        <v>7</v>
      </c>
      <c r="F2589" s="11" t="s">
        <v>8</v>
      </c>
      <c r="H2589" t="str">
        <f>TRIM(SUBSTITUTE(PROPER(C2589)&amp;" "&amp;IF(OR(D2589="County",D2589="Township",D2589="Village",D2589="Charter Township"),D2589,"")&amp;IF(D2589="Township"," "&amp;"("&amp;VLOOKUP(A2589,counties,3,0)&amp;")",""),"  "," "))</f>
        <v>Reese Unity District Library</v>
      </c>
    </row>
    <row r="2590" spans="1:8" ht="15.75" thickBot="1" x14ac:dyDescent="0.3">
      <c r="A2590">
        <f t="shared" si="41"/>
        <v>79</v>
      </c>
      <c r="B2590" s="8">
        <v>2016</v>
      </c>
      <c r="C2590" s="1" t="s">
        <v>2235</v>
      </c>
      <c r="D2590" s="1" t="s">
        <v>17</v>
      </c>
      <c r="E2590" s="2" t="s">
        <v>7</v>
      </c>
      <c r="F2590" s="9" t="s">
        <v>19</v>
      </c>
      <c r="H2590" t="str">
        <f>TRIM(SUBSTITUTE(PROPER(C2590)&amp;" "&amp;IF(OR(D2590="County",D2590="Township",D2590="Village",D2590="Charter Township"),D2590,"")&amp;IF(D2590="Township"," "&amp;"("&amp;VLOOKUP(A2590,counties,3,0)&amp;")",""),"  "," "))</f>
        <v>Southern Links Trailway Management Council</v>
      </c>
    </row>
    <row r="2591" spans="1:8" ht="15.75" thickBot="1" x14ac:dyDescent="0.3">
      <c r="A2591">
        <f t="shared" si="41"/>
        <v>79</v>
      </c>
      <c r="B2591" s="10">
        <v>2016</v>
      </c>
      <c r="C2591" s="3" t="s">
        <v>2236</v>
      </c>
      <c r="D2591" s="3" t="s">
        <v>6</v>
      </c>
      <c r="E2591" s="4" t="s">
        <v>7</v>
      </c>
      <c r="F2591" s="11" t="s">
        <v>8</v>
      </c>
      <c r="H2591" t="str">
        <f>TRIM(SUBSTITUTE(PROPER(C2591)&amp;" "&amp;IF(OR(D2591="County",D2591="Township",D2591="Village",D2591="Charter Township"),D2591,"")&amp;IF(D2591="Township"," "&amp;"("&amp;VLOOKUP(A2591,counties,3,0)&amp;")",""),"  "," "))</f>
        <v>Tuscola County</v>
      </c>
    </row>
    <row r="2592" spans="1:8" ht="15.75" thickBot="1" x14ac:dyDescent="0.3">
      <c r="A2592">
        <f t="shared" si="41"/>
        <v>79</v>
      </c>
      <c r="B2592" s="8">
        <v>2016</v>
      </c>
      <c r="C2592" s="1" t="s">
        <v>2236</v>
      </c>
      <c r="D2592" s="1" t="s">
        <v>9</v>
      </c>
      <c r="E2592" s="2" t="s">
        <v>7</v>
      </c>
      <c r="F2592" s="9" t="s">
        <v>8</v>
      </c>
      <c r="H2592" t="str">
        <f>TRIM(SUBSTITUTE(PROPER(C2592)&amp;" "&amp;IF(OR(D2592="County",D2592="Township",D2592="Village",D2592="Charter Township"),D2592,"")&amp;IF(D2592="Township"," "&amp;"("&amp;VLOOKUP(A2592,counties,3,0)&amp;")",""),"  "," "))</f>
        <v>Tuscola Township (Tuscola County)</v>
      </c>
    </row>
    <row r="2593" spans="1:8" ht="15.75" thickBot="1" x14ac:dyDescent="0.3">
      <c r="A2593">
        <f t="shared" si="41"/>
        <v>79</v>
      </c>
      <c r="B2593" s="10">
        <v>2016</v>
      </c>
      <c r="C2593" s="3" t="s">
        <v>2237</v>
      </c>
      <c r="D2593" s="3" t="s">
        <v>17</v>
      </c>
      <c r="E2593" s="4" t="s">
        <v>7</v>
      </c>
      <c r="F2593" s="11" t="s">
        <v>8</v>
      </c>
      <c r="H2593" t="str">
        <f>TRIM(SUBSTITUTE(PROPER(C2593)&amp;" "&amp;IF(OR(D2593="County",D2593="Township",D2593="Village",D2593="Charter Township"),D2593,"")&amp;IF(D2593="Township"," "&amp;"("&amp;VLOOKUP(A2593,counties,3,0)&amp;")",""),"  "," "))</f>
        <v>Tuscola Area Airport Authority</v>
      </c>
    </row>
    <row r="2594" spans="1:8" ht="15.75" thickBot="1" x14ac:dyDescent="0.3">
      <c r="A2594">
        <f t="shared" si="41"/>
        <v>79</v>
      </c>
      <c r="B2594" s="8">
        <v>2016</v>
      </c>
      <c r="C2594" s="1" t="s">
        <v>2238</v>
      </c>
      <c r="D2594" s="1" t="s">
        <v>11</v>
      </c>
      <c r="E2594" s="2" t="s">
        <v>7</v>
      </c>
      <c r="F2594" s="9" t="s">
        <v>8</v>
      </c>
      <c r="H2594" t="str">
        <f>TRIM(SUBSTITUTE(PROPER(C2594)&amp;" "&amp;IF(OR(D2594="County",D2594="Township",D2594="Village",D2594="Charter Township"),D2594,"")&amp;IF(D2594="Township"," "&amp;"("&amp;VLOOKUP(A2594,counties,3,0)&amp;")",""),"  "," "))</f>
        <v>Tuscola Co Road Commission</v>
      </c>
    </row>
    <row r="2595" spans="1:8" ht="21.75" thickBot="1" x14ac:dyDescent="0.3">
      <c r="A2595">
        <f t="shared" si="41"/>
        <v>79</v>
      </c>
      <c r="B2595" s="10">
        <v>2016</v>
      </c>
      <c r="C2595" s="3" t="s">
        <v>2239</v>
      </c>
      <c r="D2595" s="3" t="s">
        <v>17</v>
      </c>
      <c r="E2595" s="4" t="s">
        <v>7</v>
      </c>
      <c r="F2595" s="11" t="s">
        <v>8</v>
      </c>
      <c r="H2595" t="str">
        <f>TRIM(SUBSTITUTE(PROPER(C2595)&amp;" "&amp;IF(OR(D2595="County",D2595="Township",D2595="Village",D2595="Charter Township"),D2595,"")&amp;IF(D2595="Township"," "&amp;"("&amp;VLOOKUP(A2595,counties,3,0)&amp;")",""),"  "," "))</f>
        <v>Tuscola County Community Mental Health Authority</v>
      </c>
    </row>
    <row r="2596" spans="1:8" ht="15.75" thickBot="1" x14ac:dyDescent="0.3">
      <c r="A2596">
        <f t="shared" si="41"/>
        <v>79</v>
      </c>
      <c r="B2596" s="8">
        <v>2016</v>
      </c>
      <c r="C2596" s="1" t="s">
        <v>2240</v>
      </c>
      <c r="D2596" s="1" t="s">
        <v>17</v>
      </c>
      <c r="E2596" s="2" t="s">
        <v>7</v>
      </c>
      <c r="F2596" s="9" t="s">
        <v>8</v>
      </c>
      <c r="H2596" t="str">
        <f>TRIM(SUBSTITUTE(PROPER(C2596)&amp;" "&amp;IF(OR(D2596="County",D2596="Township",D2596="Village",D2596="Charter Township"),D2596,"")&amp;IF(D2596="Township"," "&amp;"("&amp;VLOOKUP(A2596,counties,3,0)&amp;")",""),"  "," "))</f>
        <v>Tuscola County Health Department</v>
      </c>
    </row>
    <row r="2597" spans="1:8" ht="15.75" thickBot="1" x14ac:dyDescent="0.3">
      <c r="A2597">
        <f t="shared" si="41"/>
        <v>79</v>
      </c>
      <c r="B2597" s="10">
        <v>2016</v>
      </c>
      <c r="C2597" s="3" t="s">
        <v>2241</v>
      </c>
      <c r="D2597" s="3" t="s">
        <v>17</v>
      </c>
      <c r="E2597" s="4" t="s">
        <v>7</v>
      </c>
      <c r="F2597" s="11" t="s">
        <v>8</v>
      </c>
      <c r="H2597" t="str">
        <f>TRIM(SUBSTITUTE(PROPER(C2597)&amp;" "&amp;IF(OR(D2597="County",D2597="Township",D2597="Village",D2597="Charter Township"),D2597,"")&amp;IF(D2597="Township"," "&amp;"("&amp;VLOOKUP(A2597,counties,3,0)&amp;")",""),"  "," "))</f>
        <v>Tuscola County Medical Care Facility</v>
      </c>
    </row>
    <row r="2598" spans="1:8" ht="15.75" thickBot="1" x14ac:dyDescent="0.3">
      <c r="A2598">
        <f t="shared" si="41"/>
        <v>79</v>
      </c>
      <c r="B2598" s="8">
        <v>2016</v>
      </c>
      <c r="C2598" s="1" t="s">
        <v>2242</v>
      </c>
      <c r="D2598" s="1" t="s">
        <v>15</v>
      </c>
      <c r="E2598" s="2" t="s">
        <v>7</v>
      </c>
      <c r="F2598" s="9" t="s">
        <v>8</v>
      </c>
      <c r="H2598" t="str">
        <f>TRIM(SUBSTITUTE(PROPER(C2598)&amp;" "&amp;IF(OR(D2598="County",D2598="Township",D2598="Village",D2598="Charter Township"),D2598,"")&amp;IF(D2598="Township"," "&amp;"("&amp;VLOOKUP(A2598,counties,3,0)&amp;")",""),"  "," "))</f>
        <v>Vassar</v>
      </c>
    </row>
    <row r="2599" spans="1:8" ht="15.75" thickBot="1" x14ac:dyDescent="0.3">
      <c r="A2599">
        <f t="shared" si="41"/>
        <v>79</v>
      </c>
      <c r="B2599" s="10">
        <v>2016</v>
      </c>
      <c r="C2599" s="3" t="s">
        <v>2242</v>
      </c>
      <c r="D2599" s="3" t="s">
        <v>9</v>
      </c>
      <c r="E2599" s="4" t="s">
        <v>7</v>
      </c>
      <c r="F2599" s="11" t="s">
        <v>8</v>
      </c>
      <c r="H2599" t="str">
        <f>TRIM(SUBSTITUTE(PROPER(C2599)&amp;" "&amp;IF(OR(D2599="County",D2599="Township",D2599="Village",D2599="Charter Township"),D2599,"")&amp;IF(D2599="Township"," "&amp;"("&amp;VLOOKUP(A2599,counties,3,0)&amp;")",""),"  "," "))</f>
        <v>Vassar Township (Tuscola County)</v>
      </c>
    </row>
    <row r="2600" spans="1:8" ht="15.75" thickBot="1" x14ac:dyDescent="0.3">
      <c r="A2600">
        <f t="shared" si="41"/>
        <v>79</v>
      </c>
      <c r="B2600" s="8">
        <v>2016</v>
      </c>
      <c r="C2600" s="1" t="s">
        <v>2165</v>
      </c>
      <c r="D2600" s="1" t="s">
        <v>9</v>
      </c>
      <c r="E2600" s="2" t="s">
        <v>7</v>
      </c>
      <c r="F2600" s="9" t="s">
        <v>19</v>
      </c>
      <c r="H2600" t="str">
        <f>TRIM(SUBSTITUTE(PROPER(C2600)&amp;" "&amp;IF(OR(D2600="County",D2600="Township",D2600="Village",D2600="Charter Township"),D2600,"")&amp;IF(D2600="Township"," "&amp;"("&amp;VLOOKUP(A2600,counties,3,0)&amp;")",""),"  "," "))</f>
        <v>Watertown Township (Tuscola County)</v>
      </c>
    </row>
    <row r="2601" spans="1:8" ht="15.75" thickBot="1" x14ac:dyDescent="0.3">
      <c r="A2601">
        <f t="shared" si="41"/>
        <v>79</v>
      </c>
      <c r="B2601" s="10">
        <v>2016</v>
      </c>
      <c r="C2601" s="3" t="s">
        <v>577</v>
      </c>
      <c r="D2601" s="3" t="s">
        <v>9</v>
      </c>
      <c r="E2601" s="4" t="s">
        <v>7</v>
      </c>
      <c r="F2601" s="11" t="s">
        <v>8</v>
      </c>
      <c r="H2601" t="str">
        <f>TRIM(SUBSTITUTE(PROPER(C2601)&amp;" "&amp;IF(OR(D2601="County",D2601="Township",D2601="Village",D2601="Charter Township"),D2601,"")&amp;IF(D2601="Township"," "&amp;"("&amp;VLOOKUP(A2601,counties,3,0)&amp;")",""),"  "," "))</f>
        <v>Wells Township (Tuscola County)</v>
      </c>
    </row>
    <row r="2602" spans="1:8" ht="15.75" thickBot="1" x14ac:dyDescent="0.3">
      <c r="A2602">
        <f t="shared" si="41"/>
        <v>79</v>
      </c>
      <c r="B2602" s="16">
        <v>2016</v>
      </c>
      <c r="C2602" s="17" t="s">
        <v>2243</v>
      </c>
      <c r="D2602" s="17" t="s">
        <v>9</v>
      </c>
      <c r="E2602" s="18" t="s">
        <v>7</v>
      </c>
      <c r="F2602" s="19" t="s">
        <v>8</v>
      </c>
      <c r="H2602" t="str">
        <f>TRIM(SUBSTITUTE(PROPER(C2602)&amp;" "&amp;IF(OR(D2602="County",D2602="Township",D2602="Village",D2602="Charter Township"),D2602,"")&amp;IF(D2602="Township"," "&amp;"("&amp;VLOOKUP(A2602,counties,3,0)&amp;")",""),"  "," "))</f>
        <v>Wisner Township (Tuscola County)</v>
      </c>
    </row>
    <row r="2603" spans="1:8" ht="16.5" thickTop="1" thickBot="1" x14ac:dyDescent="0.3">
      <c r="A2603">
        <f t="shared" si="41"/>
        <v>80</v>
      </c>
      <c r="B2603" s="5" t="s">
        <v>0</v>
      </c>
      <c r="C2603" s="6" t="s">
        <v>1</v>
      </c>
      <c r="D2603" s="6" t="s">
        <v>2</v>
      </c>
      <c r="E2603" s="6" t="s">
        <v>3</v>
      </c>
      <c r="F2603" s="7" t="s">
        <v>4</v>
      </c>
      <c r="H2603" t="str">
        <f>TRIM(SUBSTITUTE(PROPER(C2603)&amp;" "&amp;IF(OR(D2603="County",D2603="Township",D2603="Village",D2603="Charter Township"),D2603,"")&amp;IF(D2603="Township"," "&amp;"("&amp;VLOOKUP(A2603,counties,3,0)&amp;")",""),"  "," "))</f>
        <v>Municipality</v>
      </c>
    </row>
    <row r="2604" spans="1:8" ht="15.75" thickBot="1" x14ac:dyDescent="0.3">
      <c r="A2604">
        <f t="shared" si="41"/>
        <v>80</v>
      </c>
      <c r="B2604" s="8">
        <v>2016</v>
      </c>
      <c r="C2604" s="1" t="s">
        <v>2244</v>
      </c>
      <c r="D2604" s="1" t="s">
        <v>17</v>
      </c>
      <c r="E2604" s="2" t="s">
        <v>7</v>
      </c>
      <c r="F2604" s="9" t="s">
        <v>8</v>
      </c>
      <c r="H2604" t="str">
        <f>TRIM(SUBSTITUTE(PROPER(C2604)&amp;" "&amp;IF(OR(D2604="County",D2604="Township",D2604="Village",D2604="Charter Township"),D2604,"")&amp;IF(D2604="Township"," "&amp;"("&amp;VLOOKUP(A2604,counties,3,0)&amp;")",""),"  "," "))</f>
        <v>Abb Joint Fire District</v>
      </c>
    </row>
    <row r="2605" spans="1:8" ht="15.75" thickBot="1" x14ac:dyDescent="0.3">
      <c r="A2605">
        <f t="shared" si="41"/>
        <v>80</v>
      </c>
      <c r="B2605" s="10">
        <v>2016</v>
      </c>
      <c r="C2605" s="3" t="s">
        <v>2245</v>
      </c>
      <c r="D2605" s="3" t="s">
        <v>9</v>
      </c>
      <c r="E2605" s="4" t="s">
        <v>7</v>
      </c>
      <c r="F2605" s="11" t="s">
        <v>8</v>
      </c>
      <c r="H2605" t="str">
        <f>TRIM(SUBSTITUTE(PROPER(C2605)&amp;" "&amp;IF(OR(D2605="County",D2605="Township",D2605="Village",D2605="Charter Township"),D2605,"")&amp;IF(D2605="Township"," "&amp;"("&amp;VLOOKUP(A2605,counties,3,0)&amp;")",""),"  "," "))</f>
        <v>Almena Township (Van Buren County)</v>
      </c>
    </row>
    <row r="2606" spans="1:8" ht="15.75" thickBot="1" x14ac:dyDescent="0.3">
      <c r="A2606">
        <f t="shared" si="41"/>
        <v>80</v>
      </c>
      <c r="B2606" s="8">
        <v>2016</v>
      </c>
      <c r="C2606" s="1" t="s">
        <v>2246</v>
      </c>
      <c r="D2606" s="1" t="s">
        <v>9</v>
      </c>
      <c r="E2606" s="2" t="s">
        <v>7</v>
      </c>
      <c r="F2606" s="9" t="s">
        <v>8</v>
      </c>
      <c r="H2606" t="str">
        <f>TRIM(SUBSTITUTE(PROPER(C2606)&amp;" "&amp;IF(OR(D2606="County",D2606="Township",D2606="Village",D2606="Charter Township"),D2606,"")&amp;IF(D2606="Township"," "&amp;"("&amp;VLOOKUP(A2606,counties,3,0)&amp;")",""),"  "," "))</f>
        <v>Antwerp Township (Van Buren County)</v>
      </c>
    </row>
    <row r="2607" spans="1:8" ht="15.75" thickBot="1" x14ac:dyDescent="0.3">
      <c r="A2607">
        <f t="shared" si="41"/>
        <v>80</v>
      </c>
      <c r="B2607" s="10">
        <v>2016</v>
      </c>
      <c r="C2607" s="3" t="s">
        <v>2247</v>
      </c>
      <c r="D2607" s="3" t="s">
        <v>9</v>
      </c>
      <c r="E2607" s="4" t="s">
        <v>7</v>
      </c>
      <c r="F2607" s="11" t="s">
        <v>8</v>
      </c>
      <c r="H2607" t="str">
        <f>TRIM(SUBSTITUTE(PROPER(C2607)&amp;" "&amp;IF(OR(D2607="County",D2607="Township",D2607="Village",D2607="Charter Township"),D2607,"")&amp;IF(D2607="Township"," "&amp;"("&amp;VLOOKUP(A2607,counties,3,0)&amp;")",""),"  "," "))</f>
        <v>Arlington Township (Van Buren County)</v>
      </c>
    </row>
    <row r="2608" spans="1:8" ht="15.75" thickBot="1" x14ac:dyDescent="0.3">
      <c r="A2608">
        <f t="shared" si="41"/>
        <v>80</v>
      </c>
      <c r="B2608" s="8">
        <v>2016</v>
      </c>
      <c r="C2608" s="1" t="s">
        <v>2248</v>
      </c>
      <c r="D2608" s="1" t="s">
        <v>15</v>
      </c>
      <c r="E2608" s="2" t="s">
        <v>7</v>
      </c>
      <c r="F2608" s="9" t="s">
        <v>8</v>
      </c>
      <c r="H2608" t="str">
        <f>TRIM(SUBSTITUTE(PROPER(C2608)&amp;" "&amp;IF(OR(D2608="County",D2608="Township",D2608="Village",D2608="Charter Township"),D2608,"")&amp;IF(D2608="Township"," "&amp;"("&amp;VLOOKUP(A2608,counties,3,0)&amp;")",""),"  "," "))</f>
        <v>Bangor</v>
      </c>
    </row>
    <row r="2609" spans="1:8" ht="15.75" thickBot="1" x14ac:dyDescent="0.3">
      <c r="A2609">
        <f t="shared" si="41"/>
        <v>80</v>
      </c>
      <c r="B2609" s="10">
        <v>2016</v>
      </c>
      <c r="C2609" s="3" t="s">
        <v>2249</v>
      </c>
      <c r="D2609" s="3" t="s">
        <v>17</v>
      </c>
      <c r="E2609" s="4" t="s">
        <v>7</v>
      </c>
      <c r="F2609" s="11" t="s">
        <v>8</v>
      </c>
      <c r="H2609" t="str">
        <f>TRIM(SUBSTITUTE(PROPER(C2609)&amp;" "&amp;IF(OR(D2609="County",D2609="Township",D2609="Village",D2609="Charter Township"),D2609,"")&amp;IF(D2609="Township"," "&amp;"("&amp;VLOOKUP(A2609,counties,3,0)&amp;")",""),"  "," "))</f>
        <v>Bangor City Housing Commission</v>
      </c>
    </row>
    <row r="2610" spans="1:8" ht="15.75" thickBot="1" x14ac:dyDescent="0.3">
      <c r="A2610">
        <f t="shared" si="41"/>
        <v>80</v>
      </c>
      <c r="B2610" s="8">
        <v>2016</v>
      </c>
      <c r="C2610" s="1" t="s">
        <v>2250</v>
      </c>
      <c r="D2610" s="1" t="s">
        <v>9</v>
      </c>
      <c r="E2610" s="2" t="s">
        <v>7</v>
      </c>
      <c r="F2610" s="9" t="s">
        <v>8</v>
      </c>
      <c r="H2610" t="str">
        <f>TRIM(SUBSTITUTE(PROPER(C2610)&amp;" "&amp;IF(OR(D2610="County",D2610="Township",D2610="Village",D2610="Charter Township"),D2610,"")&amp;IF(D2610="Township"," "&amp;"("&amp;VLOOKUP(A2610,counties,3,0)&amp;")",""),"  "," "))</f>
        <v>Bloomingdale Township (Van Buren County)</v>
      </c>
    </row>
    <row r="2611" spans="1:8" ht="15.75" thickBot="1" x14ac:dyDescent="0.3">
      <c r="A2611">
        <f t="shared" si="41"/>
        <v>80</v>
      </c>
      <c r="B2611" s="10">
        <v>2016</v>
      </c>
      <c r="C2611" s="3" t="s">
        <v>2250</v>
      </c>
      <c r="D2611" s="3" t="s">
        <v>21</v>
      </c>
      <c r="E2611" s="4" t="s">
        <v>7</v>
      </c>
      <c r="F2611" s="11" t="s">
        <v>8</v>
      </c>
      <c r="H2611" t="str">
        <f>TRIM(SUBSTITUTE(PROPER(C2611)&amp;" "&amp;IF(OR(D2611="County",D2611="Township",D2611="Village",D2611="Charter Township"),D2611,"")&amp;IF(D2611="Township"," "&amp;"("&amp;VLOOKUP(A2611,counties,3,0)&amp;")",""),"  "," "))</f>
        <v>Bloomingdale Village</v>
      </c>
    </row>
    <row r="2612" spans="1:8" ht="15.75" thickBot="1" x14ac:dyDescent="0.3">
      <c r="A2612">
        <f t="shared" si="41"/>
        <v>80</v>
      </c>
      <c r="B2612" s="8">
        <v>2016</v>
      </c>
      <c r="C2612" s="1" t="s">
        <v>2251</v>
      </c>
      <c r="D2612" s="1" t="s">
        <v>21</v>
      </c>
      <c r="E2612" s="2" t="s">
        <v>7</v>
      </c>
      <c r="F2612" s="9" t="s">
        <v>8</v>
      </c>
      <c r="H2612" t="str">
        <f>TRIM(SUBSTITUTE(PROPER(C2612)&amp;" "&amp;IF(OR(D2612="County",D2612="Township",D2612="Village",D2612="Charter Township"),D2612,"")&amp;IF(D2612="Township"," "&amp;"("&amp;VLOOKUP(A2612,counties,3,0)&amp;")",""),"  "," "))</f>
        <v>Breedsville Village</v>
      </c>
    </row>
    <row r="2613" spans="1:8" ht="15.75" thickBot="1" x14ac:dyDescent="0.3">
      <c r="A2613">
        <f t="shared" si="41"/>
        <v>80</v>
      </c>
      <c r="B2613" s="10">
        <v>2016</v>
      </c>
      <c r="C2613" s="3" t="s">
        <v>1077</v>
      </c>
      <c r="D2613" s="3" t="s">
        <v>9</v>
      </c>
      <c r="E2613" s="4" t="s">
        <v>7</v>
      </c>
      <c r="F2613" s="11" t="s">
        <v>8</v>
      </c>
      <c r="H2613" t="str">
        <f>TRIM(SUBSTITUTE(PROPER(C2613)&amp;" "&amp;IF(OR(D2613="County",D2613="Township",D2613="Village",D2613="Charter Township"),D2613,"")&amp;IF(D2613="Township"," "&amp;"("&amp;VLOOKUP(A2613,counties,3,0)&amp;")",""),"  "," "))</f>
        <v>Columbia Township (Van Buren County)</v>
      </c>
    </row>
    <row r="2614" spans="1:8" ht="15.75" thickBot="1" x14ac:dyDescent="0.3">
      <c r="A2614">
        <f t="shared" si="41"/>
        <v>80</v>
      </c>
      <c r="B2614" s="8">
        <v>2016</v>
      </c>
      <c r="C2614" s="1" t="s">
        <v>2252</v>
      </c>
      <c r="D2614" s="1" t="s">
        <v>9</v>
      </c>
      <c r="E2614" s="2" t="s">
        <v>7</v>
      </c>
      <c r="F2614" s="9" t="s">
        <v>8</v>
      </c>
      <c r="H2614" t="str">
        <f>TRIM(SUBSTITUTE(PROPER(C2614)&amp;" "&amp;IF(OR(D2614="County",D2614="Township",D2614="Village",D2614="Charter Township"),D2614,"")&amp;IF(D2614="Township"," "&amp;"("&amp;VLOOKUP(A2614,counties,3,0)&amp;")",""),"  "," "))</f>
        <v>Covert Township (Van Buren County)</v>
      </c>
    </row>
    <row r="2615" spans="1:8" ht="15.75" thickBot="1" x14ac:dyDescent="0.3">
      <c r="A2615">
        <f t="shared" si="41"/>
        <v>80</v>
      </c>
      <c r="B2615" s="10">
        <v>2016</v>
      </c>
      <c r="C2615" s="3" t="s">
        <v>2253</v>
      </c>
      <c r="D2615" s="3" t="s">
        <v>17</v>
      </c>
      <c r="E2615" s="4" t="s">
        <v>7</v>
      </c>
      <c r="F2615" s="11" t="s">
        <v>8</v>
      </c>
      <c r="H2615" t="str">
        <f>TRIM(SUBSTITUTE(PROPER(C2615)&amp;" "&amp;IF(OR(D2615="County",D2615="Township",D2615="Village",D2615="Charter Township"),D2615,"")&amp;IF(D2615="Township"," "&amp;"("&amp;VLOOKUP(A2615,counties,3,0)&amp;")",""),"  "," "))</f>
        <v>Covert Housing Commission</v>
      </c>
    </row>
    <row r="2616" spans="1:8" ht="15.75" thickBot="1" x14ac:dyDescent="0.3">
      <c r="A2616">
        <f t="shared" si="41"/>
        <v>80</v>
      </c>
      <c r="B2616" s="8">
        <v>2016</v>
      </c>
      <c r="C2616" s="1" t="s">
        <v>2254</v>
      </c>
      <c r="D2616" s="1" t="s">
        <v>9</v>
      </c>
      <c r="E2616" s="2" t="s">
        <v>7</v>
      </c>
      <c r="F2616" s="9" t="s">
        <v>8</v>
      </c>
      <c r="H2616" t="str">
        <f>TRIM(SUBSTITUTE(PROPER(C2616)&amp;" "&amp;IF(OR(D2616="County",D2616="Township",D2616="Village",D2616="Charter Township"),D2616,"")&amp;IF(D2616="Township"," "&amp;"("&amp;VLOOKUP(A2616,counties,3,0)&amp;")",""),"  "," "))</f>
        <v>Decatur Township (Van Buren County)</v>
      </c>
    </row>
    <row r="2617" spans="1:8" ht="15.75" thickBot="1" x14ac:dyDescent="0.3">
      <c r="A2617">
        <f t="shared" si="41"/>
        <v>80</v>
      </c>
      <c r="B2617" s="10">
        <v>2016</v>
      </c>
      <c r="C2617" s="3" t="s">
        <v>2254</v>
      </c>
      <c r="D2617" s="3" t="s">
        <v>21</v>
      </c>
      <c r="E2617" s="4" t="s">
        <v>7</v>
      </c>
      <c r="F2617" s="11" t="s">
        <v>8</v>
      </c>
      <c r="H2617" t="str">
        <f>TRIM(SUBSTITUTE(PROPER(C2617)&amp;" "&amp;IF(OR(D2617="County",D2617="Township",D2617="Village",D2617="Charter Township"),D2617,"")&amp;IF(D2617="Township"," "&amp;"("&amp;VLOOKUP(A2617,counties,3,0)&amp;")",""),"  "," "))</f>
        <v>Decatur Village</v>
      </c>
    </row>
    <row r="2618" spans="1:8" ht="15.75" thickBot="1" x14ac:dyDescent="0.3">
      <c r="A2618">
        <f t="shared" si="41"/>
        <v>80</v>
      </c>
      <c r="B2618" s="8">
        <v>2016</v>
      </c>
      <c r="C2618" s="1" t="s">
        <v>2255</v>
      </c>
      <c r="D2618" s="1" t="s">
        <v>17</v>
      </c>
      <c r="E2618" s="2" t="s">
        <v>7</v>
      </c>
      <c r="F2618" s="9" t="s">
        <v>8</v>
      </c>
      <c r="H2618" t="str">
        <f>TRIM(SUBSTITUTE(PROPER(C2618)&amp;" "&amp;IF(OR(D2618="County",D2618="Township",D2618="Village",D2618="Charter Township"),D2618,"")&amp;IF(D2618="Township"," "&amp;"("&amp;VLOOKUP(A2618,counties,3,0)&amp;")",""),"  "," "))</f>
        <v>Decatur-Hamilton Joint Fire Department</v>
      </c>
    </row>
    <row r="2619" spans="1:8" ht="15.75" thickBot="1" x14ac:dyDescent="0.3">
      <c r="A2619">
        <f t="shared" si="41"/>
        <v>80</v>
      </c>
      <c r="B2619" s="10">
        <v>2016</v>
      </c>
      <c r="C2619" s="3" t="s">
        <v>2256</v>
      </c>
      <c r="D2619" s="3" t="s">
        <v>17</v>
      </c>
      <c r="E2619" s="4" t="s">
        <v>7</v>
      </c>
      <c r="F2619" s="11" t="s">
        <v>8</v>
      </c>
      <c r="H2619" t="str">
        <f>TRIM(SUBSTITUTE(PROPER(C2619)&amp;" "&amp;IF(OR(D2619="County",D2619="Township",D2619="Village",D2619="Charter Township"),D2619,"")&amp;IF(D2619="Township"," "&amp;"("&amp;VLOOKUP(A2619,counties,3,0)&amp;")",""),"  "," "))</f>
        <v>Decatur-Hamilton Quick Response Unit</v>
      </c>
    </row>
    <row r="2620" spans="1:8" ht="15.75" thickBot="1" x14ac:dyDescent="0.3">
      <c r="A2620">
        <f t="shared" si="41"/>
        <v>80</v>
      </c>
      <c r="B2620" s="8">
        <v>2016</v>
      </c>
      <c r="C2620" s="1" t="s">
        <v>1564</v>
      </c>
      <c r="D2620" s="1" t="s">
        <v>9</v>
      </c>
      <c r="E2620" s="2" t="s">
        <v>7</v>
      </c>
      <c r="F2620" s="9" t="s">
        <v>8</v>
      </c>
      <c r="H2620" t="str">
        <f>TRIM(SUBSTITUTE(PROPER(C2620)&amp;" "&amp;IF(OR(D2620="County",D2620="Township",D2620="Village",D2620="Charter Township"),D2620,"")&amp;IF(D2620="Township"," "&amp;"("&amp;VLOOKUP(A2620,counties,3,0)&amp;")",""),"  "," "))</f>
        <v>Geneva Township (Van Buren County)</v>
      </c>
    </row>
    <row r="2621" spans="1:8" ht="15.75" thickBot="1" x14ac:dyDescent="0.3">
      <c r="A2621">
        <f t="shared" si="41"/>
        <v>80</v>
      </c>
      <c r="B2621" s="10">
        <v>2016</v>
      </c>
      <c r="C2621" s="3" t="s">
        <v>2257</v>
      </c>
      <c r="D2621" s="3" t="s">
        <v>15</v>
      </c>
      <c r="E2621" s="4" t="s">
        <v>7</v>
      </c>
      <c r="F2621" s="11" t="s">
        <v>8</v>
      </c>
      <c r="H2621" t="str">
        <f>TRIM(SUBSTITUTE(PROPER(C2621)&amp;" "&amp;IF(OR(D2621="County",D2621="Township",D2621="Village",D2621="Charter Township"),D2621,"")&amp;IF(D2621="Township"," "&amp;"("&amp;VLOOKUP(A2621,counties,3,0)&amp;")",""),"  "," "))</f>
        <v>Gobles</v>
      </c>
    </row>
    <row r="2622" spans="1:8" ht="15.75" thickBot="1" x14ac:dyDescent="0.3">
      <c r="A2622">
        <f t="shared" si="41"/>
        <v>80</v>
      </c>
      <c r="B2622" s="8">
        <v>2016</v>
      </c>
      <c r="C2622" s="1" t="s">
        <v>2258</v>
      </c>
      <c r="D2622" s="1" t="s">
        <v>17</v>
      </c>
      <c r="E2622" s="2" t="s">
        <v>7</v>
      </c>
      <c r="F2622" s="9" t="s">
        <v>8</v>
      </c>
      <c r="H2622" t="str">
        <f>TRIM(SUBSTITUTE(PROPER(C2622)&amp;" "&amp;IF(OR(D2622="County",D2622="Township",D2622="Village",D2622="Charter Township"),D2622,"")&amp;IF(D2622="Township"," "&amp;"("&amp;VLOOKUP(A2622,counties,3,0)&amp;")",""),"  "," "))</f>
        <v>Gobles/Pine Grove Fire Administrative Board</v>
      </c>
    </row>
    <row r="2623" spans="1:8" ht="15.75" thickBot="1" x14ac:dyDescent="0.3">
      <c r="A2623">
        <f t="shared" si="41"/>
        <v>80</v>
      </c>
      <c r="B2623" s="10">
        <v>2016</v>
      </c>
      <c r="C2623" s="3" t="s">
        <v>802</v>
      </c>
      <c r="D2623" s="3" t="s">
        <v>9</v>
      </c>
      <c r="E2623" s="4" t="s">
        <v>7</v>
      </c>
      <c r="F2623" s="11" t="s">
        <v>8</v>
      </c>
      <c r="H2623" t="str">
        <f>TRIM(SUBSTITUTE(PROPER(C2623)&amp;" "&amp;IF(OR(D2623="County",D2623="Township",D2623="Village",D2623="Charter Township"),D2623,"")&amp;IF(D2623="Township"," "&amp;"("&amp;VLOOKUP(A2623,counties,3,0)&amp;")",""),"  "," "))</f>
        <v>Hamilton Township (Van Buren County)</v>
      </c>
    </row>
    <row r="2624" spans="1:8" ht="15.75" thickBot="1" x14ac:dyDescent="0.3">
      <c r="A2624">
        <f t="shared" si="41"/>
        <v>80</v>
      </c>
      <c r="B2624" s="8">
        <v>2016</v>
      </c>
      <c r="C2624" s="1" t="s">
        <v>2259</v>
      </c>
      <c r="D2624" s="1" t="s">
        <v>15</v>
      </c>
      <c r="E2624" s="2" t="s">
        <v>7</v>
      </c>
      <c r="F2624" s="9" t="s">
        <v>8</v>
      </c>
      <c r="H2624" t="str">
        <f>TRIM(SUBSTITUTE(PROPER(C2624)&amp;" "&amp;IF(OR(D2624="County",D2624="Township",D2624="Village",D2624="Charter Township"),D2624,"")&amp;IF(D2624="Township"," "&amp;"("&amp;VLOOKUP(A2624,counties,3,0)&amp;")",""),"  "," "))</f>
        <v>Hartford</v>
      </c>
    </row>
    <row r="2625" spans="1:8" ht="15.75" thickBot="1" x14ac:dyDescent="0.3">
      <c r="A2625">
        <f t="shared" si="41"/>
        <v>80</v>
      </c>
      <c r="B2625" s="10">
        <v>2016</v>
      </c>
      <c r="C2625" s="3" t="s">
        <v>2259</v>
      </c>
      <c r="D2625" s="3" t="s">
        <v>9</v>
      </c>
      <c r="E2625" s="4" t="s">
        <v>7</v>
      </c>
      <c r="F2625" s="11" t="s">
        <v>8</v>
      </c>
      <c r="H2625" t="str">
        <f>TRIM(SUBSTITUTE(PROPER(C2625)&amp;" "&amp;IF(OR(D2625="County",D2625="Township",D2625="Village",D2625="Charter Township"),D2625,"")&amp;IF(D2625="Township"," "&amp;"("&amp;VLOOKUP(A2625,counties,3,0)&amp;")",""),"  "," "))</f>
        <v>Hartford Township (Van Buren County)</v>
      </c>
    </row>
    <row r="2626" spans="1:8" ht="15.75" thickBot="1" x14ac:dyDescent="0.3">
      <c r="A2626">
        <f t="shared" si="41"/>
        <v>80</v>
      </c>
      <c r="B2626" s="8">
        <v>2016</v>
      </c>
      <c r="C2626" s="1" t="s">
        <v>2260</v>
      </c>
      <c r="D2626" s="1" t="s">
        <v>17</v>
      </c>
      <c r="E2626" s="2" t="s">
        <v>7</v>
      </c>
      <c r="F2626" s="9" t="s">
        <v>8</v>
      </c>
      <c r="H2626" t="str">
        <f>TRIM(SUBSTITUTE(PROPER(C2626)&amp;" "&amp;IF(OR(D2626="County",D2626="Township",D2626="Village",D2626="Charter Township"),D2626,"")&amp;IF(D2626="Township"," "&amp;"("&amp;VLOOKUP(A2626,counties,3,0)&amp;")",""),"  "," "))</f>
        <v>Hartford Fire Board</v>
      </c>
    </row>
    <row r="2627" spans="1:8" ht="15.75" thickBot="1" x14ac:dyDescent="0.3">
      <c r="A2627">
        <f t="shared" ref="A2627:A2690" si="42">IF(B2627="Year",A2626+1,A2626)</f>
        <v>80</v>
      </c>
      <c r="B2627" s="10">
        <v>2016</v>
      </c>
      <c r="C2627" s="3" t="s">
        <v>2261</v>
      </c>
      <c r="D2627" s="3" t="s">
        <v>42</v>
      </c>
      <c r="E2627" s="4" t="s">
        <v>7</v>
      </c>
      <c r="F2627" s="11" t="s">
        <v>8</v>
      </c>
      <c r="H2627" t="str">
        <f>TRIM(SUBSTITUTE(PROPER(C2627)&amp;" "&amp;IF(OR(D2627="County",D2627="Township",D2627="Village",D2627="Charter Township"),D2627,"")&amp;IF(D2627="Township"," "&amp;"("&amp;VLOOKUP(A2627,counties,3,0)&amp;")",""),"  "," "))</f>
        <v>Hartford Public Library</v>
      </c>
    </row>
    <row r="2628" spans="1:8" ht="15.75" thickBot="1" x14ac:dyDescent="0.3">
      <c r="A2628">
        <f t="shared" si="42"/>
        <v>80</v>
      </c>
      <c r="B2628" s="8">
        <v>2016</v>
      </c>
      <c r="C2628" s="1" t="s">
        <v>2262</v>
      </c>
      <c r="D2628" s="1" t="s">
        <v>9</v>
      </c>
      <c r="E2628" s="2" t="s">
        <v>7</v>
      </c>
      <c r="F2628" s="9" t="s">
        <v>8</v>
      </c>
      <c r="H2628" t="str">
        <f>TRIM(SUBSTITUTE(PROPER(C2628)&amp;" "&amp;IF(OR(D2628="County",D2628="Township",D2628="Village",D2628="Charter Township"),D2628,"")&amp;IF(D2628="Township"," "&amp;"("&amp;VLOOKUP(A2628,counties,3,0)&amp;")",""),"  "," "))</f>
        <v>Keeler Township (Van Buren County)</v>
      </c>
    </row>
    <row r="2629" spans="1:8" ht="15.75" thickBot="1" x14ac:dyDescent="0.3">
      <c r="A2629">
        <f t="shared" si="42"/>
        <v>80</v>
      </c>
      <c r="B2629" s="10">
        <v>2016</v>
      </c>
      <c r="C2629" s="3" t="s">
        <v>2263</v>
      </c>
      <c r="D2629" s="3" t="s">
        <v>72</v>
      </c>
      <c r="E2629" s="4" t="s">
        <v>7</v>
      </c>
      <c r="F2629" s="11" t="s">
        <v>8</v>
      </c>
      <c r="H2629" t="str">
        <f>TRIM(SUBSTITUTE(PROPER(C2629)&amp;" "&amp;IF(OR(D2629="County",D2629="Township",D2629="Village",D2629="Charter Township"),D2629,"")&amp;IF(D2629="Township"," "&amp;"("&amp;VLOOKUP(A2629,counties,3,0)&amp;")",""),"  "," "))</f>
        <v>Lake Area Sewer Authority</v>
      </c>
    </row>
    <row r="2630" spans="1:8" ht="15.75" thickBot="1" x14ac:dyDescent="0.3">
      <c r="A2630">
        <f t="shared" si="42"/>
        <v>80</v>
      </c>
      <c r="B2630" s="8">
        <v>2016</v>
      </c>
      <c r="C2630" s="1" t="s">
        <v>2264</v>
      </c>
      <c r="D2630" s="1" t="s">
        <v>9</v>
      </c>
      <c r="E2630" s="2" t="s">
        <v>7</v>
      </c>
      <c r="F2630" s="9" t="s">
        <v>8</v>
      </c>
      <c r="H2630" t="str">
        <f>TRIM(SUBSTITUTE(PROPER(C2630)&amp;" "&amp;IF(OR(D2630="County",D2630="Township",D2630="Village",D2630="Charter Township"),D2630,"")&amp;IF(D2630="Township"," "&amp;"("&amp;VLOOKUP(A2630,counties,3,0)&amp;")",""),"  "," "))</f>
        <v>Lawrence Township (Van Buren County)</v>
      </c>
    </row>
    <row r="2631" spans="1:8" ht="15.75" thickBot="1" x14ac:dyDescent="0.3">
      <c r="A2631">
        <f t="shared" si="42"/>
        <v>80</v>
      </c>
      <c r="B2631" s="10">
        <v>2016</v>
      </c>
      <c r="C2631" s="3" t="s">
        <v>2264</v>
      </c>
      <c r="D2631" s="3" t="s">
        <v>21</v>
      </c>
      <c r="E2631" s="4" t="s">
        <v>7</v>
      </c>
      <c r="F2631" s="11" t="s">
        <v>8</v>
      </c>
      <c r="H2631" t="str">
        <f>TRIM(SUBSTITUTE(PROPER(C2631)&amp;" "&amp;IF(OR(D2631="County",D2631="Township",D2631="Village",D2631="Charter Township"),D2631,"")&amp;IF(D2631="Township"," "&amp;"("&amp;VLOOKUP(A2631,counties,3,0)&amp;")",""),"  "," "))</f>
        <v>Lawrence Village</v>
      </c>
    </row>
    <row r="2632" spans="1:8" ht="15.75" thickBot="1" x14ac:dyDescent="0.3">
      <c r="A2632">
        <f t="shared" si="42"/>
        <v>80</v>
      </c>
      <c r="B2632" s="8">
        <v>2016</v>
      </c>
      <c r="C2632" s="1" t="s">
        <v>2265</v>
      </c>
      <c r="D2632" s="1" t="s">
        <v>21</v>
      </c>
      <c r="E2632" s="2" t="s">
        <v>7</v>
      </c>
      <c r="F2632" s="9" t="s">
        <v>8</v>
      </c>
      <c r="H2632" t="str">
        <f>TRIM(SUBSTITUTE(PROPER(C2632)&amp;" "&amp;IF(OR(D2632="County",D2632="Township",D2632="Village",D2632="Charter Township"),D2632,"")&amp;IF(D2632="Township"," "&amp;"("&amp;VLOOKUP(A2632,counties,3,0)&amp;")",""),"  "," "))</f>
        <v>Lawton Village</v>
      </c>
    </row>
    <row r="2633" spans="1:8" ht="15.75" thickBot="1" x14ac:dyDescent="0.3">
      <c r="A2633">
        <f t="shared" si="42"/>
        <v>80</v>
      </c>
      <c r="B2633" s="10">
        <v>2016</v>
      </c>
      <c r="C2633" s="3" t="s">
        <v>2266</v>
      </c>
      <c r="D2633" s="3" t="s">
        <v>17</v>
      </c>
      <c r="E2633" s="4" t="s">
        <v>7</v>
      </c>
      <c r="F2633" s="11" t="s">
        <v>8</v>
      </c>
      <c r="H2633" t="str">
        <f>TRIM(SUBSTITUTE(PROPER(C2633)&amp;" "&amp;IF(OR(D2633="County",D2633="Township",D2633="Village",D2633="Charter Township"),D2633,"")&amp;IF(D2633="Township"," "&amp;"("&amp;VLOOKUP(A2633,counties,3,0)&amp;")",""),"  "," "))</f>
        <v>Lawton Fire Department</v>
      </c>
    </row>
    <row r="2634" spans="1:8" ht="15.75" thickBot="1" x14ac:dyDescent="0.3">
      <c r="A2634">
        <f t="shared" si="42"/>
        <v>80</v>
      </c>
      <c r="B2634" s="8">
        <v>2016</v>
      </c>
      <c r="C2634" s="1" t="s">
        <v>2267</v>
      </c>
      <c r="D2634" s="1" t="s">
        <v>21</v>
      </c>
      <c r="E2634" s="2" t="s">
        <v>7</v>
      </c>
      <c r="F2634" s="9" t="s">
        <v>8</v>
      </c>
      <c r="H2634" t="str">
        <f>TRIM(SUBSTITUTE(PROPER(C2634)&amp;" "&amp;IF(OR(D2634="County",D2634="Township",D2634="Village",D2634="Charter Township"),D2634,"")&amp;IF(D2634="Township"," "&amp;"("&amp;VLOOKUP(A2634,counties,3,0)&amp;")",""),"  "," "))</f>
        <v>Mattawan Village</v>
      </c>
    </row>
    <row r="2635" spans="1:8" ht="15.75" thickBot="1" x14ac:dyDescent="0.3">
      <c r="A2635">
        <f t="shared" si="42"/>
        <v>80</v>
      </c>
      <c r="B2635" s="10">
        <v>2016</v>
      </c>
      <c r="C2635" s="3" t="s">
        <v>2268</v>
      </c>
      <c r="D2635" s="3" t="s">
        <v>9</v>
      </c>
      <c r="E2635" s="4" t="s">
        <v>7</v>
      </c>
      <c r="F2635" s="11" t="s">
        <v>8</v>
      </c>
      <c r="H2635" t="str">
        <f>TRIM(SUBSTITUTE(PROPER(C2635)&amp;" "&amp;IF(OR(D2635="County",D2635="Township",D2635="Village",D2635="Charter Township"),D2635,"")&amp;IF(D2635="Township"," "&amp;"("&amp;VLOOKUP(A2635,counties,3,0)&amp;")",""),"  "," "))</f>
        <v>Paw Paw Township (Van Buren County)</v>
      </c>
    </row>
    <row r="2636" spans="1:8" ht="15.75" thickBot="1" x14ac:dyDescent="0.3">
      <c r="A2636">
        <f t="shared" si="42"/>
        <v>80</v>
      </c>
      <c r="B2636" s="8">
        <v>2016</v>
      </c>
      <c r="C2636" s="1" t="s">
        <v>2268</v>
      </c>
      <c r="D2636" s="1" t="s">
        <v>21</v>
      </c>
      <c r="E2636" s="2" t="s">
        <v>7</v>
      </c>
      <c r="F2636" s="9" t="s">
        <v>8</v>
      </c>
      <c r="H2636" t="str">
        <f>TRIM(SUBSTITUTE(PROPER(C2636)&amp;" "&amp;IF(OR(D2636="County",D2636="Township",D2636="Village",D2636="Charter Township"),D2636,"")&amp;IF(D2636="Township"," "&amp;"("&amp;VLOOKUP(A2636,counties,3,0)&amp;")",""),"  "," "))</f>
        <v>Paw Paw Village</v>
      </c>
    </row>
    <row r="2637" spans="1:8" ht="15.75" thickBot="1" x14ac:dyDescent="0.3">
      <c r="A2637">
        <f t="shared" si="42"/>
        <v>80</v>
      </c>
      <c r="B2637" s="10">
        <v>2016</v>
      </c>
      <c r="C2637" s="3" t="s">
        <v>2269</v>
      </c>
      <c r="D2637" s="3" t="s">
        <v>42</v>
      </c>
      <c r="E2637" s="4" t="s">
        <v>7</v>
      </c>
      <c r="F2637" s="11" t="s">
        <v>8</v>
      </c>
      <c r="H2637" t="str">
        <f>TRIM(SUBSTITUTE(PROPER(C2637)&amp;" "&amp;IF(OR(D2637="County",D2637="Township",D2637="Village",D2637="Charter Township"),D2637,"")&amp;IF(D2637="Township"," "&amp;"("&amp;VLOOKUP(A2637,counties,3,0)&amp;")",""),"  "," "))</f>
        <v>Paw Paw District Library</v>
      </c>
    </row>
    <row r="2638" spans="1:8" ht="15.75" thickBot="1" x14ac:dyDescent="0.3">
      <c r="A2638">
        <f t="shared" si="42"/>
        <v>80</v>
      </c>
      <c r="B2638" s="8">
        <v>2016</v>
      </c>
      <c r="C2638" s="1" t="s">
        <v>2270</v>
      </c>
      <c r="D2638" s="1" t="s">
        <v>17</v>
      </c>
      <c r="E2638" s="2" t="s">
        <v>7</v>
      </c>
      <c r="F2638" s="9" t="s">
        <v>19</v>
      </c>
      <c r="H2638" t="str">
        <f>TRIM(SUBSTITUTE(PROPER(C2638)&amp;" "&amp;IF(OR(D2638="County",D2638="Township",D2638="Village",D2638="Charter Township"),D2638,"")&amp;IF(D2638="Township"," "&amp;"("&amp;VLOOKUP(A2638,counties,3,0)&amp;")",""),"  "," "))</f>
        <v>Paw Paw Fire Department</v>
      </c>
    </row>
    <row r="2639" spans="1:8" ht="21.75" thickBot="1" x14ac:dyDescent="0.3">
      <c r="A2639">
        <f t="shared" si="42"/>
        <v>80</v>
      </c>
      <c r="B2639" s="10">
        <v>2016</v>
      </c>
      <c r="C2639" s="3" t="s">
        <v>2271</v>
      </c>
      <c r="D2639" s="3" t="s">
        <v>17</v>
      </c>
      <c r="E2639" s="4" t="s">
        <v>7</v>
      </c>
      <c r="F2639" s="11" t="s">
        <v>8</v>
      </c>
      <c r="H2639" t="str">
        <f>TRIM(SUBSTITUTE(PROPER(C2639)&amp;" "&amp;IF(OR(D2639="County",D2639="Township",D2639="Village",D2639="Charter Township"),D2639,"")&amp;IF(D2639="Township"," "&amp;"("&amp;VLOOKUP(A2639,counties,3,0)&amp;")",""),"  "," "))</f>
        <v>Paw Paw Lake Regional Joint Sewage Disposal Board</v>
      </c>
    </row>
    <row r="2640" spans="1:8" ht="15.75" thickBot="1" x14ac:dyDescent="0.3">
      <c r="A2640">
        <f t="shared" si="42"/>
        <v>80</v>
      </c>
      <c r="B2640" s="8">
        <v>2016</v>
      </c>
      <c r="C2640" s="1" t="s">
        <v>2272</v>
      </c>
      <c r="D2640" s="1" t="s">
        <v>9</v>
      </c>
      <c r="E2640" s="2" t="s">
        <v>7</v>
      </c>
      <c r="F2640" s="9" t="s">
        <v>8</v>
      </c>
      <c r="H2640" t="str">
        <f>TRIM(SUBSTITUTE(PROPER(C2640)&amp;" "&amp;IF(OR(D2640="County",D2640="Township",D2640="Village",D2640="Charter Township"),D2640,"")&amp;IF(D2640="Township"," "&amp;"("&amp;VLOOKUP(A2640,counties,3,0)&amp;")",""),"  "," "))</f>
        <v>Pine Grove Township (Van Buren County)</v>
      </c>
    </row>
    <row r="2641" spans="1:8" ht="15.75" thickBot="1" x14ac:dyDescent="0.3">
      <c r="A2641">
        <f t="shared" si="42"/>
        <v>80</v>
      </c>
      <c r="B2641" s="10">
        <v>2016</v>
      </c>
      <c r="C2641" s="3" t="s">
        <v>2273</v>
      </c>
      <c r="D2641" s="3" t="s">
        <v>15</v>
      </c>
      <c r="E2641" s="4" t="s">
        <v>7</v>
      </c>
      <c r="F2641" s="11" t="s">
        <v>8</v>
      </c>
      <c r="H2641" t="str">
        <f>TRIM(SUBSTITUTE(PROPER(C2641)&amp;" "&amp;IF(OR(D2641="County",D2641="Township",D2641="Village",D2641="Charter Township"),D2641,"")&amp;IF(D2641="Township"," "&amp;"("&amp;VLOOKUP(A2641,counties,3,0)&amp;")",""),"  "," "))</f>
        <v>South Haven</v>
      </c>
    </row>
    <row r="2642" spans="1:8" ht="15.75" thickBot="1" x14ac:dyDescent="0.3">
      <c r="A2642">
        <f t="shared" si="42"/>
        <v>80</v>
      </c>
      <c r="B2642" s="8">
        <v>2016</v>
      </c>
      <c r="C2642" s="1" t="s">
        <v>2274</v>
      </c>
      <c r="D2642" s="1" t="s">
        <v>17</v>
      </c>
      <c r="E2642" s="2" t="s">
        <v>7</v>
      </c>
      <c r="F2642" s="9" t="s">
        <v>8</v>
      </c>
      <c r="H2642" t="str">
        <f>TRIM(SUBSTITUTE(PROPER(C2642)&amp;" "&amp;IF(OR(D2642="County",D2642="Township",D2642="Village",D2642="Charter Township"),D2642,"")&amp;IF(D2642="Township"," "&amp;"("&amp;VLOOKUP(A2642,counties,3,0)&amp;")",""),"  "," "))</f>
        <v>South Haven Area Emergency Services Authority</v>
      </c>
    </row>
    <row r="2643" spans="1:8" ht="15.75" thickBot="1" x14ac:dyDescent="0.3">
      <c r="A2643">
        <f t="shared" si="42"/>
        <v>80</v>
      </c>
      <c r="B2643" s="10">
        <v>2016</v>
      </c>
      <c r="C2643" s="3" t="s">
        <v>2275</v>
      </c>
      <c r="D2643" s="3" t="s">
        <v>72</v>
      </c>
      <c r="E2643" s="4" t="s">
        <v>7</v>
      </c>
      <c r="F2643" s="11" t="s">
        <v>8</v>
      </c>
      <c r="H2643" t="str">
        <f>TRIM(SUBSTITUTE(PROPER(C2643)&amp;" "&amp;IF(OR(D2643="County",D2643="Township",D2643="Village",D2643="Charter Township"),D2643,"")&amp;IF(D2643="Township"," "&amp;"("&amp;VLOOKUP(A2643,counties,3,0)&amp;")",""),"  "," "))</f>
        <v>South Haven Area Recreational Authority</v>
      </c>
    </row>
    <row r="2644" spans="1:8" ht="15.75" thickBot="1" x14ac:dyDescent="0.3">
      <c r="A2644">
        <f t="shared" si="42"/>
        <v>80</v>
      </c>
      <c r="B2644" s="8">
        <v>2016</v>
      </c>
      <c r="C2644" s="1" t="s">
        <v>2276</v>
      </c>
      <c r="D2644" s="1" t="s">
        <v>9</v>
      </c>
      <c r="E2644" s="2" t="s">
        <v>7</v>
      </c>
      <c r="F2644" s="9" t="s">
        <v>8</v>
      </c>
      <c r="H2644" t="str">
        <f>TRIM(SUBSTITUTE(PROPER(C2644)&amp;" "&amp;IF(OR(D2644="County",D2644="Township",D2644="Village",D2644="Charter Township"),D2644,"")&amp;IF(D2644="Township"," "&amp;"("&amp;VLOOKUP(A2644,counties,3,0)&amp;")",""),"  "," "))</f>
        <v>South Haven Charter Township (Van Buren County)</v>
      </c>
    </row>
    <row r="2645" spans="1:8" ht="15.75" thickBot="1" x14ac:dyDescent="0.3">
      <c r="A2645">
        <f t="shared" si="42"/>
        <v>80</v>
      </c>
      <c r="B2645" s="10">
        <v>2016</v>
      </c>
      <c r="C2645" s="3" t="s">
        <v>2277</v>
      </c>
      <c r="D2645" s="3" t="s">
        <v>17</v>
      </c>
      <c r="E2645" s="4" t="s">
        <v>7</v>
      </c>
      <c r="F2645" s="11" t="s">
        <v>8</v>
      </c>
      <c r="H2645" t="str">
        <f>TRIM(SUBSTITUTE(PROPER(C2645)&amp;" "&amp;IF(OR(D2645="County",D2645="Township",D2645="Village",D2645="Charter Township"),D2645,"")&amp;IF(D2645="Township"," "&amp;"("&amp;VLOOKUP(A2645,counties,3,0)&amp;")",""),"  "," "))</f>
        <v>South Haven City Housing Commission</v>
      </c>
    </row>
    <row r="2646" spans="1:8" ht="15.75" thickBot="1" x14ac:dyDescent="0.3">
      <c r="A2646">
        <f t="shared" si="42"/>
        <v>80</v>
      </c>
      <c r="B2646" s="8">
        <v>2016</v>
      </c>
      <c r="C2646" s="1" t="s">
        <v>2278</v>
      </c>
      <c r="D2646" s="1" t="s">
        <v>17</v>
      </c>
      <c r="E2646" s="2" t="s">
        <v>7</v>
      </c>
      <c r="F2646" s="9" t="s">
        <v>8</v>
      </c>
      <c r="H2646" t="str">
        <f>TRIM(SUBSTITUTE(PROPER(C2646)&amp;" "&amp;IF(OR(D2646="County",D2646="Township",D2646="Village",D2646="Charter Township"),D2646,"")&amp;IF(D2646="Township"," "&amp;"("&amp;VLOOKUP(A2646,counties,3,0)&amp;")",""),"  "," "))</f>
        <v>South Haven Community Hospital Authority</v>
      </c>
    </row>
    <row r="2647" spans="1:8" ht="15.75" thickBot="1" x14ac:dyDescent="0.3">
      <c r="A2647">
        <f t="shared" si="42"/>
        <v>80</v>
      </c>
      <c r="B2647" s="10">
        <v>2016</v>
      </c>
      <c r="C2647" s="3" t="s">
        <v>2279</v>
      </c>
      <c r="D2647" s="3" t="s">
        <v>42</v>
      </c>
      <c r="E2647" s="4" t="s">
        <v>7</v>
      </c>
      <c r="F2647" s="11" t="s">
        <v>8</v>
      </c>
      <c r="H2647" t="str">
        <f>TRIM(SUBSTITUTE(PROPER(C2647)&amp;" "&amp;IF(OR(D2647="County",D2647="Township",D2647="Village",D2647="Charter Township"),D2647,"")&amp;IF(D2647="Township"," "&amp;"("&amp;VLOOKUP(A2647,counties,3,0)&amp;")",""),"  "," "))</f>
        <v>South Haven Memorial Library</v>
      </c>
    </row>
    <row r="2648" spans="1:8" ht="15.75" thickBot="1" x14ac:dyDescent="0.3">
      <c r="A2648">
        <f t="shared" si="42"/>
        <v>80</v>
      </c>
      <c r="B2648" s="8">
        <v>2016</v>
      </c>
      <c r="C2648" s="1" t="s">
        <v>2280</v>
      </c>
      <c r="D2648" s="1" t="s">
        <v>17</v>
      </c>
      <c r="E2648" s="2" t="s">
        <v>7</v>
      </c>
      <c r="F2648" s="9" t="s">
        <v>8</v>
      </c>
      <c r="H2648" t="str">
        <f>TRIM(SUBSTITUTE(PROPER(C2648)&amp;" "&amp;IF(OR(D2648="County",D2648="Township",D2648="Village",D2648="Charter Township"),D2648,"")&amp;IF(D2648="Township"," "&amp;"("&amp;VLOOKUP(A2648,counties,3,0)&amp;")",""),"  "," "))</f>
        <v>South Haven Regional Airport Authority</v>
      </c>
    </row>
    <row r="2649" spans="1:8" ht="15.75" thickBot="1" x14ac:dyDescent="0.3">
      <c r="A2649">
        <f t="shared" si="42"/>
        <v>80</v>
      </c>
      <c r="B2649" s="10">
        <v>2016</v>
      </c>
      <c r="C2649" s="3" t="s">
        <v>2281</v>
      </c>
      <c r="D2649" s="3" t="s">
        <v>42</v>
      </c>
      <c r="E2649" s="4" t="s">
        <v>7</v>
      </c>
      <c r="F2649" s="11" t="s">
        <v>8</v>
      </c>
      <c r="H2649" t="str">
        <f>TRIM(SUBSTITUTE(PROPER(C2649)&amp;" "&amp;IF(OR(D2649="County",D2649="Township",D2649="Village",D2649="Charter Township"),D2649,"")&amp;IF(D2649="Township"," "&amp;"("&amp;VLOOKUP(A2649,counties,3,0)&amp;")",""),"  "," "))</f>
        <v>Southwest Michigan Library Cooperative</v>
      </c>
    </row>
    <row r="2650" spans="1:8" ht="15.75" thickBot="1" x14ac:dyDescent="0.3">
      <c r="A2650">
        <f t="shared" si="42"/>
        <v>80</v>
      </c>
      <c r="B2650" s="8">
        <v>2016</v>
      </c>
      <c r="C2650" s="1" t="s">
        <v>2282</v>
      </c>
      <c r="D2650" s="1" t="s">
        <v>6</v>
      </c>
      <c r="E2650" s="2" t="s">
        <v>7</v>
      </c>
      <c r="F2650" s="9" t="s">
        <v>8</v>
      </c>
      <c r="H2650" t="str">
        <f>TRIM(SUBSTITUTE(PROPER(C2650)&amp;" "&amp;IF(OR(D2650="County",D2650="Township",D2650="Village",D2650="Charter Township"),D2650,"")&amp;IF(D2650="Township"," "&amp;"("&amp;VLOOKUP(A2650,counties,3,0)&amp;")",""),"  "," "))</f>
        <v>Van Buren County</v>
      </c>
    </row>
    <row r="2651" spans="1:8" ht="15.75" thickBot="1" x14ac:dyDescent="0.3">
      <c r="A2651">
        <f t="shared" si="42"/>
        <v>80</v>
      </c>
      <c r="B2651" s="10">
        <v>2016</v>
      </c>
      <c r="C2651" s="3" t="s">
        <v>2283</v>
      </c>
      <c r="D2651" s="3" t="s">
        <v>17</v>
      </c>
      <c r="E2651" s="4" t="s">
        <v>7</v>
      </c>
      <c r="F2651" s="11" t="s">
        <v>8</v>
      </c>
      <c r="H2651" t="str">
        <f>TRIM(SUBSTITUTE(PROPER(C2651)&amp;" "&amp;IF(OR(D2651="County",D2651="Township",D2651="Village",D2651="Charter Township"),D2651,"")&amp;IF(D2651="Township"," "&amp;"("&amp;VLOOKUP(A2651,counties,3,0)&amp;")",""),"  "," "))</f>
        <v>Van Buren Community Mental Health Authority</v>
      </c>
    </row>
    <row r="2652" spans="1:8" ht="15.75" thickBot="1" x14ac:dyDescent="0.3">
      <c r="A2652">
        <f t="shared" si="42"/>
        <v>80</v>
      </c>
      <c r="B2652" s="8">
        <v>2016</v>
      </c>
      <c r="C2652" s="1" t="s">
        <v>2284</v>
      </c>
      <c r="D2652" s="1" t="s">
        <v>17</v>
      </c>
      <c r="E2652" s="2" t="s">
        <v>7</v>
      </c>
      <c r="F2652" s="9" t="s">
        <v>8</v>
      </c>
      <c r="H2652" t="str">
        <f>TRIM(SUBSTITUTE(PROPER(C2652)&amp;" "&amp;IF(OR(D2652="County",D2652="Township",D2652="Village",D2652="Charter Township"),D2652,"")&amp;IF(D2652="Township"," "&amp;"("&amp;VLOOKUP(A2652,counties,3,0)&amp;")",""),"  "," "))</f>
        <v>Van Buren County Public Transit</v>
      </c>
    </row>
    <row r="2653" spans="1:8" ht="15.75" thickBot="1" x14ac:dyDescent="0.3">
      <c r="A2653">
        <f t="shared" si="42"/>
        <v>80</v>
      </c>
      <c r="B2653" s="10">
        <v>2016</v>
      </c>
      <c r="C2653" s="3" t="s">
        <v>2285</v>
      </c>
      <c r="D2653" s="3" t="s">
        <v>11</v>
      </c>
      <c r="E2653" s="4" t="s">
        <v>7</v>
      </c>
      <c r="F2653" s="11" t="s">
        <v>8</v>
      </c>
      <c r="H2653" t="str">
        <f>TRIM(SUBSTITUTE(PROPER(C2653)&amp;" "&amp;IF(OR(D2653="County",D2653="Township",D2653="Village",D2653="Charter Township"),D2653,"")&amp;IF(D2653="Township"," "&amp;"("&amp;VLOOKUP(A2653,counties,3,0)&amp;")",""),"  "," "))</f>
        <v>Van Buren County Road Commission</v>
      </c>
    </row>
    <row r="2654" spans="1:8" ht="15.75" thickBot="1" x14ac:dyDescent="0.3">
      <c r="A2654">
        <f t="shared" si="42"/>
        <v>80</v>
      </c>
      <c r="B2654" s="8">
        <v>2016</v>
      </c>
      <c r="C2654" s="1" t="s">
        <v>2286</v>
      </c>
      <c r="D2654" s="1" t="s">
        <v>42</v>
      </c>
      <c r="E2654" s="2" t="s">
        <v>7</v>
      </c>
      <c r="F2654" s="9" t="s">
        <v>8</v>
      </c>
      <c r="H2654" t="str">
        <f>TRIM(SUBSTITUTE(PROPER(C2654)&amp;" "&amp;IF(OR(D2654="County",D2654="Township",D2654="Village",D2654="Charter Township"),D2654,"")&amp;IF(D2654="Township"," "&amp;"("&amp;VLOOKUP(A2654,counties,3,0)&amp;")",""),"  "," "))</f>
        <v>Van Buren District Library</v>
      </c>
    </row>
    <row r="2655" spans="1:8" ht="15.75" thickBot="1" x14ac:dyDescent="0.3">
      <c r="A2655">
        <f t="shared" si="42"/>
        <v>80</v>
      </c>
      <c r="B2655" s="10">
        <v>2016</v>
      </c>
      <c r="C2655" s="3" t="s">
        <v>2287</v>
      </c>
      <c r="D2655" s="3" t="s">
        <v>17</v>
      </c>
      <c r="E2655" s="4" t="s">
        <v>7</v>
      </c>
      <c r="F2655" s="11" t="s">
        <v>8</v>
      </c>
      <c r="H2655" t="str">
        <f>TRIM(SUBSTITUTE(PROPER(C2655)&amp;" "&amp;IF(OR(D2655="County",D2655="Township",D2655="Village",D2655="Charter Township"),D2655,"")&amp;IF(D2655="Township"," "&amp;"("&amp;VLOOKUP(A2655,counties,3,0)&amp;")",""),"  "," "))</f>
        <v>Van Buren/Cass Co District Public Health Dept</v>
      </c>
    </row>
    <row r="2656" spans="1:8" ht="15.75" thickBot="1" x14ac:dyDescent="0.3">
      <c r="A2656">
        <f t="shared" si="42"/>
        <v>80</v>
      </c>
      <c r="B2656" s="16">
        <v>2016</v>
      </c>
      <c r="C2656" s="17" t="s">
        <v>460</v>
      </c>
      <c r="D2656" s="17" t="s">
        <v>9</v>
      </c>
      <c r="E2656" s="18" t="s">
        <v>7</v>
      </c>
      <c r="F2656" s="19" t="s">
        <v>8</v>
      </c>
      <c r="H2656" t="str">
        <f>TRIM(SUBSTITUTE(PROPER(C2656)&amp;" "&amp;IF(OR(D2656="County",D2656="Township",D2656="Village",D2656="Charter Township"),D2656,"")&amp;IF(D2656="Township"," "&amp;"("&amp;VLOOKUP(A2656,counties,3,0)&amp;")",""),"  "," "))</f>
        <v>Waverly Township (Van Buren County)</v>
      </c>
    </row>
    <row r="2657" spans="1:8" ht="16.5" thickTop="1" thickBot="1" x14ac:dyDescent="0.3">
      <c r="A2657">
        <f t="shared" si="42"/>
        <v>81</v>
      </c>
      <c r="B2657" s="5" t="s">
        <v>0</v>
      </c>
      <c r="C2657" s="6" t="s">
        <v>1</v>
      </c>
      <c r="D2657" s="6" t="s">
        <v>2</v>
      </c>
      <c r="E2657" s="6" t="s">
        <v>3</v>
      </c>
      <c r="F2657" s="7" t="s">
        <v>4</v>
      </c>
      <c r="H2657" t="str">
        <f>TRIM(SUBSTITUTE(PROPER(C2657)&amp;" "&amp;IF(OR(D2657="County",D2657="Township",D2657="Village",D2657="Charter Township"),D2657,"")&amp;IF(D2657="Township"," "&amp;"("&amp;VLOOKUP(A2657,counties,3,0)&amp;")",""),"  "," "))</f>
        <v>Municipality</v>
      </c>
    </row>
    <row r="2658" spans="1:8" ht="15.75" thickBot="1" x14ac:dyDescent="0.3">
      <c r="A2658">
        <f t="shared" si="42"/>
        <v>81</v>
      </c>
      <c r="B2658" s="8">
        <v>2016</v>
      </c>
      <c r="C2658" s="1" t="s">
        <v>2288</v>
      </c>
      <c r="D2658" s="1" t="s">
        <v>17</v>
      </c>
      <c r="E2658" s="2" t="s">
        <v>7</v>
      </c>
      <c r="F2658" s="9" t="s">
        <v>8</v>
      </c>
      <c r="H2658" t="str">
        <f>TRIM(SUBSTITUTE(PROPER(C2658)&amp;" "&amp;IF(OR(D2658="County",D2658="Township",D2658="Village",D2658="Charter Township"),D2658,"")&amp;IF(D2658="Township"," "&amp;"("&amp;VLOOKUP(A2658,counties,3,0)&amp;")",""),"  "," "))</f>
        <v>15Th District-Ann Arbor Court Agency Fund</v>
      </c>
    </row>
    <row r="2659" spans="1:8" ht="15.75" thickBot="1" x14ac:dyDescent="0.3">
      <c r="A2659">
        <f t="shared" si="42"/>
        <v>81</v>
      </c>
      <c r="B2659" s="10">
        <v>2016</v>
      </c>
      <c r="C2659" s="3" t="s">
        <v>2289</v>
      </c>
      <c r="D2659" s="3" t="s">
        <v>15</v>
      </c>
      <c r="E2659" s="4" t="s">
        <v>7</v>
      </c>
      <c r="F2659" s="11" t="s">
        <v>8</v>
      </c>
      <c r="H2659" t="str">
        <f>TRIM(SUBSTITUTE(PROPER(C2659)&amp;" "&amp;IF(OR(D2659="County",D2659="Township",D2659="Village",D2659="Charter Township"),D2659,"")&amp;IF(D2659="Township"," "&amp;"("&amp;VLOOKUP(A2659,counties,3,0)&amp;")",""),"  "," "))</f>
        <v>Ann Arbor</v>
      </c>
    </row>
    <row r="2660" spans="1:8" ht="15.75" thickBot="1" x14ac:dyDescent="0.3">
      <c r="A2660">
        <f t="shared" si="42"/>
        <v>81</v>
      </c>
      <c r="B2660" s="8">
        <v>2016</v>
      </c>
      <c r="C2660" s="1" t="s">
        <v>2290</v>
      </c>
      <c r="D2660" s="1" t="s">
        <v>9</v>
      </c>
      <c r="E2660" s="2" t="s">
        <v>7</v>
      </c>
      <c r="F2660" s="9" t="s">
        <v>8</v>
      </c>
      <c r="H2660" t="str">
        <f>TRIM(SUBSTITUTE(PROPER(C2660)&amp;" "&amp;IF(OR(D2660="County",D2660="Township",D2660="Village",D2660="Charter Township"),D2660,"")&amp;IF(D2660="Township"," "&amp;"("&amp;VLOOKUP(A2660,counties,3,0)&amp;")",""),"  "," "))</f>
        <v>Ann Arbor Charter Township (Washtenaw County)</v>
      </c>
    </row>
    <row r="2661" spans="1:8" ht="15.75" thickBot="1" x14ac:dyDescent="0.3">
      <c r="A2661">
        <f t="shared" si="42"/>
        <v>81</v>
      </c>
      <c r="B2661" s="10">
        <v>2016</v>
      </c>
      <c r="C2661" s="3" t="s">
        <v>2291</v>
      </c>
      <c r="D2661" s="3" t="s">
        <v>17</v>
      </c>
      <c r="E2661" s="4" t="s">
        <v>7</v>
      </c>
      <c r="F2661" s="11" t="s">
        <v>8</v>
      </c>
      <c r="H2661" t="str">
        <f>TRIM(SUBSTITUTE(PROPER(C2661)&amp;" "&amp;IF(OR(D2661="County",D2661="Township",D2661="Village",D2661="Charter Township"),D2661,"")&amp;IF(D2661="Township"," "&amp;"("&amp;VLOOKUP(A2661,counties,3,0)&amp;")",""),"  "," "))</f>
        <v>Ann Arbor City Dda</v>
      </c>
    </row>
    <row r="2662" spans="1:8" ht="15.75" thickBot="1" x14ac:dyDescent="0.3">
      <c r="A2662">
        <f t="shared" si="42"/>
        <v>81</v>
      </c>
      <c r="B2662" s="8">
        <v>2016</v>
      </c>
      <c r="C2662" s="1" t="s">
        <v>2292</v>
      </c>
      <c r="D2662" s="1" t="s">
        <v>17</v>
      </c>
      <c r="E2662" s="2" t="s">
        <v>7</v>
      </c>
      <c r="F2662" s="9" t="s">
        <v>8</v>
      </c>
      <c r="H2662" t="str">
        <f>TRIM(SUBSTITUTE(PROPER(C2662)&amp;" "&amp;IF(OR(D2662="County",D2662="Township",D2662="Village",D2662="Charter Township"),D2662,"")&amp;IF(D2662="Township"," "&amp;"("&amp;VLOOKUP(A2662,counties,3,0)&amp;")",""),"  "," "))</f>
        <v>Ann Arbor City Employees Retirement System</v>
      </c>
    </row>
    <row r="2663" spans="1:8" ht="15.75" thickBot="1" x14ac:dyDescent="0.3">
      <c r="A2663">
        <f t="shared" si="42"/>
        <v>81</v>
      </c>
      <c r="B2663" s="10">
        <v>2016</v>
      </c>
      <c r="C2663" s="3" t="s">
        <v>2293</v>
      </c>
      <c r="D2663" s="3" t="s">
        <v>17</v>
      </c>
      <c r="E2663" s="4" t="s">
        <v>7</v>
      </c>
      <c r="F2663" s="11" t="s">
        <v>8</v>
      </c>
      <c r="H2663" t="str">
        <f>TRIM(SUBSTITUTE(PROPER(C2663)&amp;" "&amp;IF(OR(D2663="County",D2663="Township",D2663="Village",D2663="Charter Township"),D2663,"")&amp;IF(D2663="Township"," "&amp;"("&amp;VLOOKUP(A2663,counties,3,0)&amp;")",""),"  "," "))</f>
        <v>Ann Arbor City Housing Commission</v>
      </c>
    </row>
    <row r="2664" spans="1:8" ht="15.75" thickBot="1" x14ac:dyDescent="0.3">
      <c r="A2664">
        <f t="shared" si="42"/>
        <v>81</v>
      </c>
      <c r="B2664" s="8">
        <v>2016</v>
      </c>
      <c r="C2664" s="1" t="s">
        <v>2294</v>
      </c>
      <c r="D2664" s="1" t="s">
        <v>42</v>
      </c>
      <c r="E2664" s="2" t="s">
        <v>7</v>
      </c>
      <c r="F2664" s="9" t="s">
        <v>8</v>
      </c>
      <c r="H2664" t="str">
        <f>TRIM(SUBSTITUTE(PROPER(C2664)&amp;" "&amp;IF(OR(D2664="County",D2664="Township",D2664="Village",D2664="Charter Township"),D2664,"")&amp;IF(D2664="Township"," "&amp;"("&amp;VLOOKUP(A2664,counties,3,0)&amp;")",""),"  "," "))</f>
        <v>Ann Arbor District Library</v>
      </c>
    </row>
    <row r="2665" spans="1:8" ht="15.75" thickBot="1" x14ac:dyDescent="0.3">
      <c r="A2665">
        <f t="shared" si="42"/>
        <v>81</v>
      </c>
      <c r="B2665" s="10">
        <v>2016</v>
      </c>
      <c r="C2665" s="3" t="s">
        <v>2295</v>
      </c>
      <c r="D2665" s="3" t="s">
        <v>17</v>
      </c>
      <c r="E2665" s="4" t="s">
        <v>7</v>
      </c>
      <c r="F2665" s="11" t="s">
        <v>8</v>
      </c>
      <c r="H2665" t="str">
        <f>TRIM(SUBSTITUTE(PROPER(C2665)&amp;" "&amp;IF(OR(D2665="County",D2665="Township",D2665="Village",D2665="Charter Township"),D2665,"")&amp;IF(D2665="Township"," "&amp;"("&amp;VLOOKUP(A2665,counties,3,0)&amp;")",""),"  "," "))</f>
        <v>Ann Arbor Retiree Healthcare Benefits Plan/Trust</v>
      </c>
    </row>
    <row r="2666" spans="1:8" ht="15.75" thickBot="1" x14ac:dyDescent="0.3">
      <c r="A2666">
        <f t="shared" si="42"/>
        <v>81</v>
      </c>
      <c r="B2666" s="8">
        <v>2016</v>
      </c>
      <c r="C2666" s="1" t="s">
        <v>2296</v>
      </c>
      <c r="D2666" s="1" t="s">
        <v>17</v>
      </c>
      <c r="E2666" s="2" t="s">
        <v>7</v>
      </c>
      <c r="F2666" s="9" t="s">
        <v>8</v>
      </c>
      <c r="H2666" t="str">
        <f>TRIM(SUBSTITUTE(PROPER(C2666)&amp;" "&amp;IF(OR(D2666="County",D2666="Township",D2666="Village",D2666="Charter Township"),D2666,"")&amp;IF(D2666="Township"," "&amp;"("&amp;VLOOKUP(A2666,counties,3,0)&amp;")",""),"  "," "))</f>
        <v>Ann Arbor Transportation Authority</v>
      </c>
    </row>
    <row r="2667" spans="1:8" ht="15.75" thickBot="1" x14ac:dyDescent="0.3">
      <c r="A2667">
        <f t="shared" si="42"/>
        <v>81</v>
      </c>
      <c r="B2667" s="10">
        <v>2016</v>
      </c>
      <c r="C2667" s="3" t="s">
        <v>2297</v>
      </c>
      <c r="D2667" s="3" t="s">
        <v>21</v>
      </c>
      <c r="E2667" s="4" t="s">
        <v>7</v>
      </c>
      <c r="F2667" s="11" t="s">
        <v>8</v>
      </c>
      <c r="H2667" t="str">
        <f>TRIM(SUBSTITUTE(PROPER(C2667)&amp;" "&amp;IF(OR(D2667="County",D2667="Township",D2667="Village",D2667="Charter Township"),D2667,"")&amp;IF(D2667="Township"," "&amp;"("&amp;VLOOKUP(A2667,counties,3,0)&amp;")",""),"  "," "))</f>
        <v>Barton Hills Village</v>
      </c>
    </row>
    <row r="2668" spans="1:8" ht="15.75" thickBot="1" x14ac:dyDescent="0.3">
      <c r="A2668">
        <f t="shared" si="42"/>
        <v>81</v>
      </c>
      <c r="B2668" s="8">
        <v>2016</v>
      </c>
      <c r="C2668" s="1" t="s">
        <v>2298</v>
      </c>
      <c r="D2668" s="1" t="s">
        <v>9</v>
      </c>
      <c r="E2668" s="2" t="s">
        <v>7</v>
      </c>
      <c r="F2668" s="9" t="s">
        <v>8</v>
      </c>
      <c r="H2668" t="str">
        <f>TRIM(SUBSTITUTE(PROPER(C2668)&amp;" "&amp;IF(OR(D2668="County",D2668="Township",D2668="Village",D2668="Charter Township"),D2668,"")&amp;IF(D2668="Township"," "&amp;"("&amp;VLOOKUP(A2668,counties,3,0)&amp;")",""),"  "," "))</f>
        <v>Bridgewater Township (Washtenaw County)</v>
      </c>
    </row>
    <row r="2669" spans="1:8" ht="15.75" thickBot="1" x14ac:dyDescent="0.3">
      <c r="A2669">
        <f t="shared" si="42"/>
        <v>81</v>
      </c>
      <c r="B2669" s="10">
        <v>2016</v>
      </c>
      <c r="C2669" s="3" t="s">
        <v>2299</v>
      </c>
      <c r="D2669" s="3" t="s">
        <v>15</v>
      </c>
      <c r="E2669" s="4" t="s">
        <v>7</v>
      </c>
      <c r="F2669" s="11" t="s">
        <v>8</v>
      </c>
      <c r="H2669" t="str">
        <f>TRIM(SUBSTITUTE(PROPER(C2669)&amp;" "&amp;IF(OR(D2669="County",D2669="Township",D2669="Village",D2669="Charter Township"),D2669,"")&amp;IF(D2669="Township"," "&amp;"("&amp;VLOOKUP(A2669,counties,3,0)&amp;")",""),"  "," "))</f>
        <v>Chelsea</v>
      </c>
    </row>
    <row r="2670" spans="1:8" ht="15.75" thickBot="1" x14ac:dyDescent="0.3">
      <c r="A2670">
        <f t="shared" si="42"/>
        <v>81</v>
      </c>
      <c r="B2670" s="8">
        <v>2016</v>
      </c>
      <c r="C2670" s="1" t="s">
        <v>2300</v>
      </c>
      <c r="D2670" s="1" t="s">
        <v>17</v>
      </c>
      <c r="E2670" s="2" t="s">
        <v>7</v>
      </c>
      <c r="F2670" s="9" t="s">
        <v>19</v>
      </c>
      <c r="H2670" t="str">
        <f>TRIM(SUBSTITUTE(PROPER(C2670)&amp;" "&amp;IF(OR(D2670="County",D2670="Township",D2670="Village",D2670="Charter Township"),D2670,"")&amp;IF(D2670="Township"," "&amp;"("&amp;VLOOKUP(A2670,counties,3,0)&amp;")",""),"  "," "))</f>
        <v>Chelsea Area Construction Agency</v>
      </c>
    </row>
    <row r="2671" spans="1:8" ht="15.75" thickBot="1" x14ac:dyDescent="0.3">
      <c r="A2671">
        <f t="shared" si="42"/>
        <v>81</v>
      </c>
      <c r="B2671" s="10">
        <v>2016</v>
      </c>
      <c r="C2671" s="3" t="s">
        <v>2301</v>
      </c>
      <c r="D2671" s="3" t="s">
        <v>17</v>
      </c>
      <c r="E2671" s="4" t="s">
        <v>7</v>
      </c>
      <c r="F2671" s="11" t="s">
        <v>8</v>
      </c>
      <c r="H2671" t="str">
        <f>TRIM(SUBSTITUTE(PROPER(C2671)&amp;" "&amp;IF(OR(D2671="County",D2671="Township",D2671="Village",D2671="Charter Township"),D2671,"")&amp;IF(D2671="Township"," "&amp;"("&amp;VLOOKUP(A2671,counties,3,0)&amp;")",""),"  "," "))</f>
        <v>Chelsea Area Fire Authority</v>
      </c>
    </row>
    <row r="2672" spans="1:8" ht="15.75" thickBot="1" x14ac:dyDescent="0.3">
      <c r="A2672">
        <f t="shared" si="42"/>
        <v>81</v>
      </c>
      <c r="B2672" s="8">
        <v>2016</v>
      </c>
      <c r="C2672" s="1" t="s">
        <v>2302</v>
      </c>
      <c r="D2672" s="1" t="s">
        <v>42</v>
      </c>
      <c r="E2672" s="2" t="s">
        <v>7</v>
      </c>
      <c r="F2672" s="9" t="s">
        <v>8</v>
      </c>
      <c r="H2672" t="str">
        <f>TRIM(SUBSTITUTE(PROPER(C2672)&amp;" "&amp;IF(OR(D2672="County",D2672="Township",D2672="Village",D2672="Charter Township"),D2672,"")&amp;IF(D2672="Township"," "&amp;"("&amp;VLOOKUP(A2672,counties,3,0)&amp;")",""),"  "," "))</f>
        <v>Chelsea District Library</v>
      </c>
    </row>
    <row r="2673" spans="1:8" ht="15.75" thickBot="1" x14ac:dyDescent="0.3">
      <c r="A2673">
        <f t="shared" si="42"/>
        <v>81</v>
      </c>
      <c r="B2673" s="10">
        <v>2016</v>
      </c>
      <c r="C2673" s="3" t="s">
        <v>2303</v>
      </c>
      <c r="D2673" s="3" t="s">
        <v>17</v>
      </c>
      <c r="E2673" s="4" t="s">
        <v>7</v>
      </c>
      <c r="F2673" s="11" t="s">
        <v>8</v>
      </c>
      <c r="H2673" t="str">
        <f>TRIM(SUBSTITUTE(PROPER(C2673)&amp;" "&amp;IF(OR(D2673="County",D2673="Township",D2673="Village",D2673="Charter Township"),D2673,"")&amp;IF(D2673="Township"," "&amp;"("&amp;VLOOKUP(A2673,counties,3,0)&amp;")",""),"  "," "))</f>
        <v>Community Mental Health Partnership Of Southeast Michigan</v>
      </c>
    </row>
    <row r="2674" spans="1:8" ht="15.75" thickBot="1" x14ac:dyDescent="0.3">
      <c r="A2674">
        <f t="shared" si="42"/>
        <v>81</v>
      </c>
      <c r="B2674" s="8">
        <v>2016</v>
      </c>
      <c r="C2674" s="1" t="s">
        <v>2304</v>
      </c>
      <c r="D2674" s="1" t="s">
        <v>15</v>
      </c>
      <c r="E2674" s="2" t="s">
        <v>7</v>
      </c>
      <c r="F2674" s="9" t="s">
        <v>8</v>
      </c>
      <c r="H2674" t="str">
        <f>TRIM(SUBSTITUTE(PROPER(C2674)&amp;" "&amp;IF(OR(D2674="County",D2674="Township",D2674="Village",D2674="Charter Township"),D2674,"")&amp;IF(D2674="Township"," "&amp;"("&amp;VLOOKUP(A2674,counties,3,0)&amp;")",""),"  "," "))</f>
        <v>Dexter</v>
      </c>
    </row>
    <row r="2675" spans="1:8" ht="15.75" thickBot="1" x14ac:dyDescent="0.3">
      <c r="A2675">
        <f t="shared" si="42"/>
        <v>81</v>
      </c>
      <c r="B2675" s="10">
        <v>2016</v>
      </c>
      <c r="C2675" s="3" t="s">
        <v>2305</v>
      </c>
      <c r="D2675" s="3" t="s">
        <v>9</v>
      </c>
      <c r="E2675" s="4" t="s">
        <v>7</v>
      </c>
      <c r="F2675" s="11" t="s">
        <v>8</v>
      </c>
      <c r="H2675" t="str">
        <f>TRIM(SUBSTITUTE(PROPER(C2675)&amp;" "&amp;IF(OR(D2675="County",D2675="Township",D2675="Village",D2675="Charter Township"),D2675,"")&amp;IF(D2675="Township"," "&amp;"("&amp;VLOOKUP(A2675,counties,3,0)&amp;")",""),"  "," "))</f>
        <v>Dexter Township (Washtenaw County)</v>
      </c>
    </row>
    <row r="2676" spans="1:8" ht="15.75" thickBot="1" x14ac:dyDescent="0.3">
      <c r="A2676">
        <f t="shared" si="42"/>
        <v>81</v>
      </c>
      <c r="B2676" s="8">
        <v>2016</v>
      </c>
      <c r="C2676" s="1" t="s">
        <v>2306</v>
      </c>
      <c r="D2676" s="1" t="s">
        <v>17</v>
      </c>
      <c r="E2676" s="2" t="s">
        <v>7</v>
      </c>
      <c r="F2676" s="9" t="s">
        <v>8</v>
      </c>
      <c r="H2676" t="str">
        <f>TRIM(SUBSTITUTE(PROPER(C2676)&amp;" "&amp;IF(OR(D2676="County",D2676="Township",D2676="Village",D2676="Charter Township"),D2676,"")&amp;IF(D2676="Township"," "&amp;"("&amp;VLOOKUP(A2676,counties,3,0)&amp;")",""),"  "," "))</f>
        <v>Dexter Area Fire Department</v>
      </c>
    </row>
    <row r="2677" spans="1:8" ht="15.75" thickBot="1" x14ac:dyDescent="0.3">
      <c r="A2677">
        <f t="shared" si="42"/>
        <v>81</v>
      </c>
      <c r="B2677" s="10">
        <v>2016</v>
      </c>
      <c r="C2677" s="3" t="s">
        <v>2307</v>
      </c>
      <c r="D2677" s="3" t="s">
        <v>42</v>
      </c>
      <c r="E2677" s="4" t="s">
        <v>7</v>
      </c>
      <c r="F2677" s="11" t="s">
        <v>8</v>
      </c>
      <c r="H2677" t="str">
        <f>TRIM(SUBSTITUTE(PROPER(C2677)&amp;" "&amp;IF(OR(D2677="County",D2677="Township",D2677="Village",D2677="Charter Township"),D2677,"")&amp;IF(D2677="Township"," "&amp;"("&amp;VLOOKUP(A2677,counties,3,0)&amp;")",""),"  "," "))</f>
        <v>Dexter District Library</v>
      </c>
    </row>
    <row r="2678" spans="1:8" ht="15.75" thickBot="1" x14ac:dyDescent="0.3">
      <c r="A2678">
        <f t="shared" si="42"/>
        <v>81</v>
      </c>
      <c r="B2678" s="8">
        <v>2016</v>
      </c>
      <c r="C2678" s="1" t="s">
        <v>2308</v>
      </c>
      <c r="D2678" s="1" t="s">
        <v>9</v>
      </c>
      <c r="E2678" s="2" t="s">
        <v>7</v>
      </c>
      <c r="F2678" s="9" t="s">
        <v>8</v>
      </c>
      <c r="H2678" t="str">
        <f>TRIM(SUBSTITUTE(PROPER(C2678)&amp;" "&amp;IF(OR(D2678="County",D2678="Township",D2678="Village",D2678="Charter Township"),D2678,"")&amp;IF(D2678="Township"," "&amp;"("&amp;VLOOKUP(A2678,counties,3,0)&amp;")",""),"  "," "))</f>
        <v>Freedom Township (Washtenaw County)</v>
      </c>
    </row>
    <row r="2679" spans="1:8" ht="21.75" thickBot="1" x14ac:dyDescent="0.3">
      <c r="A2679">
        <f t="shared" si="42"/>
        <v>81</v>
      </c>
      <c r="B2679" s="10">
        <v>2016</v>
      </c>
      <c r="C2679" s="3" t="s">
        <v>2309</v>
      </c>
      <c r="D2679" s="3" t="s">
        <v>17</v>
      </c>
      <c r="E2679" s="4" t="s">
        <v>7</v>
      </c>
      <c r="F2679" s="11" t="s">
        <v>8</v>
      </c>
      <c r="H2679" t="str">
        <f>TRIM(SUBSTITUTE(PROPER(C2679)&amp;" "&amp;IF(OR(D2679="County",D2679="Township",D2679="Village",D2679="Charter Township"),D2679,"")&amp;IF(D2679="Township"," "&amp;"("&amp;VLOOKUP(A2679,counties,3,0)&amp;")",""),"  "," "))</f>
        <v>Lawnet-Livingston And Washtenaw Narcotics Enforcement Team</v>
      </c>
    </row>
    <row r="2680" spans="1:8" ht="15.75" thickBot="1" x14ac:dyDescent="0.3">
      <c r="A2680">
        <f t="shared" si="42"/>
        <v>81</v>
      </c>
      <c r="B2680" s="8">
        <v>2016</v>
      </c>
      <c r="C2680" s="1" t="s">
        <v>2310</v>
      </c>
      <c r="D2680" s="1" t="s">
        <v>9</v>
      </c>
      <c r="E2680" s="2" t="s">
        <v>7</v>
      </c>
      <c r="F2680" s="9" t="s">
        <v>19</v>
      </c>
      <c r="H2680" t="str">
        <f>TRIM(SUBSTITUTE(PROPER(C2680)&amp;" "&amp;IF(OR(D2680="County",D2680="Township",D2680="Village",D2680="Charter Township"),D2680,"")&amp;IF(D2680="Township"," "&amp;"("&amp;VLOOKUP(A2680,counties,3,0)&amp;")",""),"  "," "))</f>
        <v>Lima Township (Washtenaw County)</v>
      </c>
    </row>
    <row r="2681" spans="1:8" ht="15.75" thickBot="1" x14ac:dyDescent="0.3">
      <c r="A2681">
        <f t="shared" si="42"/>
        <v>81</v>
      </c>
      <c r="B2681" s="10">
        <v>2016</v>
      </c>
      <c r="C2681" s="3" t="s">
        <v>2311</v>
      </c>
      <c r="D2681" s="3" t="s">
        <v>17</v>
      </c>
      <c r="E2681" s="4" t="s">
        <v>7</v>
      </c>
      <c r="F2681" s="11" t="s">
        <v>8</v>
      </c>
      <c r="H2681" t="str">
        <f>TRIM(SUBSTITUTE(PROPER(C2681)&amp;" "&amp;IF(OR(D2681="County",D2681="Township",D2681="Village",D2681="Charter Township"),D2681,"")&amp;IF(D2681="Township"," "&amp;"("&amp;VLOOKUP(A2681,counties,3,0)&amp;")",""),"  "," "))</f>
        <v>Loch Alpine Sanitary Authority</v>
      </c>
    </row>
    <row r="2682" spans="1:8" ht="15.75" thickBot="1" x14ac:dyDescent="0.3">
      <c r="A2682">
        <f t="shared" si="42"/>
        <v>81</v>
      </c>
      <c r="B2682" s="8">
        <v>2016</v>
      </c>
      <c r="C2682" s="1" t="s">
        <v>2312</v>
      </c>
      <c r="D2682" s="1" t="s">
        <v>9</v>
      </c>
      <c r="E2682" s="2" t="s">
        <v>7</v>
      </c>
      <c r="F2682" s="9" t="s">
        <v>19</v>
      </c>
      <c r="H2682" t="str">
        <f>TRIM(SUBSTITUTE(PROPER(C2682)&amp;" "&amp;IF(OR(D2682="County",D2682="Township",D2682="Village",D2682="Charter Township"),D2682,"")&amp;IF(D2682="Township"," "&amp;"("&amp;VLOOKUP(A2682,counties,3,0)&amp;")",""),"  "," "))</f>
        <v>Lodi Township (Washtenaw County)</v>
      </c>
    </row>
    <row r="2683" spans="1:8" ht="15.75" thickBot="1" x14ac:dyDescent="0.3">
      <c r="A2683">
        <f t="shared" si="42"/>
        <v>81</v>
      </c>
      <c r="B2683" s="10">
        <v>2016</v>
      </c>
      <c r="C2683" s="3" t="s">
        <v>2313</v>
      </c>
      <c r="D2683" s="3" t="s">
        <v>9</v>
      </c>
      <c r="E2683" s="4" t="s">
        <v>7</v>
      </c>
      <c r="F2683" s="11" t="s">
        <v>8</v>
      </c>
      <c r="H2683" t="str">
        <f>TRIM(SUBSTITUTE(PROPER(C2683)&amp;" "&amp;IF(OR(D2683="County",D2683="Township",D2683="Village",D2683="Charter Township"),D2683,"")&amp;IF(D2683="Township"," "&amp;"("&amp;VLOOKUP(A2683,counties,3,0)&amp;")",""),"  "," "))</f>
        <v>Lyndon Township (Washtenaw County)</v>
      </c>
    </row>
    <row r="2684" spans="1:8" ht="15.75" thickBot="1" x14ac:dyDescent="0.3">
      <c r="A2684">
        <f t="shared" si="42"/>
        <v>81</v>
      </c>
      <c r="B2684" s="8">
        <v>2016</v>
      </c>
      <c r="C2684" s="1" t="s">
        <v>2314</v>
      </c>
      <c r="D2684" s="1" t="s">
        <v>9</v>
      </c>
      <c r="E2684" s="2" t="s">
        <v>7</v>
      </c>
      <c r="F2684" s="9" t="s">
        <v>8</v>
      </c>
      <c r="H2684" t="str">
        <f>TRIM(SUBSTITUTE(PROPER(C2684)&amp;" "&amp;IF(OR(D2684="County",D2684="Township",D2684="Village",D2684="Charter Township"),D2684,"")&amp;IF(D2684="Township"," "&amp;"("&amp;VLOOKUP(A2684,counties,3,0)&amp;")",""),"  "," "))</f>
        <v>Manchester Township (Washtenaw County)</v>
      </c>
    </row>
    <row r="2685" spans="1:8" ht="15.75" thickBot="1" x14ac:dyDescent="0.3">
      <c r="A2685">
        <f t="shared" si="42"/>
        <v>81</v>
      </c>
      <c r="B2685" s="10">
        <v>2016</v>
      </c>
      <c r="C2685" s="3" t="s">
        <v>2314</v>
      </c>
      <c r="D2685" s="3" t="s">
        <v>21</v>
      </c>
      <c r="E2685" s="4" t="s">
        <v>7</v>
      </c>
      <c r="F2685" s="11" t="s">
        <v>8</v>
      </c>
      <c r="H2685" t="str">
        <f>TRIM(SUBSTITUTE(PROPER(C2685)&amp;" "&amp;IF(OR(D2685="County",D2685="Township",D2685="Village",D2685="Charter Township"),D2685,"")&amp;IF(D2685="Township"," "&amp;"("&amp;VLOOKUP(A2685,counties,3,0)&amp;")",""),"  "," "))</f>
        <v>Manchester Village</v>
      </c>
    </row>
    <row r="2686" spans="1:8" ht="15.75" thickBot="1" x14ac:dyDescent="0.3">
      <c r="A2686">
        <f t="shared" si="42"/>
        <v>81</v>
      </c>
      <c r="B2686" s="8">
        <v>2016</v>
      </c>
      <c r="C2686" s="1" t="s">
        <v>2315</v>
      </c>
      <c r="D2686" s="1" t="s">
        <v>42</v>
      </c>
      <c r="E2686" s="2" t="s">
        <v>7</v>
      </c>
      <c r="F2686" s="9" t="s">
        <v>8</v>
      </c>
      <c r="H2686" t="str">
        <f>TRIM(SUBSTITUTE(PROPER(C2686)&amp;" "&amp;IF(OR(D2686="County",D2686="Township",D2686="Village",D2686="Charter Township"),D2686,"")&amp;IF(D2686="Township"," "&amp;"("&amp;VLOOKUP(A2686,counties,3,0)&amp;")",""),"  "," "))</f>
        <v>Manchester District Library</v>
      </c>
    </row>
    <row r="2687" spans="1:8" ht="15.75" thickBot="1" x14ac:dyDescent="0.3">
      <c r="A2687">
        <f t="shared" si="42"/>
        <v>81</v>
      </c>
      <c r="B2687" s="10">
        <v>2016</v>
      </c>
      <c r="C2687" s="3" t="s">
        <v>1618</v>
      </c>
      <c r="D2687" s="3" t="s">
        <v>15</v>
      </c>
      <c r="E2687" s="4" t="s">
        <v>7</v>
      </c>
      <c r="F2687" s="11" t="s">
        <v>8</v>
      </c>
      <c r="H2687" t="str">
        <f>TRIM(SUBSTITUTE(PROPER(C2687)&amp;" "&amp;IF(OR(D2687="County",D2687="Township",D2687="Village",D2687="Charter Township"),D2687,"")&amp;IF(D2687="Township"," "&amp;"("&amp;VLOOKUP(A2687,counties,3,0)&amp;")",""),"  "," "))</f>
        <v>Milan</v>
      </c>
    </row>
    <row r="2688" spans="1:8" ht="15.75" thickBot="1" x14ac:dyDescent="0.3">
      <c r="A2688">
        <f t="shared" si="42"/>
        <v>81</v>
      </c>
      <c r="B2688" s="8">
        <v>2016</v>
      </c>
      <c r="C2688" s="1" t="s">
        <v>2316</v>
      </c>
      <c r="D2688" s="1" t="s">
        <v>17</v>
      </c>
      <c r="E2688" s="2" t="s">
        <v>7</v>
      </c>
      <c r="F2688" s="9" t="s">
        <v>8</v>
      </c>
      <c r="H2688" t="str">
        <f>TRIM(SUBSTITUTE(PROPER(C2688)&amp;" "&amp;IF(OR(D2688="County",D2688="Township",D2688="Village",D2688="Charter Township"),D2688,"")&amp;IF(D2688="Township"," "&amp;"("&amp;VLOOKUP(A2688,counties,3,0)&amp;")",""),"  "," "))</f>
        <v>Milan Area Fire Department</v>
      </c>
    </row>
    <row r="2689" spans="1:8" ht="15.75" thickBot="1" x14ac:dyDescent="0.3">
      <c r="A2689">
        <f t="shared" si="42"/>
        <v>81</v>
      </c>
      <c r="B2689" s="10">
        <v>2016</v>
      </c>
      <c r="C2689" s="3" t="s">
        <v>2317</v>
      </c>
      <c r="D2689" s="3" t="s">
        <v>42</v>
      </c>
      <c r="E2689" s="4" t="s">
        <v>7</v>
      </c>
      <c r="F2689" s="11" t="s">
        <v>8</v>
      </c>
      <c r="H2689" t="str">
        <f>TRIM(SUBSTITUTE(PROPER(C2689)&amp;" "&amp;IF(OR(D2689="County",D2689="Township",D2689="Village",D2689="Charter Township"),D2689,"")&amp;IF(D2689="Township"," "&amp;"("&amp;VLOOKUP(A2689,counties,3,0)&amp;")",""),"  "," "))</f>
        <v>Milan Public Library</v>
      </c>
    </row>
    <row r="2690" spans="1:8" ht="15.75" thickBot="1" x14ac:dyDescent="0.3">
      <c r="A2690">
        <f t="shared" si="42"/>
        <v>81</v>
      </c>
      <c r="B2690" s="8">
        <v>2016</v>
      </c>
      <c r="C2690" s="1" t="s">
        <v>2318</v>
      </c>
      <c r="D2690" s="1" t="s">
        <v>17</v>
      </c>
      <c r="E2690" s="2" t="s">
        <v>7</v>
      </c>
      <c r="F2690" s="9" t="s">
        <v>8</v>
      </c>
      <c r="H2690" t="str">
        <f>TRIM(SUBSTITUTE(PROPER(C2690)&amp;" "&amp;IF(OR(D2690="County",D2690="Township",D2690="Village",D2690="Charter Township"),D2690,"")&amp;IF(D2690="Township"," "&amp;"("&amp;VLOOKUP(A2690,counties,3,0)&amp;")",""),"  "," "))</f>
        <v>Multi-Lakes Sewer Authority</v>
      </c>
    </row>
    <row r="2691" spans="1:8" ht="15.75" thickBot="1" x14ac:dyDescent="0.3">
      <c r="A2691">
        <f t="shared" ref="A2691:A2754" si="43">IF(B2691="Year",A2690+1,A2690)</f>
        <v>81</v>
      </c>
      <c r="B2691" s="10">
        <v>2016</v>
      </c>
      <c r="C2691" s="3" t="s">
        <v>2319</v>
      </c>
      <c r="D2691" s="3" t="s">
        <v>9</v>
      </c>
      <c r="E2691" s="4" t="s">
        <v>7</v>
      </c>
      <c r="F2691" s="11" t="s">
        <v>8</v>
      </c>
      <c r="H2691" t="str">
        <f>TRIM(SUBSTITUTE(PROPER(C2691)&amp;" "&amp;IF(OR(D2691="County",D2691="Township",D2691="Village",D2691="Charter Township"),D2691,"")&amp;IF(D2691="Township"," "&amp;"("&amp;VLOOKUP(A2691,counties,3,0)&amp;")",""),"  "," "))</f>
        <v>Northfield Township (Washtenaw County)</v>
      </c>
    </row>
    <row r="2692" spans="1:8" ht="15.75" thickBot="1" x14ac:dyDescent="0.3">
      <c r="A2692">
        <f t="shared" si="43"/>
        <v>81</v>
      </c>
      <c r="B2692" s="8">
        <v>2016</v>
      </c>
      <c r="C2692" s="1" t="s">
        <v>2320</v>
      </c>
      <c r="D2692" s="1" t="s">
        <v>42</v>
      </c>
      <c r="E2692" s="2" t="s">
        <v>7</v>
      </c>
      <c r="F2692" s="9" t="s">
        <v>8</v>
      </c>
      <c r="H2692" t="str">
        <f>TRIM(SUBSTITUTE(PROPER(C2692)&amp;" "&amp;IF(OR(D2692="County",D2692="Township",D2692="Village",D2692="Charter Township"),D2692,"")&amp;IF(D2692="Township"," "&amp;"("&amp;VLOOKUP(A2692,counties,3,0)&amp;")",""),"  "," "))</f>
        <v>Northfield Township Area Library</v>
      </c>
    </row>
    <row r="2693" spans="1:8" ht="15.75" thickBot="1" x14ac:dyDescent="0.3">
      <c r="A2693">
        <f t="shared" si="43"/>
        <v>81</v>
      </c>
      <c r="B2693" s="10">
        <v>2016</v>
      </c>
      <c r="C2693" s="3" t="s">
        <v>2321</v>
      </c>
      <c r="D2693" s="3" t="s">
        <v>9</v>
      </c>
      <c r="E2693" s="4" t="s">
        <v>7</v>
      </c>
      <c r="F2693" s="11" t="s">
        <v>8</v>
      </c>
      <c r="H2693" t="str">
        <f>TRIM(SUBSTITUTE(PROPER(C2693)&amp;" "&amp;IF(OR(D2693="County",D2693="Township",D2693="Village",D2693="Charter Township"),D2693,"")&amp;IF(D2693="Township"," "&amp;"("&amp;VLOOKUP(A2693,counties,3,0)&amp;")",""),"  "," "))</f>
        <v>Pittsfield Charter Township (Washtenaw County)</v>
      </c>
    </row>
    <row r="2694" spans="1:8" ht="15.75" thickBot="1" x14ac:dyDescent="0.3">
      <c r="A2694">
        <f t="shared" si="43"/>
        <v>81</v>
      </c>
      <c r="B2694" s="8">
        <v>2016</v>
      </c>
      <c r="C2694" s="1" t="s">
        <v>2322</v>
      </c>
      <c r="D2694" s="1" t="s">
        <v>17</v>
      </c>
      <c r="E2694" s="2" t="s">
        <v>7</v>
      </c>
      <c r="F2694" s="9" t="s">
        <v>8</v>
      </c>
      <c r="H2694" t="str">
        <f>TRIM(SUBSTITUTE(PROPER(C2694)&amp;" "&amp;IF(OR(D2694="County",D2694="Township",D2694="Village",D2694="Charter Township"),D2694,"")&amp;IF(D2694="Township"," "&amp;"("&amp;VLOOKUP(A2694,counties,3,0)&amp;")",""),"  "," "))</f>
        <v>Portage-Base Lakes Area Water &amp; Sewer Authority</v>
      </c>
    </row>
    <row r="2695" spans="1:8" ht="15.75" thickBot="1" x14ac:dyDescent="0.3">
      <c r="A2695">
        <f t="shared" si="43"/>
        <v>81</v>
      </c>
      <c r="B2695" s="10">
        <v>2016</v>
      </c>
      <c r="C2695" s="3" t="s">
        <v>78</v>
      </c>
      <c r="D2695" s="3" t="s">
        <v>9</v>
      </c>
      <c r="E2695" s="4" t="s">
        <v>7</v>
      </c>
      <c r="F2695" s="11" t="s">
        <v>19</v>
      </c>
      <c r="H2695" t="str">
        <f>TRIM(SUBSTITUTE(PROPER(C2695)&amp;" "&amp;IF(OR(D2695="County",D2695="Township",D2695="Village",D2695="Charter Township"),D2695,"")&amp;IF(D2695="Township"," "&amp;"("&amp;VLOOKUP(A2695,counties,3,0)&amp;")",""),"  "," "))</f>
        <v>Salem Township (Washtenaw County)</v>
      </c>
    </row>
    <row r="2696" spans="1:8" ht="15.75" thickBot="1" x14ac:dyDescent="0.3">
      <c r="A2696">
        <f t="shared" si="43"/>
        <v>81</v>
      </c>
      <c r="B2696" s="8">
        <v>2016</v>
      </c>
      <c r="C2696" s="1" t="s">
        <v>2323</v>
      </c>
      <c r="D2696" s="1" t="s">
        <v>15</v>
      </c>
      <c r="E2696" s="2" t="s">
        <v>7</v>
      </c>
      <c r="F2696" s="9" t="s">
        <v>8</v>
      </c>
      <c r="H2696" t="str">
        <f>TRIM(SUBSTITUTE(PROPER(C2696)&amp;" "&amp;IF(OR(D2696="County",D2696="Township",D2696="Village",D2696="Charter Township"),D2696,"")&amp;IF(D2696="Township"," "&amp;"("&amp;VLOOKUP(A2696,counties,3,0)&amp;")",""),"  "," "))</f>
        <v>Saline</v>
      </c>
    </row>
    <row r="2697" spans="1:8" ht="15.75" thickBot="1" x14ac:dyDescent="0.3">
      <c r="A2697">
        <f t="shared" si="43"/>
        <v>81</v>
      </c>
      <c r="B2697" s="10">
        <v>2016</v>
      </c>
      <c r="C2697" s="3" t="s">
        <v>2323</v>
      </c>
      <c r="D2697" s="3" t="s">
        <v>9</v>
      </c>
      <c r="E2697" s="4" t="s">
        <v>7</v>
      </c>
      <c r="F2697" s="11" t="s">
        <v>8</v>
      </c>
      <c r="H2697" t="str">
        <f>TRIM(SUBSTITUTE(PROPER(C2697)&amp;" "&amp;IF(OR(D2697="County",D2697="Township",D2697="Village",D2697="Charter Township"),D2697,"")&amp;IF(D2697="Township"," "&amp;"("&amp;VLOOKUP(A2697,counties,3,0)&amp;")",""),"  "," "))</f>
        <v>Saline Township (Washtenaw County)</v>
      </c>
    </row>
    <row r="2698" spans="1:8" ht="15.75" thickBot="1" x14ac:dyDescent="0.3">
      <c r="A2698">
        <f t="shared" si="43"/>
        <v>81</v>
      </c>
      <c r="B2698" s="8">
        <v>2016</v>
      </c>
      <c r="C2698" s="1" t="s">
        <v>2324</v>
      </c>
      <c r="D2698" s="1" t="s">
        <v>17</v>
      </c>
      <c r="E2698" s="2" t="s">
        <v>7</v>
      </c>
      <c r="F2698" s="9" t="s">
        <v>8</v>
      </c>
      <c r="H2698" t="str">
        <f>TRIM(SUBSTITUTE(PROPER(C2698)&amp;" "&amp;IF(OR(D2698="County",D2698="Township",D2698="Village",D2698="Charter Township"),D2698,"")&amp;IF(D2698="Township"," "&amp;"("&amp;VLOOKUP(A2698,counties,3,0)&amp;")",""),"  "," "))</f>
        <v>Saline Area Fire Department</v>
      </c>
    </row>
    <row r="2699" spans="1:8" ht="15.75" thickBot="1" x14ac:dyDescent="0.3">
      <c r="A2699">
        <f t="shared" si="43"/>
        <v>81</v>
      </c>
      <c r="B2699" s="10">
        <v>2016</v>
      </c>
      <c r="C2699" s="3" t="s">
        <v>2325</v>
      </c>
      <c r="D2699" s="3" t="s">
        <v>42</v>
      </c>
      <c r="E2699" s="4" t="s">
        <v>7</v>
      </c>
      <c r="F2699" s="11" t="s">
        <v>8</v>
      </c>
      <c r="H2699" t="str">
        <f>TRIM(SUBSTITUTE(PROPER(C2699)&amp;" "&amp;IF(OR(D2699="County",D2699="Township",D2699="Village",D2699="Charter Township"),D2699,"")&amp;IF(D2699="Township"," "&amp;"("&amp;VLOOKUP(A2699,counties,3,0)&amp;")",""),"  "," "))</f>
        <v>Saline District Library</v>
      </c>
    </row>
    <row r="2700" spans="1:8" ht="15.75" thickBot="1" x14ac:dyDescent="0.3">
      <c r="A2700">
        <f t="shared" si="43"/>
        <v>81</v>
      </c>
      <c r="B2700" s="8">
        <v>2016</v>
      </c>
      <c r="C2700" s="1" t="s">
        <v>2326</v>
      </c>
      <c r="D2700" s="1" t="s">
        <v>9</v>
      </c>
      <c r="E2700" s="2" t="s">
        <v>7</v>
      </c>
      <c r="F2700" s="9" t="s">
        <v>8</v>
      </c>
      <c r="H2700" t="str">
        <f>TRIM(SUBSTITUTE(PROPER(C2700)&amp;" "&amp;IF(OR(D2700="County",D2700="Township",D2700="Village",D2700="Charter Township"),D2700,"")&amp;IF(D2700="Township"," "&amp;"("&amp;VLOOKUP(A2700,counties,3,0)&amp;")",""),"  "," "))</f>
        <v>Scio Township (Washtenaw County)</v>
      </c>
    </row>
    <row r="2701" spans="1:8" ht="15.75" thickBot="1" x14ac:dyDescent="0.3">
      <c r="A2701">
        <f t="shared" si="43"/>
        <v>81</v>
      </c>
      <c r="B2701" s="10">
        <v>2016</v>
      </c>
      <c r="C2701" s="3" t="s">
        <v>2327</v>
      </c>
      <c r="D2701" s="3" t="s">
        <v>9</v>
      </c>
      <c r="E2701" s="4" t="s">
        <v>7</v>
      </c>
      <c r="F2701" s="11" t="s">
        <v>8</v>
      </c>
      <c r="H2701" t="str">
        <f>TRIM(SUBSTITUTE(PROPER(C2701)&amp;" "&amp;IF(OR(D2701="County",D2701="Township",D2701="Village",D2701="Charter Township"),D2701,"")&amp;IF(D2701="Township"," "&amp;"("&amp;VLOOKUP(A2701,counties,3,0)&amp;")",""),"  "," "))</f>
        <v>Sharon Township (Washtenaw County)</v>
      </c>
    </row>
    <row r="2702" spans="1:8" ht="15.75" thickBot="1" x14ac:dyDescent="0.3">
      <c r="A2702">
        <f t="shared" si="43"/>
        <v>81</v>
      </c>
      <c r="B2702" s="8">
        <v>2016</v>
      </c>
      <c r="C2702" s="1" t="s">
        <v>2328</v>
      </c>
      <c r="D2702" s="1" t="s">
        <v>9</v>
      </c>
      <c r="E2702" s="2" t="s">
        <v>7</v>
      </c>
      <c r="F2702" s="9" t="s">
        <v>8</v>
      </c>
      <c r="H2702" t="str">
        <f>TRIM(SUBSTITUTE(PROPER(C2702)&amp;" "&amp;IF(OR(D2702="County",D2702="Township",D2702="Village",D2702="Charter Township"),D2702,"")&amp;IF(D2702="Township"," "&amp;"("&amp;VLOOKUP(A2702,counties,3,0)&amp;")",""),"  "," "))</f>
        <v>Superior Charter Township (Washtenaw County)</v>
      </c>
    </row>
    <row r="2703" spans="1:8" ht="15.75" thickBot="1" x14ac:dyDescent="0.3">
      <c r="A2703">
        <f t="shared" si="43"/>
        <v>81</v>
      </c>
      <c r="B2703" s="10">
        <v>2016</v>
      </c>
      <c r="C2703" s="3" t="s">
        <v>1913</v>
      </c>
      <c r="D2703" s="3" t="s">
        <v>9</v>
      </c>
      <c r="E2703" s="4" t="s">
        <v>7</v>
      </c>
      <c r="F2703" s="11" t="s">
        <v>8</v>
      </c>
      <c r="H2703" t="str">
        <f>TRIM(SUBSTITUTE(PROPER(C2703)&amp;" "&amp;IF(OR(D2703="County",D2703="Township",D2703="Village",D2703="Charter Township"),D2703,"")&amp;IF(D2703="Township"," "&amp;"("&amp;VLOOKUP(A2703,counties,3,0)&amp;")",""),"  "," "))</f>
        <v>Sylvan Township (Washtenaw County)</v>
      </c>
    </row>
    <row r="2704" spans="1:8" ht="15.75" thickBot="1" x14ac:dyDescent="0.3">
      <c r="A2704">
        <f t="shared" si="43"/>
        <v>81</v>
      </c>
      <c r="B2704" s="8">
        <v>2016</v>
      </c>
      <c r="C2704" s="1" t="s">
        <v>2329</v>
      </c>
      <c r="D2704" s="1" t="s">
        <v>17</v>
      </c>
      <c r="E2704" s="2" t="s">
        <v>7</v>
      </c>
      <c r="F2704" s="9" t="s">
        <v>8</v>
      </c>
      <c r="H2704" t="str">
        <f>TRIM(SUBSTITUTE(PROPER(C2704)&amp;" "&amp;IF(OR(D2704="County",D2704="Township",D2704="Village",D2704="Charter Township"),D2704,"")&amp;IF(D2704="Township"," "&amp;"("&amp;VLOOKUP(A2704,counties,3,0)&amp;")",""),"  "," "))</f>
        <v>Sylvan Township Water And Sewer Authority</v>
      </c>
    </row>
    <row r="2705" spans="1:8" ht="15.75" thickBot="1" x14ac:dyDescent="0.3">
      <c r="A2705">
        <f t="shared" si="43"/>
        <v>81</v>
      </c>
      <c r="B2705" s="10">
        <v>2016</v>
      </c>
      <c r="C2705" s="3" t="s">
        <v>2330</v>
      </c>
      <c r="D2705" s="3" t="s">
        <v>6</v>
      </c>
      <c r="E2705" s="4" t="s">
        <v>7</v>
      </c>
      <c r="F2705" s="11" t="s">
        <v>8</v>
      </c>
      <c r="H2705" t="str">
        <f>TRIM(SUBSTITUTE(PROPER(C2705)&amp;" "&amp;IF(OR(D2705="County",D2705="Township",D2705="Village",D2705="Charter Township"),D2705,"")&amp;IF(D2705="Township"," "&amp;"("&amp;VLOOKUP(A2705,counties,3,0)&amp;")",""),"  "," "))</f>
        <v>Washtenaw County</v>
      </c>
    </row>
    <row r="2706" spans="1:8" ht="15.75" thickBot="1" x14ac:dyDescent="0.3">
      <c r="A2706">
        <f t="shared" si="43"/>
        <v>81</v>
      </c>
      <c r="B2706" s="8">
        <v>2016</v>
      </c>
      <c r="C2706" s="1" t="s">
        <v>2331</v>
      </c>
      <c r="D2706" s="1" t="s">
        <v>17</v>
      </c>
      <c r="E2706" s="2" t="s">
        <v>7</v>
      </c>
      <c r="F2706" s="9" t="s">
        <v>8</v>
      </c>
      <c r="H2706" t="str">
        <f>TRIM(SUBSTITUTE(PROPER(C2706)&amp;" "&amp;IF(OR(D2706="County",D2706="Township",D2706="Village",D2706="Charter Township"),D2706,"")&amp;IF(D2706="Township"," "&amp;"("&amp;VLOOKUP(A2706,counties,3,0)&amp;")",""),"  "," "))</f>
        <v>Washtenaw Area Transportation Study</v>
      </c>
    </row>
    <row r="2707" spans="1:8" ht="15.75" thickBot="1" x14ac:dyDescent="0.3">
      <c r="A2707">
        <f t="shared" si="43"/>
        <v>81</v>
      </c>
      <c r="B2707" s="10">
        <v>2016</v>
      </c>
      <c r="C2707" s="3" t="s">
        <v>2332</v>
      </c>
      <c r="D2707" s="3" t="s">
        <v>17</v>
      </c>
      <c r="E2707" s="4" t="s">
        <v>7</v>
      </c>
      <c r="F2707" s="11" t="s">
        <v>8</v>
      </c>
      <c r="H2707" t="str">
        <f>TRIM(SUBSTITUTE(PROPER(C2707)&amp;" "&amp;IF(OR(D2707="County",D2707="Township",D2707="Village",D2707="Charter Township"),D2707,"")&amp;IF(D2707="Township"," "&amp;"("&amp;VLOOKUP(A2707,counties,3,0)&amp;")",""),"  "," "))</f>
        <v>Washtenaw Co 800Mhz Communications Consortium</v>
      </c>
    </row>
    <row r="2708" spans="1:8" ht="15.75" thickBot="1" x14ac:dyDescent="0.3">
      <c r="A2708">
        <f t="shared" si="43"/>
        <v>81</v>
      </c>
      <c r="B2708" s="8">
        <v>2016</v>
      </c>
      <c r="C2708" s="1" t="s">
        <v>2333</v>
      </c>
      <c r="D2708" s="1" t="s">
        <v>17</v>
      </c>
      <c r="E2708" s="2" t="s">
        <v>7</v>
      </c>
      <c r="F2708" s="9" t="s">
        <v>8</v>
      </c>
      <c r="H2708" t="str">
        <f>TRIM(SUBSTITUTE(PROPER(C2708)&amp;" "&amp;IF(OR(D2708="County",D2708="Township",D2708="Village",D2708="Charter Township"),D2708,"")&amp;IF(D2708="Township"," "&amp;"("&amp;VLOOKUP(A2708,counties,3,0)&amp;")",""),"  "," "))</f>
        <v>Washtenaw Co Employees Retirement System</v>
      </c>
    </row>
    <row r="2709" spans="1:8" ht="15.75" thickBot="1" x14ac:dyDescent="0.3">
      <c r="A2709">
        <f t="shared" si="43"/>
        <v>81</v>
      </c>
      <c r="B2709" s="10">
        <v>2016</v>
      </c>
      <c r="C2709" s="3" t="s">
        <v>2334</v>
      </c>
      <c r="D2709" s="3" t="s">
        <v>17</v>
      </c>
      <c r="E2709" s="4" t="s">
        <v>7</v>
      </c>
      <c r="F2709" s="11" t="s">
        <v>8</v>
      </c>
      <c r="H2709" t="str">
        <f>TRIM(SUBSTITUTE(PROPER(C2709)&amp;" "&amp;IF(OR(D2709="County",D2709="Township",D2709="Village",D2709="Charter Township"),D2709,"")&amp;IF(D2709="Township"," "&amp;"("&amp;VLOOKUP(A2709,counties,3,0)&amp;")",""),"  "," "))</f>
        <v>Washtenaw Co Money Purchase Pension Plan</v>
      </c>
    </row>
    <row r="2710" spans="1:8" ht="21.75" thickBot="1" x14ac:dyDescent="0.3">
      <c r="A2710">
        <f t="shared" si="43"/>
        <v>81</v>
      </c>
      <c r="B2710" s="8">
        <v>2016</v>
      </c>
      <c r="C2710" s="1" t="s">
        <v>2335</v>
      </c>
      <c r="D2710" s="1" t="s">
        <v>17</v>
      </c>
      <c r="E2710" s="2" t="s">
        <v>7</v>
      </c>
      <c r="F2710" s="9" t="s">
        <v>8</v>
      </c>
      <c r="H2710" t="str">
        <f>TRIM(SUBSTITUTE(PROPER(C2710)&amp;" "&amp;IF(OR(D2710="County",D2710="Township",D2710="Village",D2710="Charter Township"),D2710,"")&amp;IF(D2710="Township"," "&amp;"("&amp;VLOOKUP(A2710,counties,3,0)&amp;")",""),"  "," "))</f>
        <v>Washtenaw Co Voluntary Employees Beneficiary Assoc</v>
      </c>
    </row>
    <row r="2711" spans="1:8" ht="15.75" thickBot="1" x14ac:dyDescent="0.3">
      <c r="A2711">
        <f t="shared" si="43"/>
        <v>81</v>
      </c>
      <c r="B2711" s="10">
        <v>2016</v>
      </c>
      <c r="C2711" s="3" t="s">
        <v>2336</v>
      </c>
      <c r="D2711" s="3" t="s">
        <v>88</v>
      </c>
      <c r="E2711" s="4" t="s">
        <v>7</v>
      </c>
      <c r="F2711" s="11" t="s">
        <v>8</v>
      </c>
      <c r="H2711" t="str">
        <f>TRIM(SUBSTITUTE(PROPER(C2711)&amp;" "&amp;IF(OR(D2711="County",D2711="Township",D2711="Village",D2711="Charter Township"),D2711,"")&amp;IF(D2711="Township"," "&amp;"("&amp;VLOOKUP(A2711,counties,3,0)&amp;")",""),"  "," "))</f>
        <v>Washtenaw Community College</v>
      </c>
    </row>
    <row r="2712" spans="1:8" ht="15.75" thickBot="1" x14ac:dyDescent="0.3">
      <c r="A2712">
        <f t="shared" si="43"/>
        <v>81</v>
      </c>
      <c r="B2712" s="8">
        <v>2016</v>
      </c>
      <c r="C2712" s="1" t="s">
        <v>2337</v>
      </c>
      <c r="D2712" s="1" t="s">
        <v>17</v>
      </c>
      <c r="E2712" s="2" t="s">
        <v>7</v>
      </c>
      <c r="F2712" s="9" t="s">
        <v>8</v>
      </c>
      <c r="H2712" t="str">
        <f>TRIM(SUBSTITUTE(PROPER(C2712)&amp;" "&amp;IF(OR(D2712="County",D2712="Township",D2712="Village",D2712="Charter Township"),D2712,"")&amp;IF(D2712="Township"," "&amp;"("&amp;VLOOKUP(A2712,counties,3,0)&amp;")",""),"  "," "))</f>
        <v>Washtenaw County Building Authority</v>
      </c>
    </row>
    <row r="2713" spans="1:8" ht="15.75" thickBot="1" x14ac:dyDescent="0.3">
      <c r="A2713">
        <f t="shared" si="43"/>
        <v>81</v>
      </c>
      <c r="B2713" s="10">
        <v>2016</v>
      </c>
      <c r="C2713" s="3" t="s">
        <v>2338</v>
      </c>
      <c r="D2713" s="3" t="s">
        <v>17</v>
      </c>
      <c r="E2713" s="4" t="s">
        <v>7</v>
      </c>
      <c r="F2713" s="11" t="s">
        <v>8</v>
      </c>
      <c r="H2713" t="str">
        <f>TRIM(SUBSTITUTE(PROPER(C2713)&amp;" "&amp;IF(OR(D2713="County",D2713="Township",D2713="Village",D2713="Charter Township"),D2713,"")&amp;IF(D2713="Township"," "&amp;"("&amp;VLOOKUP(A2713,counties,3,0)&amp;")",""),"  "," "))</f>
        <v>Washtenaw County Community Mental Health</v>
      </c>
    </row>
    <row r="2714" spans="1:8" ht="15.75" thickBot="1" x14ac:dyDescent="0.3">
      <c r="A2714">
        <f t="shared" si="43"/>
        <v>81</v>
      </c>
      <c r="B2714" s="8">
        <v>2016</v>
      </c>
      <c r="C2714" s="1" t="s">
        <v>2339</v>
      </c>
      <c r="D2714" s="1" t="s">
        <v>17</v>
      </c>
      <c r="E2714" s="2" t="s">
        <v>7</v>
      </c>
      <c r="F2714" s="9" t="s">
        <v>8</v>
      </c>
      <c r="H2714" t="str">
        <f>TRIM(SUBSTITUTE(PROPER(C2714)&amp;" "&amp;IF(OR(D2714="County",D2714="Township",D2714="Village",D2714="Charter Township"),D2714,"")&amp;IF(D2714="Township"," "&amp;"("&amp;VLOOKUP(A2714,counties,3,0)&amp;")",""),"  "," "))</f>
        <v>Washtenaw County Defined Contribution Plan</v>
      </c>
    </row>
    <row r="2715" spans="1:8" ht="15.75" thickBot="1" x14ac:dyDescent="0.3">
      <c r="A2715">
        <f t="shared" si="43"/>
        <v>81</v>
      </c>
      <c r="B2715" s="10">
        <v>2016</v>
      </c>
      <c r="C2715" s="3" t="s">
        <v>2340</v>
      </c>
      <c r="D2715" s="3" t="s">
        <v>17</v>
      </c>
      <c r="E2715" s="4" t="s">
        <v>7</v>
      </c>
      <c r="F2715" s="11" t="s">
        <v>8</v>
      </c>
      <c r="H2715" t="str">
        <f>TRIM(SUBSTITUTE(PROPER(C2715)&amp;" "&amp;IF(OR(D2715="County",D2715="Township",D2715="Village",D2715="Charter Township"),D2715,"")&amp;IF(D2715="Township"," "&amp;"("&amp;VLOOKUP(A2715,counties,3,0)&amp;")",""),"  "," "))</f>
        <v>Washtenaw County Dept Of Public Works</v>
      </c>
    </row>
    <row r="2716" spans="1:8" ht="15.75" thickBot="1" x14ac:dyDescent="0.3">
      <c r="A2716">
        <f t="shared" si="43"/>
        <v>81</v>
      </c>
      <c r="B2716" s="8">
        <v>2016</v>
      </c>
      <c r="C2716" s="1" t="s">
        <v>2341</v>
      </c>
      <c r="D2716" s="1" t="s">
        <v>17</v>
      </c>
      <c r="E2716" s="2" t="s">
        <v>7</v>
      </c>
      <c r="F2716" s="9" t="s">
        <v>8</v>
      </c>
      <c r="H2716" t="str">
        <f>TRIM(SUBSTITUTE(PROPER(C2716)&amp;" "&amp;IF(OR(D2716="County",D2716="Township",D2716="Village",D2716="Charter Township"),D2716,"")&amp;IF(D2716="Township"," "&amp;"("&amp;VLOOKUP(A2716,counties,3,0)&amp;")",""),"  "," "))</f>
        <v>Washtenaw County Retirement Health Savings Plan</v>
      </c>
    </row>
    <row r="2717" spans="1:8" ht="15.75" thickBot="1" x14ac:dyDescent="0.3">
      <c r="A2717">
        <f t="shared" si="43"/>
        <v>81</v>
      </c>
      <c r="B2717" s="10">
        <v>2016</v>
      </c>
      <c r="C2717" s="3" t="s">
        <v>2342</v>
      </c>
      <c r="D2717" s="3" t="s">
        <v>11</v>
      </c>
      <c r="E2717" s="4" t="s">
        <v>7</v>
      </c>
      <c r="F2717" s="11" t="s">
        <v>8</v>
      </c>
      <c r="H2717" t="str">
        <f>TRIM(SUBSTITUTE(PROPER(C2717)&amp;" "&amp;IF(OR(D2717="County",D2717="Township",D2717="Village",D2717="Charter Township"),D2717,"")&amp;IF(D2717="Township"," "&amp;"("&amp;VLOOKUP(A2717,counties,3,0)&amp;")",""),"  "," "))</f>
        <v>Washtenaw County Road Commission</v>
      </c>
    </row>
    <row r="2718" spans="1:8" ht="15.75" thickBot="1" x14ac:dyDescent="0.3">
      <c r="A2718">
        <f t="shared" si="43"/>
        <v>81</v>
      </c>
      <c r="B2718" s="8">
        <v>2016</v>
      </c>
      <c r="C2718" s="1" t="s">
        <v>2343</v>
      </c>
      <c r="D2718" s="1" t="s">
        <v>72</v>
      </c>
      <c r="E2718" s="2" t="s">
        <v>7</v>
      </c>
      <c r="F2718" s="9" t="s">
        <v>8</v>
      </c>
      <c r="H2718" t="str">
        <f>TRIM(SUBSTITUTE(PROPER(C2718)&amp;" "&amp;IF(OR(D2718="County",D2718="Township",D2718="Village",D2718="Charter Township"),D2718,"")&amp;IF(D2718="Township"," "&amp;"("&amp;VLOOKUP(A2718,counties,3,0)&amp;")",""),"  "," "))</f>
        <v>Washtenaw County Water Resources</v>
      </c>
    </row>
    <row r="2719" spans="1:8" ht="15.75" thickBot="1" x14ac:dyDescent="0.3">
      <c r="A2719">
        <f t="shared" si="43"/>
        <v>81</v>
      </c>
      <c r="B2719" s="10">
        <v>2016</v>
      </c>
      <c r="C2719" s="3" t="s">
        <v>2344</v>
      </c>
      <c r="D2719" s="3" t="s">
        <v>9</v>
      </c>
      <c r="E2719" s="4" t="s">
        <v>7</v>
      </c>
      <c r="F2719" s="11" t="s">
        <v>8</v>
      </c>
      <c r="H2719" t="str">
        <f>TRIM(SUBSTITUTE(PROPER(C2719)&amp;" "&amp;IF(OR(D2719="County",D2719="Township",D2719="Village",D2719="Charter Township"),D2719,"")&amp;IF(D2719="Township"," "&amp;"("&amp;VLOOKUP(A2719,counties,3,0)&amp;")",""),"  "," "))</f>
        <v>Webster Township (Washtenaw County)</v>
      </c>
    </row>
    <row r="2720" spans="1:8" ht="15.75" thickBot="1" x14ac:dyDescent="0.3">
      <c r="A2720">
        <f t="shared" si="43"/>
        <v>81</v>
      </c>
      <c r="B2720" s="8">
        <v>2016</v>
      </c>
      <c r="C2720" s="1" t="s">
        <v>2345</v>
      </c>
      <c r="D2720" s="1" t="s">
        <v>17</v>
      </c>
      <c r="E2720" s="2" t="s">
        <v>7</v>
      </c>
      <c r="F2720" s="9" t="s">
        <v>8</v>
      </c>
      <c r="H2720" t="str">
        <f>TRIM(SUBSTITUTE(PROPER(C2720)&amp;" "&amp;IF(OR(D2720="County",D2720="Township",D2720="Village",D2720="Charter Township"),D2720,"")&amp;IF(D2720="Township"," "&amp;"("&amp;VLOOKUP(A2720,counties,3,0)&amp;")",""),"  "," "))</f>
        <v>Western Washtenaw Construction Authority</v>
      </c>
    </row>
    <row r="2721" spans="1:8" ht="15.75" thickBot="1" x14ac:dyDescent="0.3">
      <c r="A2721">
        <f t="shared" si="43"/>
        <v>81</v>
      </c>
      <c r="B2721" s="10">
        <v>2016</v>
      </c>
      <c r="C2721" s="3" t="s">
        <v>2346</v>
      </c>
      <c r="D2721" s="3" t="s">
        <v>17</v>
      </c>
      <c r="E2721" s="4" t="s">
        <v>7</v>
      </c>
      <c r="F2721" s="11" t="s">
        <v>8</v>
      </c>
      <c r="H2721" t="str">
        <f>TRIM(SUBSTITUTE(PROPER(C2721)&amp;" "&amp;IF(OR(D2721="County",D2721="Township",D2721="Village",D2721="Charter Township"),D2721,"")&amp;IF(D2721="Township"," "&amp;"("&amp;VLOOKUP(A2721,counties,3,0)&amp;")",""),"  "," "))</f>
        <v>Western Washtenaw Recycling Authority</v>
      </c>
    </row>
    <row r="2722" spans="1:8" ht="15.75" thickBot="1" x14ac:dyDescent="0.3">
      <c r="A2722">
        <f t="shared" si="43"/>
        <v>81</v>
      </c>
      <c r="B2722" s="8">
        <v>2016</v>
      </c>
      <c r="C2722" s="1" t="s">
        <v>2347</v>
      </c>
      <c r="D2722" s="1" t="s">
        <v>9</v>
      </c>
      <c r="E2722" s="2" t="s">
        <v>7</v>
      </c>
      <c r="F2722" s="9" t="s">
        <v>8</v>
      </c>
      <c r="H2722" t="str">
        <f>TRIM(SUBSTITUTE(PROPER(C2722)&amp;" "&amp;IF(OR(D2722="County",D2722="Township",D2722="Village",D2722="Charter Township"),D2722,"")&amp;IF(D2722="Township"," "&amp;"("&amp;VLOOKUP(A2722,counties,3,0)&amp;")",""),"  "," "))</f>
        <v>York Charter Township (Washtenaw County)</v>
      </c>
    </row>
    <row r="2723" spans="1:8" ht="15.75" thickBot="1" x14ac:dyDescent="0.3">
      <c r="A2723">
        <f t="shared" si="43"/>
        <v>81</v>
      </c>
      <c r="B2723" s="10">
        <v>2016</v>
      </c>
      <c r="C2723" s="3" t="s">
        <v>2348</v>
      </c>
      <c r="D2723" s="3" t="s">
        <v>15</v>
      </c>
      <c r="E2723" s="4" t="s">
        <v>7</v>
      </c>
      <c r="F2723" s="11" t="s">
        <v>8</v>
      </c>
      <c r="H2723" t="str">
        <f>TRIM(SUBSTITUTE(PROPER(C2723)&amp;" "&amp;IF(OR(D2723="County",D2723="Township",D2723="Village",D2723="Charter Township"),D2723,"")&amp;IF(D2723="Township"," "&amp;"("&amp;VLOOKUP(A2723,counties,3,0)&amp;")",""),"  "," "))</f>
        <v>Ypsilanti</v>
      </c>
    </row>
    <row r="2724" spans="1:8" ht="15.75" thickBot="1" x14ac:dyDescent="0.3">
      <c r="A2724">
        <f t="shared" si="43"/>
        <v>81</v>
      </c>
      <c r="B2724" s="8">
        <v>2016</v>
      </c>
      <c r="C2724" s="1" t="s">
        <v>2349</v>
      </c>
      <c r="D2724" s="1" t="s">
        <v>9</v>
      </c>
      <c r="E2724" s="2" t="s">
        <v>7</v>
      </c>
      <c r="F2724" s="9" t="s">
        <v>8</v>
      </c>
      <c r="H2724" t="str">
        <f>TRIM(SUBSTITUTE(PROPER(C2724)&amp;" "&amp;IF(OR(D2724="County",D2724="Township",D2724="Village",D2724="Charter Township"),D2724,"")&amp;IF(D2724="Township"," "&amp;"("&amp;VLOOKUP(A2724,counties,3,0)&amp;")",""),"  "," "))</f>
        <v>Ypsilanti Charter Township (Washtenaw County)</v>
      </c>
    </row>
    <row r="2725" spans="1:8" ht="15.75" thickBot="1" x14ac:dyDescent="0.3">
      <c r="A2725">
        <f t="shared" si="43"/>
        <v>81</v>
      </c>
      <c r="B2725" s="10">
        <v>2016</v>
      </c>
      <c r="C2725" s="3" t="s">
        <v>2350</v>
      </c>
      <c r="D2725" s="3" t="s">
        <v>17</v>
      </c>
      <c r="E2725" s="4" t="s">
        <v>7</v>
      </c>
      <c r="F2725" s="11" t="s">
        <v>8</v>
      </c>
      <c r="H2725" t="str">
        <f>TRIM(SUBSTITUTE(PROPER(C2725)&amp;" "&amp;IF(OR(D2725="County",D2725="Township",D2725="Village",D2725="Charter Township"),D2725,"")&amp;IF(D2725="Township"," "&amp;"("&amp;VLOOKUP(A2725,counties,3,0)&amp;")",""),"  "," "))</f>
        <v>Ypsilanti City Housing Commission</v>
      </c>
    </row>
    <row r="2726" spans="1:8" ht="15.75" thickBot="1" x14ac:dyDescent="0.3">
      <c r="A2726">
        <f t="shared" si="43"/>
        <v>81</v>
      </c>
      <c r="B2726" s="8">
        <v>2016</v>
      </c>
      <c r="C2726" s="1" t="s">
        <v>2351</v>
      </c>
      <c r="D2726" s="1" t="s">
        <v>17</v>
      </c>
      <c r="E2726" s="2" t="s">
        <v>7</v>
      </c>
      <c r="F2726" s="9" t="s">
        <v>8</v>
      </c>
      <c r="H2726" t="str">
        <f>TRIM(SUBSTITUTE(PROPER(C2726)&amp;" "&amp;IF(OR(D2726="County",D2726="Township",D2726="Village",D2726="Charter Township"),D2726,"")&amp;IF(D2726="Township"," "&amp;"("&amp;VLOOKUP(A2726,counties,3,0)&amp;")",""),"  "," "))</f>
        <v>Ypsilanti City Police And Fire Retirement System</v>
      </c>
    </row>
    <row r="2727" spans="1:8" ht="15.75" thickBot="1" x14ac:dyDescent="0.3">
      <c r="A2727">
        <f t="shared" si="43"/>
        <v>81</v>
      </c>
      <c r="B2727" s="10">
        <v>2016</v>
      </c>
      <c r="C2727" s="3" t="s">
        <v>2352</v>
      </c>
      <c r="D2727" s="3" t="s">
        <v>17</v>
      </c>
      <c r="E2727" s="4" t="s">
        <v>7</v>
      </c>
      <c r="F2727" s="11" t="s">
        <v>8</v>
      </c>
      <c r="H2727" t="str">
        <f>TRIM(SUBSTITUTE(PROPER(C2727)&amp;" "&amp;IF(OR(D2727="County",D2727="Township",D2727="Village",D2727="Charter Township"),D2727,"")&amp;IF(D2727="Township"," "&amp;"("&amp;VLOOKUP(A2727,counties,3,0)&amp;")",""),"  "," "))</f>
        <v>Ypsilanti Community Utilities Authority</v>
      </c>
    </row>
    <row r="2728" spans="1:8" ht="15.75" thickBot="1" x14ac:dyDescent="0.3">
      <c r="A2728">
        <f t="shared" si="43"/>
        <v>81</v>
      </c>
      <c r="B2728" s="16">
        <v>2016</v>
      </c>
      <c r="C2728" s="17" t="s">
        <v>2353</v>
      </c>
      <c r="D2728" s="17" t="s">
        <v>42</v>
      </c>
      <c r="E2728" s="18" t="s">
        <v>7</v>
      </c>
      <c r="F2728" s="19" t="s">
        <v>8</v>
      </c>
      <c r="H2728" t="str">
        <f>TRIM(SUBSTITUTE(PROPER(C2728)&amp;" "&amp;IF(OR(D2728="County",D2728="Township",D2728="Village",D2728="Charter Township"),D2728,"")&amp;IF(D2728="Township"," "&amp;"("&amp;VLOOKUP(A2728,counties,3,0)&amp;")",""),"  "," "))</f>
        <v>Ypsilanti District Library</v>
      </c>
    </row>
    <row r="2729" spans="1:8" ht="16.5" thickTop="1" thickBot="1" x14ac:dyDescent="0.3">
      <c r="A2729">
        <f t="shared" si="43"/>
        <v>82</v>
      </c>
      <c r="B2729" s="5" t="s">
        <v>0</v>
      </c>
      <c r="C2729" s="6" t="s">
        <v>1</v>
      </c>
      <c r="D2729" s="6" t="s">
        <v>2</v>
      </c>
      <c r="E2729" s="6" t="s">
        <v>3</v>
      </c>
      <c r="F2729" s="7" t="s">
        <v>4</v>
      </c>
      <c r="H2729" t="str">
        <f>TRIM(SUBSTITUTE(PROPER(C2729)&amp;" "&amp;IF(OR(D2729="County",D2729="Township",D2729="Village",D2729="Charter Township"),D2729,"")&amp;IF(D2729="Township"," "&amp;"("&amp;VLOOKUP(A2729,counties,3,0)&amp;")",""),"  "," "))</f>
        <v>Municipality</v>
      </c>
    </row>
    <row r="2730" spans="1:8" ht="15.75" thickBot="1" x14ac:dyDescent="0.3">
      <c r="A2730">
        <f t="shared" si="43"/>
        <v>82</v>
      </c>
      <c r="B2730" s="8">
        <v>2016</v>
      </c>
      <c r="C2730" s="1" t="s">
        <v>2354</v>
      </c>
      <c r="D2730" s="1" t="s">
        <v>17</v>
      </c>
      <c r="E2730" s="2" t="s">
        <v>7</v>
      </c>
      <c r="F2730" s="9" t="s">
        <v>8</v>
      </c>
      <c r="H2730" t="str">
        <f>TRIM(SUBSTITUTE(PROPER(C2730)&amp;" "&amp;IF(OR(D2730="County",D2730="Township",D2730="Village",D2730="Charter Township"),D2730,"")&amp;IF(D2730="Township"," "&amp;"("&amp;VLOOKUP(A2730,counties,3,0)&amp;")",""),"  "," "))</f>
        <v>16Th District-Livonia</v>
      </c>
    </row>
    <row r="2731" spans="1:8" ht="15.75" thickBot="1" x14ac:dyDescent="0.3">
      <c r="A2731">
        <f t="shared" si="43"/>
        <v>82</v>
      </c>
      <c r="B2731" s="10">
        <v>2016</v>
      </c>
      <c r="C2731" s="3" t="s">
        <v>2355</v>
      </c>
      <c r="D2731" s="3" t="s">
        <v>17</v>
      </c>
      <c r="E2731" s="4" t="s">
        <v>7</v>
      </c>
      <c r="F2731" s="11" t="s">
        <v>8</v>
      </c>
      <c r="H2731" t="str">
        <f>TRIM(SUBSTITUTE(PROPER(C2731)&amp;" "&amp;IF(OR(D2731="County",D2731="Township",D2731="Village",D2731="Charter Township"),D2731,"")&amp;IF(D2731="Township"," "&amp;"("&amp;VLOOKUP(A2731,counties,3,0)&amp;")",""),"  "," "))</f>
        <v>17Th District-Redford Charter Township</v>
      </c>
    </row>
    <row r="2732" spans="1:8" ht="15.75" thickBot="1" x14ac:dyDescent="0.3">
      <c r="A2732">
        <f t="shared" si="43"/>
        <v>82</v>
      </c>
      <c r="B2732" s="8">
        <v>2016</v>
      </c>
      <c r="C2732" s="1" t="s">
        <v>2356</v>
      </c>
      <c r="D2732" s="1" t="s">
        <v>17</v>
      </c>
      <c r="E2732" s="2" t="s">
        <v>7</v>
      </c>
      <c r="F2732" s="9" t="s">
        <v>8</v>
      </c>
      <c r="H2732" t="str">
        <f>TRIM(SUBSTITUTE(PROPER(C2732)&amp;" "&amp;IF(OR(D2732="County",D2732="Township",D2732="Village",D2732="Charter Township"),D2732,"")&amp;IF(D2732="Township"," "&amp;"("&amp;VLOOKUP(A2732,counties,3,0)&amp;")",""),"  "," "))</f>
        <v>18Th District-Westland</v>
      </c>
    </row>
    <row r="2733" spans="1:8" ht="15.75" thickBot="1" x14ac:dyDescent="0.3">
      <c r="A2733">
        <f t="shared" si="43"/>
        <v>82</v>
      </c>
      <c r="B2733" s="10">
        <v>2016</v>
      </c>
      <c r="C2733" s="3" t="s">
        <v>2357</v>
      </c>
      <c r="D2733" s="3" t="s">
        <v>17</v>
      </c>
      <c r="E2733" s="4" t="s">
        <v>7</v>
      </c>
      <c r="F2733" s="11" t="s">
        <v>8</v>
      </c>
      <c r="H2733" t="str">
        <f>TRIM(SUBSTITUTE(PROPER(C2733)&amp;" "&amp;IF(OR(D2733="County",D2733="Township",D2733="Village",D2733="Charter Township"),D2733,"")&amp;IF(D2733="Township"," "&amp;"("&amp;VLOOKUP(A2733,counties,3,0)&amp;")",""),"  "," "))</f>
        <v>19Th District Court-Dearborn</v>
      </c>
    </row>
    <row r="2734" spans="1:8" ht="15.75" thickBot="1" x14ac:dyDescent="0.3">
      <c r="A2734">
        <f t="shared" si="43"/>
        <v>82</v>
      </c>
      <c r="B2734" s="8">
        <v>2016</v>
      </c>
      <c r="C2734" s="1" t="s">
        <v>2358</v>
      </c>
      <c r="D2734" s="1" t="s">
        <v>17</v>
      </c>
      <c r="E2734" s="2" t="s">
        <v>7</v>
      </c>
      <c r="F2734" s="9" t="s">
        <v>8</v>
      </c>
      <c r="H2734" t="str">
        <f>TRIM(SUBSTITUTE(PROPER(C2734)&amp;" "&amp;IF(OR(D2734="County",D2734="Township",D2734="Village",D2734="Charter Township"),D2734,"")&amp;IF(D2734="Township"," "&amp;"("&amp;VLOOKUP(A2734,counties,3,0)&amp;")",""),"  "," "))</f>
        <v>20Th District-Dearborn Heights</v>
      </c>
    </row>
    <row r="2735" spans="1:8" ht="15.75" thickBot="1" x14ac:dyDescent="0.3">
      <c r="A2735">
        <f t="shared" si="43"/>
        <v>82</v>
      </c>
      <c r="B2735" s="10">
        <v>2016</v>
      </c>
      <c r="C2735" s="3" t="s">
        <v>2359</v>
      </c>
      <c r="D2735" s="3" t="s">
        <v>17</v>
      </c>
      <c r="E2735" s="4" t="s">
        <v>7</v>
      </c>
      <c r="F2735" s="11" t="s">
        <v>8</v>
      </c>
      <c r="H2735" t="str">
        <f>TRIM(SUBSTITUTE(PROPER(C2735)&amp;" "&amp;IF(OR(D2735="County",D2735="Township",D2735="Village",D2735="Charter Township"),D2735,"")&amp;IF(D2735="Township"," "&amp;"("&amp;VLOOKUP(A2735,counties,3,0)&amp;")",""),"  "," "))</f>
        <v>21St District-Garden City</v>
      </c>
    </row>
    <row r="2736" spans="1:8" ht="15.75" thickBot="1" x14ac:dyDescent="0.3">
      <c r="A2736">
        <f t="shared" si="43"/>
        <v>82</v>
      </c>
      <c r="B2736" s="8">
        <v>2016</v>
      </c>
      <c r="C2736" s="1" t="s">
        <v>2360</v>
      </c>
      <c r="D2736" s="1" t="s">
        <v>17</v>
      </c>
      <c r="E2736" s="2" t="s">
        <v>7</v>
      </c>
      <c r="F2736" s="9" t="s">
        <v>8</v>
      </c>
      <c r="H2736" t="str">
        <f>TRIM(SUBSTITUTE(PROPER(C2736)&amp;" "&amp;IF(OR(D2736="County",D2736="Township",D2736="Village",D2736="Charter Township"),D2736,"")&amp;IF(D2736="Township"," "&amp;"("&amp;VLOOKUP(A2736,counties,3,0)&amp;")",""),"  "," "))</f>
        <v>23Rd District Court-Taylor</v>
      </c>
    </row>
    <row r="2737" spans="1:8" ht="15.75" thickBot="1" x14ac:dyDescent="0.3">
      <c r="A2737">
        <f t="shared" si="43"/>
        <v>82</v>
      </c>
      <c r="B2737" s="10">
        <v>2016</v>
      </c>
      <c r="C2737" s="3" t="s">
        <v>2361</v>
      </c>
      <c r="D2737" s="3" t="s">
        <v>17</v>
      </c>
      <c r="E2737" s="4" t="s">
        <v>7</v>
      </c>
      <c r="F2737" s="11" t="s">
        <v>8</v>
      </c>
      <c r="H2737" t="str">
        <f>TRIM(SUBSTITUTE(PROPER(C2737)&amp;" "&amp;IF(OR(D2737="County",D2737="Township",D2737="Village",D2737="Charter Township"),D2737,"")&amp;IF(D2737="Township"," "&amp;"("&amp;VLOOKUP(A2737,counties,3,0)&amp;")",""),"  "," "))</f>
        <v>24Th District Court-Allen Park</v>
      </c>
    </row>
    <row r="2738" spans="1:8" ht="15.75" thickBot="1" x14ac:dyDescent="0.3">
      <c r="A2738">
        <f t="shared" si="43"/>
        <v>82</v>
      </c>
      <c r="B2738" s="8">
        <v>2016</v>
      </c>
      <c r="C2738" s="1" t="s">
        <v>2362</v>
      </c>
      <c r="D2738" s="1" t="s">
        <v>17</v>
      </c>
      <c r="E2738" s="2" t="s">
        <v>7</v>
      </c>
      <c r="F2738" s="9" t="s">
        <v>8</v>
      </c>
      <c r="H2738" t="str">
        <f>TRIM(SUBSTITUTE(PROPER(C2738)&amp;" "&amp;IF(OR(D2738="County",D2738="Township",D2738="Village",D2738="Charter Township"),D2738,"")&amp;IF(D2738="Township"," "&amp;"("&amp;VLOOKUP(A2738,counties,3,0)&amp;")",""),"  "," "))</f>
        <v>28Th District Court-Southgate</v>
      </c>
    </row>
    <row r="2739" spans="1:8" ht="15.75" thickBot="1" x14ac:dyDescent="0.3">
      <c r="A2739">
        <f t="shared" si="43"/>
        <v>82</v>
      </c>
      <c r="B2739" s="10">
        <v>2016</v>
      </c>
      <c r="C2739" s="3" t="s">
        <v>2363</v>
      </c>
      <c r="D2739" s="3" t="s">
        <v>17</v>
      </c>
      <c r="E2739" s="4" t="s">
        <v>7</v>
      </c>
      <c r="F2739" s="11" t="s">
        <v>8</v>
      </c>
      <c r="H2739" t="str">
        <f>TRIM(SUBSTITUTE(PROPER(C2739)&amp;" "&amp;IF(OR(D2739="County",D2739="Township",D2739="Village",D2739="Charter Township"),D2739,"")&amp;IF(D2739="Township"," "&amp;"("&amp;VLOOKUP(A2739,counties,3,0)&amp;")",""),"  "," "))</f>
        <v>33Rd District Court-Woodhaven</v>
      </c>
    </row>
    <row r="2740" spans="1:8" ht="15.75" thickBot="1" x14ac:dyDescent="0.3">
      <c r="A2740">
        <f t="shared" si="43"/>
        <v>82</v>
      </c>
      <c r="B2740" s="8">
        <v>2016</v>
      </c>
      <c r="C2740" s="1" t="s">
        <v>2364</v>
      </c>
      <c r="D2740" s="1" t="s">
        <v>17</v>
      </c>
      <c r="E2740" s="2" t="s">
        <v>7</v>
      </c>
      <c r="F2740" s="9" t="s">
        <v>8</v>
      </c>
      <c r="H2740" t="str">
        <f>TRIM(SUBSTITUTE(PROPER(C2740)&amp;" "&amp;IF(OR(D2740="County",D2740="Township",D2740="Village",D2740="Charter Township"),D2740,"")&amp;IF(D2740="Township"," "&amp;"("&amp;VLOOKUP(A2740,counties,3,0)&amp;")",""),"  "," "))</f>
        <v>34Th District-Romulus</v>
      </c>
    </row>
    <row r="2741" spans="1:8" ht="15.75" thickBot="1" x14ac:dyDescent="0.3">
      <c r="A2741">
        <f t="shared" si="43"/>
        <v>82</v>
      </c>
      <c r="B2741" s="10">
        <v>2016</v>
      </c>
      <c r="C2741" s="3" t="s">
        <v>2365</v>
      </c>
      <c r="D2741" s="3" t="s">
        <v>17</v>
      </c>
      <c r="E2741" s="4" t="s">
        <v>7</v>
      </c>
      <c r="F2741" s="11" t="s">
        <v>8</v>
      </c>
      <c r="H2741" t="str">
        <f>TRIM(SUBSTITUTE(PROPER(C2741)&amp;" "&amp;IF(OR(D2741="County",D2741="Township",D2741="Village",D2741="Charter Township"),D2741,"")&amp;IF(D2741="Township"," "&amp;"("&amp;VLOOKUP(A2741,counties,3,0)&amp;")",""),"  "," "))</f>
        <v>35Th District-Plymouth</v>
      </c>
    </row>
    <row r="2742" spans="1:8" ht="15.75" thickBot="1" x14ac:dyDescent="0.3">
      <c r="A2742">
        <f t="shared" si="43"/>
        <v>82</v>
      </c>
      <c r="B2742" s="8">
        <v>2016</v>
      </c>
      <c r="C2742" s="1" t="s">
        <v>2366</v>
      </c>
      <c r="D2742" s="1" t="s">
        <v>15</v>
      </c>
      <c r="E2742" s="2" t="s">
        <v>7</v>
      </c>
      <c r="F2742" s="9" t="s">
        <v>8</v>
      </c>
      <c r="H2742" t="str">
        <f>TRIM(SUBSTITUTE(PROPER(C2742)&amp;" "&amp;IF(OR(D2742="County",D2742="Township",D2742="Village",D2742="Charter Township"),D2742,"")&amp;IF(D2742="Township"," "&amp;"("&amp;VLOOKUP(A2742,counties,3,0)&amp;")",""),"  "," "))</f>
        <v>Allen Park</v>
      </c>
    </row>
    <row r="2743" spans="1:8" ht="15.75" thickBot="1" x14ac:dyDescent="0.3">
      <c r="A2743">
        <f t="shared" si="43"/>
        <v>82</v>
      </c>
      <c r="B2743" s="10">
        <v>2016</v>
      </c>
      <c r="C2743" s="3" t="s">
        <v>2367</v>
      </c>
      <c r="D2743" s="3" t="s">
        <v>17</v>
      </c>
      <c r="E2743" s="4" t="s">
        <v>7</v>
      </c>
      <c r="F2743" s="11" t="s">
        <v>8</v>
      </c>
      <c r="H2743" t="str">
        <f>TRIM(SUBSTITUTE(PROPER(C2743)&amp;" "&amp;IF(OR(D2743="County",D2743="Township",D2743="Village",D2743="Charter Township"),D2743,"")&amp;IF(D2743="Township"," "&amp;"("&amp;VLOOKUP(A2743,counties,3,0)&amp;")",""),"  "," "))</f>
        <v>Allen Park City Housing Commission</v>
      </c>
    </row>
    <row r="2744" spans="1:8" ht="15.75" thickBot="1" x14ac:dyDescent="0.3">
      <c r="A2744">
        <f t="shared" si="43"/>
        <v>82</v>
      </c>
      <c r="B2744" s="8">
        <v>2016</v>
      </c>
      <c r="C2744" s="1" t="s">
        <v>2368</v>
      </c>
      <c r="D2744" s="1" t="s">
        <v>42</v>
      </c>
      <c r="E2744" s="2" t="s">
        <v>7</v>
      </c>
      <c r="F2744" s="9" t="s">
        <v>8</v>
      </c>
      <c r="H2744" t="str">
        <f>TRIM(SUBSTITUTE(PROPER(C2744)&amp;" "&amp;IF(OR(D2744="County",D2744="Township",D2744="Village",D2744="Charter Township"),D2744,"")&amp;IF(D2744="Township"," "&amp;"("&amp;VLOOKUP(A2744,counties,3,0)&amp;")",""),"  "," "))</f>
        <v>Bacon Memorial District Library</v>
      </c>
    </row>
    <row r="2745" spans="1:8" ht="15.75" thickBot="1" x14ac:dyDescent="0.3">
      <c r="A2745">
        <f t="shared" si="43"/>
        <v>82</v>
      </c>
      <c r="B2745" s="10">
        <v>2016</v>
      </c>
      <c r="C2745" s="3" t="s">
        <v>2369</v>
      </c>
      <c r="D2745" s="3" t="s">
        <v>15</v>
      </c>
      <c r="E2745" s="4" t="s">
        <v>7</v>
      </c>
      <c r="F2745" s="11" t="s">
        <v>8</v>
      </c>
      <c r="H2745" t="str">
        <f>TRIM(SUBSTITUTE(PROPER(C2745)&amp;" "&amp;IF(OR(D2745="County",D2745="Township",D2745="Village",D2745="Charter Township"),D2745,"")&amp;IF(D2745="Township"," "&amp;"("&amp;VLOOKUP(A2745,counties,3,0)&amp;")",""),"  "," "))</f>
        <v>Belleville</v>
      </c>
    </row>
    <row r="2746" spans="1:8" ht="15.75" thickBot="1" x14ac:dyDescent="0.3">
      <c r="A2746">
        <f t="shared" si="43"/>
        <v>82</v>
      </c>
      <c r="B2746" s="8">
        <v>2016</v>
      </c>
      <c r="C2746" s="1" t="s">
        <v>2370</v>
      </c>
      <c r="D2746" s="1" t="s">
        <v>42</v>
      </c>
      <c r="E2746" s="2" t="s">
        <v>7</v>
      </c>
      <c r="F2746" s="9" t="s">
        <v>8</v>
      </c>
      <c r="H2746" t="str">
        <f>TRIM(SUBSTITUTE(PROPER(C2746)&amp;" "&amp;IF(OR(D2746="County",D2746="Township",D2746="Village",D2746="Charter Township"),D2746,"")&amp;IF(D2746="Township"," "&amp;"("&amp;VLOOKUP(A2746,counties,3,0)&amp;")",""),"  "," "))</f>
        <v>Belleville Area District Library</v>
      </c>
    </row>
    <row r="2747" spans="1:8" ht="15.75" thickBot="1" x14ac:dyDescent="0.3">
      <c r="A2747">
        <f t="shared" si="43"/>
        <v>82</v>
      </c>
      <c r="B2747" s="10">
        <v>2016</v>
      </c>
      <c r="C2747" s="3" t="s">
        <v>2371</v>
      </c>
      <c r="D2747" s="3" t="s">
        <v>9</v>
      </c>
      <c r="E2747" s="4" t="s">
        <v>7</v>
      </c>
      <c r="F2747" s="11" t="s">
        <v>8</v>
      </c>
      <c r="H2747" t="str">
        <f>TRIM(SUBSTITUTE(PROPER(C2747)&amp;" "&amp;IF(OR(D2747="County",D2747="Township",D2747="Village",D2747="Charter Township"),D2747,"")&amp;IF(D2747="Township"," "&amp;"("&amp;VLOOKUP(A2747,counties,3,0)&amp;")",""),"  "," "))</f>
        <v>Brownstown Charter Township (Wayne County)</v>
      </c>
    </row>
    <row r="2748" spans="1:8" ht="15.75" thickBot="1" x14ac:dyDescent="0.3">
      <c r="A2748">
        <f t="shared" si="43"/>
        <v>82</v>
      </c>
      <c r="B2748" s="8">
        <v>2016</v>
      </c>
      <c r="C2748" s="1" t="s">
        <v>2372</v>
      </c>
      <c r="D2748" s="1" t="s">
        <v>9</v>
      </c>
      <c r="E2748" s="2" t="s">
        <v>7</v>
      </c>
      <c r="F2748" s="9" t="s">
        <v>8</v>
      </c>
      <c r="H2748" t="str">
        <f>TRIM(SUBSTITUTE(PROPER(C2748)&amp;" "&amp;IF(OR(D2748="County",D2748="Township",D2748="Village",D2748="Charter Township"),D2748,"")&amp;IF(D2748="Township"," "&amp;"("&amp;VLOOKUP(A2748,counties,3,0)&amp;")",""),"  "," "))</f>
        <v>Canton Charter Township (Wayne County)</v>
      </c>
    </row>
    <row r="2749" spans="1:8" ht="15.75" thickBot="1" x14ac:dyDescent="0.3">
      <c r="A2749">
        <f t="shared" si="43"/>
        <v>82</v>
      </c>
      <c r="B2749" s="10">
        <v>2016</v>
      </c>
      <c r="C2749" s="3" t="s">
        <v>2373</v>
      </c>
      <c r="D2749" s="3" t="s">
        <v>42</v>
      </c>
      <c r="E2749" s="4" t="s">
        <v>7</v>
      </c>
      <c r="F2749" s="11" t="s">
        <v>8</v>
      </c>
      <c r="H2749" t="str">
        <f>TRIM(SUBSTITUTE(PROPER(C2749)&amp;" "&amp;IF(OR(D2749="County",D2749="Township",D2749="Village",D2749="Charter Township"),D2749,"")&amp;IF(D2749="Township"," "&amp;"("&amp;VLOOKUP(A2749,counties,3,0)&amp;")",""),"  "," "))</f>
        <v>Canton Public Library</v>
      </c>
    </row>
    <row r="2750" spans="1:8" ht="15.75" thickBot="1" x14ac:dyDescent="0.3">
      <c r="A2750">
        <f t="shared" si="43"/>
        <v>82</v>
      </c>
      <c r="B2750" s="8">
        <v>2016</v>
      </c>
      <c r="C2750" s="1" t="s">
        <v>2374</v>
      </c>
      <c r="D2750" s="1" t="s">
        <v>17</v>
      </c>
      <c r="E2750" s="2" t="s">
        <v>7</v>
      </c>
      <c r="F2750" s="9" t="s">
        <v>8</v>
      </c>
      <c r="H2750" t="str">
        <f>TRIM(SUBSTITUTE(PROPER(C2750)&amp;" "&amp;IF(OR(D2750="County",D2750="Township",D2750="Village",D2750="Charter Township"),D2750,"")&amp;IF(D2750="Township"," "&amp;"("&amp;VLOOKUP(A2750,counties,3,0)&amp;")",""),"  "," "))</f>
        <v>Central Wayne County Sanitation Authority</v>
      </c>
    </row>
    <row r="2751" spans="1:8" ht="15.75" thickBot="1" x14ac:dyDescent="0.3">
      <c r="A2751">
        <f t="shared" si="43"/>
        <v>82</v>
      </c>
      <c r="B2751" s="10">
        <v>2016</v>
      </c>
      <c r="C2751" s="3" t="s">
        <v>2375</v>
      </c>
      <c r="D2751" s="3" t="s">
        <v>17</v>
      </c>
      <c r="E2751" s="4" t="s">
        <v>7</v>
      </c>
      <c r="F2751" s="11" t="s">
        <v>8</v>
      </c>
      <c r="H2751" t="str">
        <f>TRIM(SUBSTITUTE(PROPER(C2751)&amp;" "&amp;IF(OR(D2751="County",D2751="Township",D2751="Village",D2751="Charter Township"),D2751,"")&amp;IF(D2751="Township"," "&amp;"("&amp;VLOOKUP(A2751,counties,3,0)&amp;")",""),"  "," "))</f>
        <v>City Of Detroit General Retiree Health Care Trust</v>
      </c>
    </row>
    <row r="2752" spans="1:8" ht="15.75" thickBot="1" x14ac:dyDescent="0.3">
      <c r="A2752">
        <f t="shared" si="43"/>
        <v>82</v>
      </c>
      <c r="B2752" s="8">
        <v>2016</v>
      </c>
      <c r="C2752" s="1" t="s">
        <v>2376</v>
      </c>
      <c r="D2752" s="1" t="s">
        <v>17</v>
      </c>
      <c r="E2752" s="2" t="s">
        <v>7</v>
      </c>
      <c r="F2752" s="9" t="s">
        <v>8</v>
      </c>
      <c r="H2752" t="str">
        <f>TRIM(SUBSTITUTE(PROPER(C2752)&amp;" "&amp;IF(OR(D2752="County",D2752="Township",D2752="Village",D2752="Charter Township"),D2752,"")&amp;IF(D2752="Township"," "&amp;"("&amp;VLOOKUP(A2752,counties,3,0)&amp;")",""),"  "," "))</f>
        <v>City Of Detroit Local Deveopment Finance Authority</v>
      </c>
    </row>
    <row r="2753" spans="1:8" ht="15.75" thickBot="1" x14ac:dyDescent="0.3">
      <c r="A2753">
        <f t="shared" si="43"/>
        <v>82</v>
      </c>
      <c r="B2753" s="10">
        <v>2016</v>
      </c>
      <c r="C2753" s="3" t="s">
        <v>2377</v>
      </c>
      <c r="D2753" s="3" t="s">
        <v>17</v>
      </c>
      <c r="E2753" s="4" t="s">
        <v>7</v>
      </c>
      <c r="F2753" s="11" t="s">
        <v>8</v>
      </c>
      <c r="H2753" t="str">
        <f>TRIM(SUBSTITUTE(PROPER(C2753)&amp;" "&amp;IF(OR(D2753="County",D2753="Township",D2753="Village",D2753="Charter Township"),D2753,"")&amp;IF(D2753="Township"," "&amp;"("&amp;VLOOKUP(A2753,counties,3,0)&amp;")",""),"  "," "))</f>
        <v>City Of Detroit Police And Fire Retiree Health Care Trust</v>
      </c>
    </row>
    <row r="2754" spans="1:8" ht="15.75" thickBot="1" x14ac:dyDescent="0.3">
      <c r="A2754">
        <f t="shared" si="43"/>
        <v>82</v>
      </c>
      <c r="B2754" s="8">
        <v>2016</v>
      </c>
      <c r="C2754" s="1" t="s">
        <v>2378</v>
      </c>
      <c r="D2754" s="1" t="s">
        <v>15</v>
      </c>
      <c r="E2754" s="2" t="s">
        <v>7</v>
      </c>
      <c r="F2754" s="9" t="s">
        <v>8</v>
      </c>
      <c r="H2754" t="str">
        <f>TRIM(SUBSTITUTE(PROPER(C2754)&amp;" "&amp;IF(OR(D2754="County",D2754="Township",D2754="Village",D2754="Charter Township"),D2754,"")&amp;IF(D2754="Township"," "&amp;"("&amp;VLOOKUP(A2754,counties,3,0)&amp;")",""),"  "," "))</f>
        <v>Dearborn</v>
      </c>
    </row>
    <row r="2755" spans="1:8" ht="15.75" thickBot="1" x14ac:dyDescent="0.3">
      <c r="A2755">
        <f t="shared" ref="A2755:A2818" si="44">IF(B2755="Year",A2754+1,A2754)</f>
        <v>82</v>
      </c>
      <c r="B2755" s="10">
        <v>2016</v>
      </c>
      <c r="C2755" s="3" t="s">
        <v>2379</v>
      </c>
      <c r="D2755" s="3" t="s">
        <v>17</v>
      </c>
      <c r="E2755" s="4" t="s">
        <v>7</v>
      </c>
      <c r="F2755" s="11" t="s">
        <v>8</v>
      </c>
      <c r="H2755" t="str">
        <f>TRIM(SUBSTITUTE(PROPER(C2755)&amp;" "&amp;IF(OR(D2755="County",D2755="Township",D2755="Village",D2755="Charter Township"),D2755,"")&amp;IF(D2755="Township"," "&amp;"("&amp;VLOOKUP(A2755,counties,3,0)&amp;")",""),"  "," "))</f>
        <v>Dearborn City Housing Commission</v>
      </c>
    </row>
    <row r="2756" spans="1:8" ht="15.75" thickBot="1" x14ac:dyDescent="0.3">
      <c r="A2756">
        <f t="shared" si="44"/>
        <v>82</v>
      </c>
      <c r="B2756" s="8">
        <v>2016</v>
      </c>
      <c r="C2756" s="1" t="s">
        <v>2380</v>
      </c>
      <c r="D2756" s="1" t="s">
        <v>15</v>
      </c>
      <c r="E2756" s="2" t="s">
        <v>7</v>
      </c>
      <c r="F2756" s="9" t="s">
        <v>8</v>
      </c>
      <c r="H2756" t="str">
        <f>TRIM(SUBSTITUTE(PROPER(C2756)&amp;" "&amp;IF(OR(D2756="County",D2756="Township",D2756="Village",D2756="Charter Township"),D2756,"")&amp;IF(D2756="Township"," "&amp;"("&amp;VLOOKUP(A2756,counties,3,0)&amp;")",""),"  "," "))</f>
        <v>Dearborn Heights</v>
      </c>
    </row>
    <row r="2757" spans="1:8" ht="21.75" thickBot="1" x14ac:dyDescent="0.3">
      <c r="A2757">
        <f t="shared" si="44"/>
        <v>82</v>
      </c>
      <c r="B2757" s="10">
        <v>2016</v>
      </c>
      <c r="C2757" s="3" t="s">
        <v>2381</v>
      </c>
      <c r="D2757" s="3" t="s">
        <v>17</v>
      </c>
      <c r="E2757" s="4" t="s">
        <v>7</v>
      </c>
      <c r="F2757" s="11" t="s">
        <v>8</v>
      </c>
      <c r="H2757" t="str">
        <f>TRIM(SUBSTITUTE(PROPER(C2757)&amp;" "&amp;IF(OR(D2757="County",D2757="Township",D2757="Village",D2757="Charter Township"),D2757,"")&amp;IF(D2757="Township"," "&amp;"("&amp;VLOOKUP(A2757,counties,3,0)&amp;")",""),"  "," "))</f>
        <v>Dearborn Heights City Tax Increment Finance Author</v>
      </c>
    </row>
    <row r="2758" spans="1:8" ht="15.75" thickBot="1" x14ac:dyDescent="0.3">
      <c r="A2758">
        <f t="shared" si="44"/>
        <v>82</v>
      </c>
      <c r="B2758" s="8">
        <v>2016</v>
      </c>
      <c r="C2758" s="1" t="s">
        <v>2382</v>
      </c>
      <c r="D2758" s="1" t="s">
        <v>15</v>
      </c>
      <c r="E2758" s="2" t="s">
        <v>7</v>
      </c>
      <c r="F2758" s="9" t="s">
        <v>8</v>
      </c>
      <c r="H2758" t="str">
        <f>TRIM(SUBSTITUTE(PROPER(C2758)&amp;" "&amp;IF(OR(D2758="County",D2758="Township",D2758="Village",D2758="Charter Township"),D2758,"")&amp;IF(D2758="Township"," "&amp;"("&amp;VLOOKUP(A2758,counties,3,0)&amp;")",""),"  "," "))</f>
        <v>Detroit</v>
      </c>
    </row>
    <row r="2759" spans="1:8" ht="15.75" thickBot="1" x14ac:dyDescent="0.3">
      <c r="A2759">
        <f t="shared" si="44"/>
        <v>82</v>
      </c>
      <c r="B2759" s="10">
        <v>2016</v>
      </c>
      <c r="C2759" s="3" t="s">
        <v>2383</v>
      </c>
      <c r="D2759" s="3" t="s">
        <v>17</v>
      </c>
      <c r="E2759" s="4" t="s">
        <v>7</v>
      </c>
      <c r="F2759" s="11" t="s">
        <v>8</v>
      </c>
      <c r="H2759" t="str">
        <f>TRIM(SUBSTITUTE(PROPER(C2759)&amp;" "&amp;IF(OR(D2759="County",D2759="Township",D2759="Village",D2759="Charter Township"),D2759,"")&amp;IF(D2759="Township"," "&amp;"("&amp;VLOOKUP(A2759,counties,3,0)&amp;")",""),"  "," "))</f>
        <v>Detroit City Brownfield Redevelopment Authority</v>
      </c>
    </row>
    <row r="2760" spans="1:8" ht="21.75" thickBot="1" x14ac:dyDescent="0.3">
      <c r="A2760">
        <f t="shared" si="44"/>
        <v>82</v>
      </c>
      <c r="B2760" s="8">
        <v>2016</v>
      </c>
      <c r="C2760" s="1" t="s">
        <v>2384</v>
      </c>
      <c r="D2760" s="1" t="s">
        <v>17</v>
      </c>
      <c r="E2760" s="2" t="s">
        <v>7</v>
      </c>
      <c r="F2760" s="9" t="s">
        <v>8</v>
      </c>
      <c r="H2760" t="str">
        <f>TRIM(SUBSTITUTE(PROPER(C2760)&amp;" "&amp;IF(OR(D2760="County",D2760="Township",D2760="Village",D2760="Charter Township"),D2760,"")&amp;IF(D2760="Township"," "&amp;"("&amp;VLOOKUP(A2760,counties,3,0)&amp;")",""),"  "," "))</f>
        <v>Detroit City General Retirement System-Component Ii</v>
      </c>
    </row>
    <row r="2761" spans="1:8" ht="15.75" thickBot="1" x14ac:dyDescent="0.3">
      <c r="A2761">
        <f t="shared" si="44"/>
        <v>82</v>
      </c>
      <c r="B2761" s="10">
        <v>2016</v>
      </c>
      <c r="C2761" s="3" t="s">
        <v>2385</v>
      </c>
      <c r="D2761" s="3" t="s">
        <v>17</v>
      </c>
      <c r="E2761" s="4" t="s">
        <v>7</v>
      </c>
      <c r="F2761" s="11" t="s">
        <v>8</v>
      </c>
      <c r="H2761" t="str">
        <f>TRIM(SUBSTITUTE(PROPER(C2761)&amp;" "&amp;IF(OR(D2761="County",D2761="Township",D2761="Village",D2761="Charter Township"),D2761,"")&amp;IF(D2761="Township"," "&amp;"("&amp;VLOOKUP(A2761,counties,3,0)&amp;")",""),"  "," "))</f>
        <v>Detroit City Police And Fire Retirement System</v>
      </c>
    </row>
    <row r="2762" spans="1:8" ht="15.75" thickBot="1" x14ac:dyDescent="0.3">
      <c r="A2762">
        <f t="shared" si="44"/>
        <v>82</v>
      </c>
      <c r="B2762" s="8">
        <v>2016</v>
      </c>
      <c r="C2762" s="1" t="s">
        <v>2386</v>
      </c>
      <c r="D2762" s="1" t="s">
        <v>17</v>
      </c>
      <c r="E2762" s="2" t="s">
        <v>7</v>
      </c>
      <c r="F2762" s="9" t="s">
        <v>8</v>
      </c>
      <c r="H2762" t="str">
        <f>TRIM(SUBSTITUTE(PROPER(C2762)&amp;" "&amp;IF(OR(D2762="County",D2762="Township",D2762="Village",D2762="Charter Township"),D2762,"")&amp;IF(D2762="Township"," "&amp;"("&amp;VLOOKUP(A2762,counties,3,0)&amp;")",""),"  "," "))</f>
        <v>Detroit City Transportation Fund</v>
      </c>
    </row>
    <row r="2763" spans="1:8" ht="15.75" thickBot="1" x14ac:dyDescent="0.3">
      <c r="A2763">
        <f t="shared" si="44"/>
        <v>82</v>
      </c>
      <c r="B2763" s="10">
        <v>2016</v>
      </c>
      <c r="C2763" s="3" t="s">
        <v>2387</v>
      </c>
      <c r="D2763" s="3" t="s">
        <v>17</v>
      </c>
      <c r="E2763" s="4" t="s">
        <v>7</v>
      </c>
      <c r="F2763" s="11" t="s">
        <v>8</v>
      </c>
      <c r="H2763" t="str">
        <f>TRIM(SUBSTITUTE(PROPER(C2763)&amp;" "&amp;IF(OR(D2763="County",D2763="Township",D2763="Village",D2763="Charter Township"),D2763,"")&amp;IF(D2763="Township"," "&amp;"("&amp;VLOOKUP(A2763,counties,3,0)&amp;")",""),"  "," "))</f>
        <v>Detroit Downtown Development Authority</v>
      </c>
    </row>
    <row r="2764" spans="1:8" ht="15.75" thickBot="1" x14ac:dyDescent="0.3">
      <c r="A2764">
        <f t="shared" si="44"/>
        <v>82</v>
      </c>
      <c r="B2764" s="8">
        <v>2016</v>
      </c>
      <c r="C2764" s="1" t="s">
        <v>2388</v>
      </c>
      <c r="D2764" s="1" t="s">
        <v>17</v>
      </c>
      <c r="E2764" s="2" t="s">
        <v>7</v>
      </c>
      <c r="F2764" s="9" t="s">
        <v>8</v>
      </c>
      <c r="H2764" t="str">
        <f>TRIM(SUBSTITUTE(PROPER(C2764)&amp;" "&amp;IF(OR(D2764="County",D2764="Township",D2764="Village",D2764="Charter Township"),D2764,"")&amp;IF(D2764="Township"," "&amp;"("&amp;VLOOKUP(A2764,counties,3,0)&amp;")",""),"  "," "))</f>
        <v>Detroit Land Bank Authority</v>
      </c>
    </row>
    <row r="2765" spans="1:8" ht="15.75" thickBot="1" x14ac:dyDescent="0.3">
      <c r="A2765">
        <f t="shared" si="44"/>
        <v>82</v>
      </c>
      <c r="B2765" s="10">
        <v>2016</v>
      </c>
      <c r="C2765" s="3" t="s">
        <v>2389</v>
      </c>
      <c r="D2765" s="3" t="s">
        <v>42</v>
      </c>
      <c r="E2765" s="4" t="s">
        <v>7</v>
      </c>
      <c r="F2765" s="11" t="s">
        <v>8</v>
      </c>
      <c r="H2765" t="str">
        <f>TRIM(SUBSTITUTE(PROPER(C2765)&amp;" "&amp;IF(OR(D2765="County",D2765="Township",D2765="Village",D2765="Charter Township"),D2765,"")&amp;IF(D2765="Township"," "&amp;"("&amp;VLOOKUP(A2765,counties,3,0)&amp;")",""),"  "," "))</f>
        <v>Detroit Library Cooperative</v>
      </c>
    </row>
    <row r="2766" spans="1:8" ht="15.75" thickBot="1" x14ac:dyDescent="0.3">
      <c r="A2766">
        <f t="shared" si="44"/>
        <v>82</v>
      </c>
      <c r="B2766" s="8">
        <v>2016</v>
      </c>
      <c r="C2766" s="1" t="s">
        <v>2390</v>
      </c>
      <c r="D2766" s="1" t="s">
        <v>42</v>
      </c>
      <c r="E2766" s="2" t="s">
        <v>7</v>
      </c>
      <c r="F2766" s="9" t="s">
        <v>8</v>
      </c>
      <c r="H2766" t="str">
        <f>TRIM(SUBSTITUTE(PROPER(C2766)&amp;" "&amp;IF(OR(D2766="County",D2766="Township",D2766="Village",D2766="Charter Township"),D2766,"")&amp;IF(D2766="Township"," "&amp;"("&amp;VLOOKUP(A2766,counties,3,0)&amp;")",""),"  "," "))</f>
        <v>Detroit Public Library-Burton Endowment Fund</v>
      </c>
    </row>
    <row r="2767" spans="1:8" ht="15.75" thickBot="1" x14ac:dyDescent="0.3">
      <c r="A2767">
        <f t="shared" si="44"/>
        <v>82</v>
      </c>
      <c r="B2767" s="10">
        <v>2016</v>
      </c>
      <c r="C2767" s="3" t="s">
        <v>2391</v>
      </c>
      <c r="D2767" s="3" t="s">
        <v>72</v>
      </c>
      <c r="E2767" s="4" t="s">
        <v>7</v>
      </c>
      <c r="F2767" s="11" t="s">
        <v>8</v>
      </c>
      <c r="H2767" t="str">
        <f>TRIM(SUBSTITUTE(PROPER(C2767)&amp;" "&amp;IF(OR(D2767="County",D2767="Township",D2767="Village",D2767="Charter Township"),D2767,"")&amp;IF(D2767="Township"," "&amp;"("&amp;VLOOKUP(A2767,counties,3,0)&amp;")",""),"  "," "))</f>
        <v>Detroit Region Aerotropolis Development Corporatio</v>
      </c>
    </row>
    <row r="2768" spans="1:8" ht="15.75" thickBot="1" x14ac:dyDescent="0.3">
      <c r="A2768">
        <f t="shared" si="44"/>
        <v>82</v>
      </c>
      <c r="B2768" s="8">
        <v>2016</v>
      </c>
      <c r="C2768" s="1" t="s">
        <v>2392</v>
      </c>
      <c r="D2768" s="1" t="s">
        <v>17</v>
      </c>
      <c r="E2768" s="2" t="s">
        <v>7</v>
      </c>
      <c r="F2768" s="9" t="s">
        <v>8</v>
      </c>
      <c r="H2768" t="str">
        <f>TRIM(SUBSTITUTE(PROPER(C2768)&amp;" "&amp;IF(OR(D2768="County",D2768="Township",D2768="Village",D2768="Charter Township"),D2768,"")&amp;IF(D2768="Township"," "&amp;"("&amp;VLOOKUP(A2768,counties,3,0)&amp;")",""),"  "," "))</f>
        <v>Detroit Regional Convention Facility Authority</v>
      </c>
    </row>
    <row r="2769" spans="1:8" ht="15.75" thickBot="1" x14ac:dyDescent="0.3">
      <c r="A2769">
        <f t="shared" si="44"/>
        <v>82</v>
      </c>
      <c r="B2769" s="10">
        <v>2016</v>
      </c>
      <c r="C2769" s="3" t="s">
        <v>2393</v>
      </c>
      <c r="D2769" s="3" t="s">
        <v>17</v>
      </c>
      <c r="E2769" s="4" t="s">
        <v>7</v>
      </c>
      <c r="F2769" s="11" t="s">
        <v>8</v>
      </c>
      <c r="H2769" t="str">
        <f>TRIM(SUBSTITUTE(PROPER(C2769)&amp;" "&amp;IF(OR(D2769="County",D2769="Township",D2769="Village",D2769="Charter Township"),D2769,"")&amp;IF(D2769="Township"," "&amp;"("&amp;VLOOKUP(A2769,counties,3,0)&amp;")",""),"  "," "))</f>
        <v>Detroit Wayne County Health Authority</v>
      </c>
    </row>
    <row r="2770" spans="1:8" ht="15.75" thickBot="1" x14ac:dyDescent="0.3">
      <c r="A2770">
        <f t="shared" si="44"/>
        <v>82</v>
      </c>
      <c r="B2770" s="8">
        <v>2016</v>
      </c>
      <c r="C2770" s="1" t="s">
        <v>2394</v>
      </c>
      <c r="D2770" s="1" t="s">
        <v>17</v>
      </c>
      <c r="E2770" s="2" t="s">
        <v>7</v>
      </c>
      <c r="F2770" s="9" t="s">
        <v>8</v>
      </c>
      <c r="H2770" t="str">
        <f>TRIM(SUBSTITUTE(PROPER(C2770)&amp;" "&amp;IF(OR(D2770="County",D2770="Township",D2770="Village",D2770="Charter Township"),D2770,"")&amp;IF(D2770="Township"," "&amp;"("&amp;VLOOKUP(A2770,counties,3,0)&amp;")",""),"  "," "))</f>
        <v>Detroit-Wayne County Cmh Agency</v>
      </c>
    </row>
    <row r="2771" spans="1:8" ht="15.75" thickBot="1" x14ac:dyDescent="0.3">
      <c r="A2771">
        <f t="shared" si="44"/>
        <v>82</v>
      </c>
      <c r="B2771" s="10">
        <v>2016</v>
      </c>
      <c r="C2771" s="3" t="s">
        <v>2395</v>
      </c>
      <c r="D2771" s="3" t="s">
        <v>17</v>
      </c>
      <c r="E2771" s="4" t="s">
        <v>7</v>
      </c>
      <c r="F2771" s="11" t="s">
        <v>8</v>
      </c>
      <c r="H2771" t="str">
        <f>TRIM(SUBSTITUTE(PROPER(C2771)&amp;" "&amp;IF(OR(D2771="County",D2771="Township",D2771="Village",D2771="Charter Township"),D2771,"")&amp;IF(D2771="Township"," "&amp;"("&amp;VLOOKUP(A2771,counties,3,0)&amp;")",""),"  "," "))</f>
        <v>Detroit/Wayne County Port Authority</v>
      </c>
    </row>
    <row r="2772" spans="1:8" ht="15.75" thickBot="1" x14ac:dyDescent="0.3">
      <c r="A2772">
        <f t="shared" si="44"/>
        <v>82</v>
      </c>
      <c r="B2772" s="8">
        <v>2016</v>
      </c>
      <c r="C2772" s="1" t="s">
        <v>2396</v>
      </c>
      <c r="D2772" s="1" t="s">
        <v>17</v>
      </c>
      <c r="E2772" s="2" t="s">
        <v>7</v>
      </c>
      <c r="F2772" s="9" t="s">
        <v>8</v>
      </c>
      <c r="H2772" t="str">
        <f>TRIM(SUBSTITUTE(PROPER(C2772)&amp;" "&amp;IF(OR(D2772="County",D2772="Township",D2772="Village",D2772="Charter Township"),D2772,"")&amp;IF(D2772="Township"," "&amp;"("&amp;VLOOKUP(A2772,counties,3,0)&amp;")",""),"  "," "))</f>
        <v>Downriver Community Conference</v>
      </c>
    </row>
    <row r="2773" spans="1:8" ht="15.75" thickBot="1" x14ac:dyDescent="0.3">
      <c r="A2773">
        <f t="shared" si="44"/>
        <v>82</v>
      </c>
      <c r="B2773" s="10">
        <v>2016</v>
      </c>
      <c r="C2773" s="3" t="s">
        <v>2397</v>
      </c>
      <c r="D2773" s="3" t="s">
        <v>17</v>
      </c>
      <c r="E2773" s="4" t="s">
        <v>7</v>
      </c>
      <c r="F2773" s="11" t="s">
        <v>8</v>
      </c>
      <c r="H2773" t="str">
        <f>TRIM(SUBSTITUTE(PROPER(C2773)&amp;" "&amp;IF(OR(D2773="County",D2773="Township",D2773="Village",D2773="Charter Township"),D2773,"")&amp;IF(D2773="Township"," "&amp;"("&amp;VLOOKUP(A2773,counties,3,0)&amp;")",""),"  "," "))</f>
        <v>Downriver Mutual Aid (Dmaid)</v>
      </c>
    </row>
    <row r="2774" spans="1:8" ht="15.75" thickBot="1" x14ac:dyDescent="0.3">
      <c r="A2774">
        <f t="shared" si="44"/>
        <v>82</v>
      </c>
      <c r="B2774" s="8">
        <v>2016</v>
      </c>
      <c r="C2774" s="1" t="s">
        <v>2398</v>
      </c>
      <c r="D2774" s="1" t="s">
        <v>17</v>
      </c>
      <c r="E2774" s="2" t="s">
        <v>7</v>
      </c>
      <c r="F2774" s="9" t="s">
        <v>8</v>
      </c>
      <c r="H2774" t="str">
        <f>TRIM(SUBSTITUTE(PROPER(C2774)&amp;" "&amp;IF(OR(D2774="County",D2774="Township",D2774="Village",D2774="Charter Township"),D2774,"")&amp;IF(D2774="Township"," "&amp;"("&amp;VLOOKUP(A2774,counties,3,0)&amp;")",""),"  "," "))</f>
        <v>Economic Development Corporation Of The City Of Detroit</v>
      </c>
    </row>
    <row r="2775" spans="1:8" ht="15.75" thickBot="1" x14ac:dyDescent="0.3">
      <c r="A2775">
        <f t="shared" si="44"/>
        <v>82</v>
      </c>
      <c r="B2775" s="10">
        <v>2016</v>
      </c>
      <c r="C2775" s="3" t="s">
        <v>2399</v>
      </c>
      <c r="D2775" s="3" t="s">
        <v>15</v>
      </c>
      <c r="E2775" s="4" t="s">
        <v>7</v>
      </c>
      <c r="F2775" s="11" t="s">
        <v>8</v>
      </c>
      <c r="H2775" t="str">
        <f>TRIM(SUBSTITUTE(PROPER(C2775)&amp;" "&amp;IF(OR(D2775="County",D2775="Township",D2775="Village",D2775="Charter Township"),D2775,"")&amp;IF(D2775="Township"," "&amp;"("&amp;VLOOKUP(A2775,counties,3,0)&amp;")",""),"  "," "))</f>
        <v>Ecorse</v>
      </c>
    </row>
    <row r="2776" spans="1:8" ht="15.75" thickBot="1" x14ac:dyDescent="0.3">
      <c r="A2776">
        <f t="shared" si="44"/>
        <v>82</v>
      </c>
      <c r="B2776" s="8">
        <v>2016</v>
      </c>
      <c r="C2776" s="1" t="s">
        <v>2400</v>
      </c>
      <c r="D2776" s="1" t="s">
        <v>17</v>
      </c>
      <c r="E2776" s="2" t="s">
        <v>7</v>
      </c>
      <c r="F2776" s="9" t="s">
        <v>8</v>
      </c>
      <c r="H2776" t="str">
        <f>TRIM(SUBSTITUTE(PROPER(C2776)&amp;" "&amp;IF(OR(D2776="County",D2776="Township",D2776="Village",D2776="Charter Township"),D2776,"")&amp;IF(D2776="Township"," "&amp;"("&amp;VLOOKUP(A2776,counties,3,0)&amp;")",""),"  "," "))</f>
        <v>Ecorse City Housing Commission</v>
      </c>
    </row>
    <row r="2777" spans="1:8" ht="15.75" thickBot="1" x14ac:dyDescent="0.3">
      <c r="A2777">
        <f t="shared" si="44"/>
        <v>82</v>
      </c>
      <c r="B2777" s="10">
        <v>2016</v>
      </c>
      <c r="C2777" s="3" t="s">
        <v>2401</v>
      </c>
      <c r="D2777" s="3" t="s">
        <v>17</v>
      </c>
      <c r="E2777" s="4" t="s">
        <v>7</v>
      </c>
      <c r="F2777" s="11" t="s">
        <v>8</v>
      </c>
      <c r="H2777" t="str">
        <f>TRIM(SUBSTITUTE(PROPER(C2777)&amp;" "&amp;IF(OR(D2777="County",D2777="Township",D2777="Village",D2777="Charter Township"),D2777,"")&amp;IF(D2777="Township"," "&amp;"("&amp;VLOOKUP(A2777,counties,3,0)&amp;")",""),"  "," "))</f>
        <v>Eight Mile Woodward Cooridor Improvement Authority</v>
      </c>
    </row>
    <row r="2778" spans="1:8" ht="15.75" thickBot="1" x14ac:dyDescent="0.3">
      <c r="A2778">
        <f t="shared" si="44"/>
        <v>82</v>
      </c>
      <c r="B2778" s="8">
        <v>2016</v>
      </c>
      <c r="C2778" s="1" t="s">
        <v>2402</v>
      </c>
      <c r="D2778" s="1" t="s">
        <v>15</v>
      </c>
      <c r="E2778" s="2" t="s">
        <v>7</v>
      </c>
      <c r="F2778" s="9" t="s">
        <v>8</v>
      </c>
      <c r="H2778" t="str">
        <f>TRIM(SUBSTITUTE(PROPER(C2778)&amp;" "&amp;IF(OR(D2778="County",D2778="Township",D2778="Village",D2778="Charter Township"),D2778,"")&amp;IF(D2778="Township"," "&amp;"("&amp;VLOOKUP(A2778,counties,3,0)&amp;")",""),"  "," "))</f>
        <v>Flat Rock</v>
      </c>
    </row>
    <row r="2779" spans="1:8" ht="15.75" thickBot="1" x14ac:dyDescent="0.3">
      <c r="A2779">
        <f t="shared" si="44"/>
        <v>82</v>
      </c>
      <c r="B2779" s="10">
        <v>2016</v>
      </c>
      <c r="C2779" s="3" t="s">
        <v>2403</v>
      </c>
      <c r="D2779" s="3" t="s">
        <v>15</v>
      </c>
      <c r="E2779" s="4" t="s">
        <v>7</v>
      </c>
      <c r="F2779" s="11" t="s">
        <v>8</v>
      </c>
      <c r="H2779" t="str">
        <f>TRIM(SUBSTITUTE(PROPER(C2779)&amp;" "&amp;IF(OR(D2779="County",D2779="Township",D2779="Village",D2779="Charter Township"),D2779,"")&amp;IF(D2779="Township"," "&amp;"("&amp;VLOOKUP(A2779,counties,3,0)&amp;")",""),"  "," "))</f>
        <v>Garden City</v>
      </c>
    </row>
    <row r="2780" spans="1:8" ht="15.75" thickBot="1" x14ac:dyDescent="0.3">
      <c r="A2780">
        <f t="shared" si="44"/>
        <v>82</v>
      </c>
      <c r="B2780" s="8">
        <v>2016</v>
      </c>
      <c r="C2780" s="1" t="s">
        <v>2404</v>
      </c>
      <c r="D2780" s="1" t="s">
        <v>15</v>
      </c>
      <c r="E2780" s="2" t="s">
        <v>7</v>
      </c>
      <c r="F2780" s="9" t="s">
        <v>8</v>
      </c>
      <c r="H2780" t="str">
        <f>TRIM(SUBSTITUTE(PROPER(C2780)&amp;" "&amp;IF(OR(D2780="County",D2780="Township",D2780="Village",D2780="Charter Township"),D2780,"")&amp;IF(D2780="Township"," "&amp;"("&amp;VLOOKUP(A2780,counties,3,0)&amp;")",""),"  "," "))</f>
        <v>Gibraltar</v>
      </c>
    </row>
    <row r="2781" spans="1:8" ht="15.75" thickBot="1" x14ac:dyDescent="0.3">
      <c r="A2781">
        <f t="shared" si="44"/>
        <v>82</v>
      </c>
      <c r="B2781" s="10">
        <v>2016</v>
      </c>
      <c r="C2781" s="3" t="s">
        <v>2405</v>
      </c>
      <c r="D2781" s="3" t="s">
        <v>17</v>
      </c>
      <c r="E2781" s="4" t="s">
        <v>7</v>
      </c>
      <c r="F2781" s="11" t="s">
        <v>8</v>
      </c>
      <c r="H2781" t="str">
        <f>TRIM(SUBSTITUTE(PROPER(C2781)&amp;" "&amp;IF(OR(D2781="County",D2781="Township",D2781="Village",D2781="Charter Township"),D2781,"")&amp;IF(D2781="Township"," "&amp;"("&amp;VLOOKUP(A2781,counties,3,0)&amp;")",""),"  "," "))</f>
        <v>Great Lakes Water Authority</v>
      </c>
    </row>
    <row r="2782" spans="1:8" ht="15.75" thickBot="1" x14ac:dyDescent="0.3">
      <c r="A2782">
        <f t="shared" si="44"/>
        <v>82</v>
      </c>
      <c r="B2782" s="8">
        <v>2016</v>
      </c>
      <c r="C2782" s="1" t="s">
        <v>2406</v>
      </c>
      <c r="D2782" s="1" t="s">
        <v>9</v>
      </c>
      <c r="E2782" s="2" t="s">
        <v>7</v>
      </c>
      <c r="F2782" s="9" t="s">
        <v>8</v>
      </c>
      <c r="H2782" t="str">
        <f>TRIM(SUBSTITUTE(PROPER(C2782)&amp;" "&amp;IF(OR(D2782="County",D2782="Township",D2782="Village",D2782="Charter Township"),D2782,"")&amp;IF(D2782="Township"," "&amp;"("&amp;VLOOKUP(A2782,counties,3,0)&amp;")",""),"  "," "))</f>
        <v>Grosse Ile Township (Wayne County)</v>
      </c>
    </row>
    <row r="2783" spans="1:8" ht="15.75" thickBot="1" x14ac:dyDescent="0.3">
      <c r="A2783">
        <f t="shared" si="44"/>
        <v>82</v>
      </c>
      <c r="B2783" s="10">
        <v>2016</v>
      </c>
      <c r="C2783" s="3" t="s">
        <v>2407</v>
      </c>
      <c r="D2783" s="3" t="s">
        <v>15</v>
      </c>
      <c r="E2783" s="4" t="s">
        <v>7</v>
      </c>
      <c r="F2783" s="11" t="s">
        <v>8</v>
      </c>
      <c r="H2783" t="str">
        <f>TRIM(SUBSTITUTE(PROPER(C2783)&amp;" "&amp;IF(OR(D2783="County",D2783="Township",D2783="Village",D2783="Charter Township"),D2783,"")&amp;IF(D2783="Township"," "&amp;"("&amp;VLOOKUP(A2783,counties,3,0)&amp;")",""),"  "," "))</f>
        <v>Grosse Pointe</v>
      </c>
    </row>
    <row r="2784" spans="1:8" ht="15.75" thickBot="1" x14ac:dyDescent="0.3">
      <c r="A2784">
        <f t="shared" si="44"/>
        <v>82</v>
      </c>
      <c r="B2784" s="8">
        <v>2016</v>
      </c>
      <c r="C2784" s="1" t="s">
        <v>2408</v>
      </c>
      <c r="D2784" s="1" t="s">
        <v>15</v>
      </c>
      <c r="E2784" s="2" t="s">
        <v>7</v>
      </c>
      <c r="F2784" s="9" t="s">
        <v>8</v>
      </c>
      <c r="H2784" t="str">
        <f>TRIM(SUBSTITUTE(PROPER(C2784)&amp;" "&amp;IF(OR(D2784="County",D2784="Township",D2784="Village",D2784="Charter Township"),D2784,"")&amp;IF(D2784="Township"," "&amp;"("&amp;VLOOKUP(A2784,counties,3,0)&amp;")",""),"  "," "))</f>
        <v>Grosse Pointe Farms</v>
      </c>
    </row>
    <row r="2785" spans="1:8" ht="15.75" thickBot="1" x14ac:dyDescent="0.3">
      <c r="A2785">
        <f t="shared" si="44"/>
        <v>82</v>
      </c>
      <c r="B2785" s="10">
        <v>2016</v>
      </c>
      <c r="C2785" s="3" t="s">
        <v>2409</v>
      </c>
      <c r="D2785" s="3" t="s">
        <v>15</v>
      </c>
      <c r="E2785" s="4" t="s">
        <v>7</v>
      </c>
      <c r="F2785" s="11" t="s">
        <v>8</v>
      </c>
      <c r="H2785" t="str">
        <f>TRIM(SUBSTITUTE(PROPER(C2785)&amp;" "&amp;IF(OR(D2785="County",D2785="Township",D2785="Village",D2785="Charter Township"),D2785,"")&amp;IF(D2785="Township"," "&amp;"("&amp;VLOOKUP(A2785,counties,3,0)&amp;")",""),"  "," "))</f>
        <v>Grosse Pointe Park</v>
      </c>
    </row>
    <row r="2786" spans="1:8" ht="15.75" thickBot="1" x14ac:dyDescent="0.3">
      <c r="A2786">
        <f t="shared" si="44"/>
        <v>82</v>
      </c>
      <c r="B2786" s="8">
        <v>2016</v>
      </c>
      <c r="C2786" s="1" t="s">
        <v>2410</v>
      </c>
      <c r="D2786" s="1" t="s">
        <v>42</v>
      </c>
      <c r="E2786" s="2" t="s">
        <v>7</v>
      </c>
      <c r="F2786" s="9" t="s">
        <v>8</v>
      </c>
      <c r="H2786" t="str">
        <f>TRIM(SUBSTITUTE(PROPER(C2786)&amp;" "&amp;IF(OR(D2786="County",D2786="Township",D2786="Village",D2786="Charter Township"),D2786,"")&amp;IF(D2786="Township"," "&amp;"("&amp;VLOOKUP(A2786,counties,3,0)&amp;")",""),"  "," "))</f>
        <v>Grosse Pointe Public Library</v>
      </c>
    </row>
    <row r="2787" spans="1:8" ht="15.75" thickBot="1" x14ac:dyDescent="0.3">
      <c r="A2787">
        <f t="shared" si="44"/>
        <v>82</v>
      </c>
      <c r="B2787" s="10">
        <v>2016</v>
      </c>
      <c r="C2787" s="3" t="s">
        <v>2411</v>
      </c>
      <c r="D2787" s="3" t="s">
        <v>15</v>
      </c>
      <c r="E2787" s="4" t="s">
        <v>7</v>
      </c>
      <c r="F2787" s="11" t="s">
        <v>8</v>
      </c>
      <c r="H2787" t="str">
        <f>TRIM(SUBSTITUTE(PROPER(C2787)&amp;" "&amp;IF(OR(D2787="County",D2787="Township",D2787="Village",D2787="Charter Township"),D2787,"")&amp;IF(D2787="Township"," "&amp;"("&amp;VLOOKUP(A2787,counties,3,0)&amp;")",""),"  "," "))</f>
        <v>Grosse Pointe Shores City Of The Village Of</v>
      </c>
    </row>
    <row r="2788" spans="1:8" ht="15.75" thickBot="1" x14ac:dyDescent="0.3">
      <c r="A2788">
        <f t="shared" si="44"/>
        <v>82</v>
      </c>
      <c r="B2788" s="8">
        <v>2016</v>
      </c>
      <c r="C2788" s="1" t="s">
        <v>2412</v>
      </c>
      <c r="D2788" s="1" t="s">
        <v>15</v>
      </c>
      <c r="E2788" s="2" t="s">
        <v>7</v>
      </c>
      <c r="F2788" s="9" t="s">
        <v>8</v>
      </c>
      <c r="H2788" t="str">
        <f>TRIM(SUBSTITUTE(PROPER(C2788)&amp;" "&amp;IF(OR(D2788="County",D2788="Township",D2788="Village",D2788="Charter Township"),D2788,"")&amp;IF(D2788="Township"," "&amp;"("&amp;VLOOKUP(A2788,counties,3,0)&amp;")",""),"  "," "))</f>
        <v>Grosse Pointe Woods</v>
      </c>
    </row>
    <row r="2789" spans="1:8" ht="15.75" thickBot="1" x14ac:dyDescent="0.3">
      <c r="A2789">
        <f t="shared" si="44"/>
        <v>82</v>
      </c>
      <c r="B2789" s="10">
        <v>2016</v>
      </c>
      <c r="C2789" s="3" t="s">
        <v>2413</v>
      </c>
      <c r="D2789" s="3" t="s">
        <v>17</v>
      </c>
      <c r="E2789" s="4" t="s">
        <v>7</v>
      </c>
      <c r="F2789" s="11" t="s">
        <v>8</v>
      </c>
      <c r="H2789" t="str">
        <f>TRIM(SUBSTITUTE(PROPER(C2789)&amp;" "&amp;IF(OR(D2789="County",D2789="Township",D2789="Village",D2789="Charter Township"),D2789,"")&amp;IF(D2789="Township"," "&amp;"("&amp;VLOOKUP(A2789,counties,3,0)&amp;")",""),"  "," "))</f>
        <v>Grosse Pointes-Clinton Refuse Disposal Authority</v>
      </c>
    </row>
    <row r="2790" spans="1:8" ht="15.75" thickBot="1" x14ac:dyDescent="0.3">
      <c r="A2790">
        <f t="shared" si="44"/>
        <v>82</v>
      </c>
      <c r="B2790" s="8">
        <v>2016</v>
      </c>
      <c r="C2790" s="1" t="s">
        <v>2414</v>
      </c>
      <c r="D2790" s="1" t="s">
        <v>15</v>
      </c>
      <c r="E2790" s="2" t="s">
        <v>7</v>
      </c>
      <c r="F2790" s="9" t="s">
        <v>8</v>
      </c>
      <c r="H2790" t="str">
        <f>TRIM(SUBSTITUTE(PROPER(C2790)&amp;" "&amp;IF(OR(D2790="County",D2790="Township",D2790="Village",D2790="Charter Township"),D2790,"")&amp;IF(D2790="Township"," "&amp;"("&amp;VLOOKUP(A2790,counties,3,0)&amp;")",""),"  "," "))</f>
        <v>Hamtramck</v>
      </c>
    </row>
    <row r="2791" spans="1:8" ht="15.75" thickBot="1" x14ac:dyDescent="0.3">
      <c r="A2791">
        <f t="shared" si="44"/>
        <v>82</v>
      </c>
      <c r="B2791" s="10">
        <v>2016</v>
      </c>
      <c r="C2791" s="3" t="s">
        <v>2415</v>
      </c>
      <c r="D2791" s="3" t="s">
        <v>15</v>
      </c>
      <c r="E2791" s="4" t="s">
        <v>7</v>
      </c>
      <c r="F2791" s="11" t="s">
        <v>8</v>
      </c>
      <c r="H2791" t="str">
        <f>TRIM(SUBSTITUTE(PROPER(C2791)&amp;" "&amp;IF(OR(D2791="County",D2791="Township",D2791="Village",D2791="Charter Township"),D2791,"")&amp;IF(D2791="Township"," "&amp;"("&amp;VLOOKUP(A2791,counties,3,0)&amp;")",""),"  "," "))</f>
        <v>Harper Woods</v>
      </c>
    </row>
    <row r="2792" spans="1:8" ht="15.75" thickBot="1" x14ac:dyDescent="0.3">
      <c r="A2792">
        <f t="shared" si="44"/>
        <v>82</v>
      </c>
      <c r="B2792" s="8">
        <v>2016</v>
      </c>
      <c r="C2792" s="1" t="s">
        <v>2416</v>
      </c>
      <c r="D2792" s="1" t="s">
        <v>15</v>
      </c>
      <c r="E2792" s="2" t="s">
        <v>7</v>
      </c>
      <c r="F2792" s="9" t="s">
        <v>8</v>
      </c>
      <c r="H2792" t="str">
        <f>TRIM(SUBSTITUTE(PROPER(C2792)&amp;" "&amp;IF(OR(D2792="County",D2792="Township",D2792="Village",D2792="Charter Township"),D2792,"")&amp;IF(D2792="Township"," "&amp;"("&amp;VLOOKUP(A2792,counties,3,0)&amp;")",""),"  "," "))</f>
        <v>Highland Park</v>
      </c>
    </row>
    <row r="2793" spans="1:8" ht="15.75" thickBot="1" x14ac:dyDescent="0.3">
      <c r="A2793">
        <f t="shared" si="44"/>
        <v>82</v>
      </c>
      <c r="B2793" s="10">
        <v>2016</v>
      </c>
      <c r="C2793" s="3" t="s">
        <v>2417</v>
      </c>
      <c r="D2793" s="3" t="s">
        <v>17</v>
      </c>
      <c r="E2793" s="4" t="s">
        <v>7</v>
      </c>
      <c r="F2793" s="11" t="s">
        <v>8</v>
      </c>
      <c r="H2793" t="str">
        <f>TRIM(SUBSTITUTE(PROPER(C2793)&amp;" "&amp;IF(OR(D2793="County",D2793="Township",D2793="Village",D2793="Charter Township"),D2793,"")&amp;IF(D2793="Township"," "&amp;"("&amp;VLOOKUP(A2793,counties,3,0)&amp;")",""),"  "," "))</f>
        <v>Highland Park City Housing Commission</v>
      </c>
    </row>
    <row r="2794" spans="1:8" ht="15.75" thickBot="1" x14ac:dyDescent="0.3">
      <c r="A2794">
        <f t="shared" si="44"/>
        <v>82</v>
      </c>
      <c r="B2794" s="8">
        <v>2016</v>
      </c>
      <c r="C2794" s="1" t="s">
        <v>2418</v>
      </c>
      <c r="D2794" s="1" t="s">
        <v>17</v>
      </c>
      <c r="E2794" s="2" t="s">
        <v>7</v>
      </c>
      <c r="F2794" s="9" t="s">
        <v>8</v>
      </c>
      <c r="H2794" t="str">
        <f>TRIM(SUBSTITUTE(PROPER(C2794)&amp;" "&amp;IF(OR(D2794="County",D2794="Township",D2794="Village",D2794="Charter Township"),D2794,"")&amp;IF(D2794="Township"," "&amp;"("&amp;VLOOKUP(A2794,counties,3,0)&amp;")",""),"  "," "))</f>
        <v>Highland Park Tifa</v>
      </c>
    </row>
    <row r="2795" spans="1:8" ht="15.75" thickBot="1" x14ac:dyDescent="0.3">
      <c r="A2795">
        <f t="shared" si="44"/>
        <v>82</v>
      </c>
      <c r="B2795" s="10">
        <v>2016</v>
      </c>
      <c r="C2795" s="3" t="s">
        <v>2419</v>
      </c>
      <c r="D2795" s="3" t="s">
        <v>9</v>
      </c>
      <c r="E2795" s="4" t="s">
        <v>7</v>
      </c>
      <c r="F2795" s="11" t="s">
        <v>8</v>
      </c>
      <c r="H2795" t="str">
        <f>TRIM(SUBSTITUTE(PROPER(C2795)&amp;" "&amp;IF(OR(D2795="County",D2795="Township",D2795="Village",D2795="Charter Township"),D2795,"")&amp;IF(D2795="Township"," "&amp;"("&amp;VLOOKUP(A2795,counties,3,0)&amp;")",""),"  "," "))</f>
        <v>Huron Charter Township (Wayne County)</v>
      </c>
    </row>
    <row r="2796" spans="1:8" ht="15.75" thickBot="1" x14ac:dyDescent="0.3">
      <c r="A2796">
        <f t="shared" si="44"/>
        <v>82</v>
      </c>
      <c r="B2796" s="8">
        <v>2016</v>
      </c>
      <c r="C2796" s="1" t="s">
        <v>2420</v>
      </c>
      <c r="D2796" s="1" t="s">
        <v>15</v>
      </c>
      <c r="E2796" s="2" t="s">
        <v>7</v>
      </c>
      <c r="F2796" s="9" t="s">
        <v>8</v>
      </c>
      <c r="H2796" t="str">
        <f>TRIM(SUBSTITUTE(PROPER(C2796)&amp;" "&amp;IF(OR(D2796="County",D2796="Township",D2796="Village",D2796="Charter Township"),D2796,"")&amp;IF(D2796="Township"," "&amp;"("&amp;VLOOKUP(A2796,counties,3,0)&amp;")",""),"  "," "))</f>
        <v>Inkster</v>
      </c>
    </row>
    <row r="2797" spans="1:8" ht="15.75" thickBot="1" x14ac:dyDescent="0.3">
      <c r="A2797">
        <f t="shared" si="44"/>
        <v>82</v>
      </c>
      <c r="B2797" s="10">
        <v>2016</v>
      </c>
      <c r="C2797" s="3" t="s">
        <v>2421</v>
      </c>
      <c r="D2797" s="3" t="s">
        <v>15</v>
      </c>
      <c r="E2797" s="4" t="s">
        <v>7</v>
      </c>
      <c r="F2797" s="11" t="s">
        <v>8</v>
      </c>
      <c r="H2797" t="str">
        <f>TRIM(SUBSTITUTE(PROPER(C2797)&amp;" "&amp;IF(OR(D2797="County",D2797="Township",D2797="Village",D2797="Charter Township"),D2797,"")&amp;IF(D2797="Township"," "&amp;"("&amp;VLOOKUP(A2797,counties,3,0)&amp;")",""),"  "," "))</f>
        <v>Lincoln Park</v>
      </c>
    </row>
    <row r="2798" spans="1:8" ht="15.75" thickBot="1" x14ac:dyDescent="0.3">
      <c r="A2798">
        <f t="shared" si="44"/>
        <v>82</v>
      </c>
      <c r="B2798" s="8">
        <v>2016</v>
      </c>
      <c r="C2798" s="1" t="s">
        <v>2422</v>
      </c>
      <c r="D2798" s="1" t="s">
        <v>17</v>
      </c>
      <c r="E2798" s="2" t="s">
        <v>7</v>
      </c>
      <c r="F2798" s="9" t="s">
        <v>8</v>
      </c>
      <c r="H2798" t="str">
        <f>TRIM(SUBSTITUTE(PROPER(C2798)&amp;" "&amp;IF(OR(D2798="County",D2798="Township",D2798="Village",D2798="Charter Township"),D2798,"")&amp;IF(D2798="Township"," "&amp;"("&amp;VLOOKUP(A2798,counties,3,0)&amp;")",""),"  "," "))</f>
        <v>Lincoln Park City Housing Commission</v>
      </c>
    </row>
    <row r="2799" spans="1:8" ht="15.75" thickBot="1" x14ac:dyDescent="0.3">
      <c r="A2799">
        <f t="shared" si="44"/>
        <v>82</v>
      </c>
      <c r="B2799" s="10">
        <v>2016</v>
      </c>
      <c r="C2799" s="3" t="s">
        <v>2423</v>
      </c>
      <c r="D2799" s="3" t="s">
        <v>15</v>
      </c>
      <c r="E2799" s="4" t="s">
        <v>7</v>
      </c>
      <c r="F2799" s="11" t="s">
        <v>8</v>
      </c>
      <c r="H2799" t="str">
        <f>TRIM(SUBSTITUTE(PROPER(C2799)&amp;" "&amp;IF(OR(D2799="County",D2799="Township",D2799="Village",D2799="Charter Township"),D2799,"")&amp;IF(D2799="Township"," "&amp;"("&amp;VLOOKUP(A2799,counties,3,0)&amp;")",""),"  "," "))</f>
        <v>Livonia</v>
      </c>
    </row>
    <row r="2800" spans="1:8" ht="15.75" thickBot="1" x14ac:dyDescent="0.3">
      <c r="A2800">
        <f t="shared" si="44"/>
        <v>82</v>
      </c>
      <c r="B2800" s="8">
        <v>2016</v>
      </c>
      <c r="C2800" s="1" t="s">
        <v>2424</v>
      </c>
      <c r="D2800" s="1" t="s">
        <v>17</v>
      </c>
      <c r="E2800" s="2" t="s">
        <v>7</v>
      </c>
      <c r="F2800" s="9" t="s">
        <v>8</v>
      </c>
      <c r="H2800" t="str">
        <f>TRIM(SUBSTITUTE(PROPER(C2800)&amp;" "&amp;IF(OR(D2800="County",D2800="Township",D2800="Village",D2800="Charter Township"),D2800,"")&amp;IF(D2800="Township"," "&amp;"("&amp;VLOOKUP(A2800,counties,3,0)&amp;")",""),"  "," "))</f>
        <v>Livonia City Housing Commission</v>
      </c>
    </row>
    <row r="2801" spans="1:8" ht="15.75" thickBot="1" x14ac:dyDescent="0.3">
      <c r="A2801">
        <f t="shared" si="44"/>
        <v>82</v>
      </c>
      <c r="B2801" s="10">
        <v>2016</v>
      </c>
      <c r="C2801" s="3" t="s">
        <v>2425</v>
      </c>
      <c r="D2801" s="3" t="s">
        <v>15</v>
      </c>
      <c r="E2801" s="4" t="s">
        <v>7</v>
      </c>
      <c r="F2801" s="11" t="s">
        <v>8</v>
      </c>
      <c r="H2801" t="str">
        <f>TRIM(SUBSTITUTE(PROPER(C2801)&amp;" "&amp;IF(OR(D2801="County",D2801="Township",D2801="Village",D2801="Charter Township"),D2801,"")&amp;IF(D2801="Township"," "&amp;"("&amp;VLOOKUP(A2801,counties,3,0)&amp;")",""),"  "," "))</f>
        <v>Melvindale</v>
      </c>
    </row>
    <row r="2802" spans="1:8" ht="15.75" thickBot="1" x14ac:dyDescent="0.3">
      <c r="A2802">
        <f t="shared" si="44"/>
        <v>82</v>
      </c>
      <c r="B2802" s="8">
        <v>2016</v>
      </c>
      <c r="C2802" s="1" t="s">
        <v>2426</v>
      </c>
      <c r="D2802" s="1" t="s">
        <v>17</v>
      </c>
      <c r="E2802" s="2" t="s">
        <v>7</v>
      </c>
      <c r="F2802" s="9" t="s">
        <v>8</v>
      </c>
      <c r="H2802" t="str">
        <f>TRIM(SUBSTITUTE(PROPER(C2802)&amp;" "&amp;IF(OR(D2802="County",D2802="Township",D2802="Village",D2802="Charter Township"),D2802,"")&amp;IF(D2802="Township"," "&amp;"("&amp;VLOOKUP(A2802,counties,3,0)&amp;")",""),"  "," "))</f>
        <v>Melvindale Housing Commission</v>
      </c>
    </row>
    <row r="2803" spans="1:8" ht="15.75" thickBot="1" x14ac:dyDescent="0.3">
      <c r="A2803">
        <f t="shared" si="44"/>
        <v>82</v>
      </c>
      <c r="B2803" s="10">
        <v>2016</v>
      </c>
      <c r="C2803" s="3" t="s">
        <v>2427</v>
      </c>
      <c r="D2803" s="3" t="s">
        <v>17</v>
      </c>
      <c r="E2803" s="4" t="s">
        <v>7</v>
      </c>
      <c r="F2803" s="11" t="s">
        <v>8</v>
      </c>
      <c r="H2803" t="str">
        <f>TRIM(SUBSTITUTE(PROPER(C2803)&amp;" "&amp;IF(OR(D2803="County",D2803="Township",D2803="Village",D2803="Charter Township"),D2803,"")&amp;IF(D2803="Township"," "&amp;"("&amp;VLOOKUP(A2803,counties,3,0)&amp;")",""),"  "," "))</f>
        <v>Nankin Transit Commission</v>
      </c>
    </row>
    <row r="2804" spans="1:8" ht="15.75" thickBot="1" x14ac:dyDescent="0.3">
      <c r="A2804">
        <f t="shared" si="44"/>
        <v>82</v>
      </c>
      <c r="B2804" s="8">
        <v>2016</v>
      </c>
      <c r="C2804" s="1" t="s">
        <v>2428</v>
      </c>
      <c r="D2804" s="1" t="s">
        <v>15</v>
      </c>
      <c r="E2804" s="2" t="s">
        <v>7</v>
      </c>
      <c r="F2804" s="9" t="s">
        <v>8</v>
      </c>
      <c r="H2804" t="str">
        <f>TRIM(SUBSTITUTE(PROPER(C2804)&amp;" "&amp;IF(OR(D2804="County",D2804="Township",D2804="Village",D2804="Charter Township"),D2804,"")&amp;IF(D2804="Township"," "&amp;"("&amp;VLOOKUP(A2804,counties,3,0)&amp;")",""),"  "," "))</f>
        <v>Northville</v>
      </c>
    </row>
    <row r="2805" spans="1:8" ht="15.75" thickBot="1" x14ac:dyDescent="0.3">
      <c r="A2805">
        <f t="shared" si="44"/>
        <v>82</v>
      </c>
      <c r="B2805" s="10">
        <v>2016</v>
      </c>
      <c r="C2805" s="3" t="s">
        <v>2429</v>
      </c>
      <c r="D2805" s="3" t="s">
        <v>9</v>
      </c>
      <c r="E2805" s="4" t="s">
        <v>7</v>
      </c>
      <c r="F2805" s="11" t="s">
        <v>8</v>
      </c>
      <c r="H2805" t="str">
        <f>TRIM(SUBSTITUTE(PROPER(C2805)&amp;" "&amp;IF(OR(D2805="County",D2805="Township",D2805="Village",D2805="Charter Township"),D2805,"")&amp;IF(D2805="Township"," "&amp;"("&amp;VLOOKUP(A2805,counties,3,0)&amp;")",""),"  "," "))</f>
        <v>Northville Charter Township (Wayne County)</v>
      </c>
    </row>
    <row r="2806" spans="1:8" ht="15.75" thickBot="1" x14ac:dyDescent="0.3">
      <c r="A2806">
        <f t="shared" si="44"/>
        <v>82</v>
      </c>
      <c r="B2806" s="8">
        <v>2016</v>
      </c>
      <c r="C2806" s="1" t="s">
        <v>2430</v>
      </c>
      <c r="D2806" s="1" t="s">
        <v>17</v>
      </c>
      <c r="E2806" s="2" t="s">
        <v>7</v>
      </c>
      <c r="F2806" s="9" t="s">
        <v>8</v>
      </c>
      <c r="H2806" t="str">
        <f>TRIM(SUBSTITUTE(PROPER(C2806)&amp;" "&amp;IF(OR(D2806="County",D2806="Township",D2806="Village",D2806="Charter Township"),D2806,"")&amp;IF(D2806="Township"," "&amp;"("&amp;VLOOKUP(A2806,counties,3,0)&amp;")",""),"  "," "))</f>
        <v>Northville City Downtown Development Authority</v>
      </c>
    </row>
    <row r="2807" spans="1:8" ht="15.75" thickBot="1" x14ac:dyDescent="0.3">
      <c r="A2807">
        <f t="shared" si="44"/>
        <v>82</v>
      </c>
      <c r="B2807" s="10">
        <v>2016</v>
      </c>
      <c r="C2807" s="3" t="s">
        <v>2431</v>
      </c>
      <c r="D2807" s="3" t="s">
        <v>17</v>
      </c>
      <c r="E2807" s="4" t="s">
        <v>7</v>
      </c>
      <c r="F2807" s="11" t="s">
        <v>8</v>
      </c>
      <c r="H2807" t="str">
        <f>TRIM(SUBSTITUTE(PROPER(C2807)&amp;" "&amp;IF(OR(D2807="County",D2807="Township",D2807="Village",D2807="Charter Township"),D2807,"")&amp;IF(D2807="Township"," "&amp;"("&amp;VLOOKUP(A2807,counties,3,0)&amp;")",""),"  "," "))</f>
        <v>Northville City Parks &amp; Recreation Commission</v>
      </c>
    </row>
    <row r="2808" spans="1:8" ht="15.75" thickBot="1" x14ac:dyDescent="0.3">
      <c r="A2808">
        <f t="shared" si="44"/>
        <v>82</v>
      </c>
      <c r="B2808" s="8">
        <v>2016</v>
      </c>
      <c r="C2808" s="1" t="s">
        <v>2432</v>
      </c>
      <c r="D2808" s="1" t="s">
        <v>42</v>
      </c>
      <c r="E2808" s="2" t="s">
        <v>7</v>
      </c>
      <c r="F2808" s="9" t="s">
        <v>8</v>
      </c>
      <c r="H2808" t="str">
        <f>TRIM(SUBSTITUTE(PROPER(C2808)&amp;" "&amp;IF(OR(D2808="County",D2808="Township",D2808="Village",D2808="Charter Township"),D2808,"")&amp;IF(D2808="Township"," "&amp;"("&amp;VLOOKUP(A2808,counties,3,0)&amp;")",""),"  "," "))</f>
        <v>Northville District Library</v>
      </c>
    </row>
    <row r="2809" spans="1:8" ht="15.75" thickBot="1" x14ac:dyDescent="0.3">
      <c r="A2809">
        <f t="shared" si="44"/>
        <v>82</v>
      </c>
      <c r="B2809" s="10">
        <v>2016</v>
      </c>
      <c r="C2809" s="3" t="s">
        <v>2433</v>
      </c>
      <c r="D2809" s="3" t="s">
        <v>15</v>
      </c>
      <c r="E2809" s="4" t="s">
        <v>7</v>
      </c>
      <c r="F2809" s="11" t="s">
        <v>8</v>
      </c>
      <c r="H2809" t="str">
        <f>TRIM(SUBSTITUTE(PROPER(C2809)&amp;" "&amp;IF(OR(D2809="County",D2809="Township",D2809="Village",D2809="Charter Township"),D2809,"")&amp;IF(D2809="Township"," "&amp;"("&amp;VLOOKUP(A2809,counties,3,0)&amp;")",""),"  "," "))</f>
        <v>Plymouth</v>
      </c>
    </row>
    <row r="2810" spans="1:8" ht="15.75" thickBot="1" x14ac:dyDescent="0.3">
      <c r="A2810">
        <f t="shared" si="44"/>
        <v>82</v>
      </c>
      <c r="B2810" s="8">
        <v>2016</v>
      </c>
      <c r="C2810" s="1" t="s">
        <v>2434</v>
      </c>
      <c r="D2810" s="1" t="s">
        <v>9</v>
      </c>
      <c r="E2810" s="2" t="s">
        <v>7</v>
      </c>
      <c r="F2810" s="9" t="s">
        <v>8</v>
      </c>
      <c r="H2810" t="str">
        <f>TRIM(SUBSTITUTE(PROPER(C2810)&amp;" "&amp;IF(OR(D2810="County",D2810="Township",D2810="Village",D2810="Charter Township"),D2810,"")&amp;IF(D2810="Township"," "&amp;"("&amp;VLOOKUP(A2810,counties,3,0)&amp;")",""),"  "," "))</f>
        <v>Plymouth Charter Township (Wayne County)</v>
      </c>
    </row>
    <row r="2811" spans="1:8" ht="15.75" thickBot="1" x14ac:dyDescent="0.3">
      <c r="A2811">
        <f t="shared" si="44"/>
        <v>82</v>
      </c>
      <c r="B2811" s="10">
        <v>2016</v>
      </c>
      <c r="C2811" s="3" t="s">
        <v>2435</v>
      </c>
      <c r="D2811" s="3" t="s">
        <v>42</v>
      </c>
      <c r="E2811" s="4" t="s">
        <v>7</v>
      </c>
      <c r="F2811" s="11" t="s">
        <v>8</v>
      </c>
      <c r="H2811" t="str">
        <f>TRIM(SUBSTITUTE(PROPER(C2811)&amp;" "&amp;IF(OR(D2811="County",D2811="Township",D2811="Village",D2811="Charter Township"),D2811,"")&amp;IF(D2811="Township"," "&amp;"("&amp;VLOOKUP(A2811,counties,3,0)&amp;")",""),"  "," "))</f>
        <v>Plymouth District Library</v>
      </c>
    </row>
    <row r="2812" spans="1:8" ht="15.75" thickBot="1" x14ac:dyDescent="0.3">
      <c r="A2812">
        <f t="shared" si="44"/>
        <v>82</v>
      </c>
      <c r="B2812" s="8">
        <v>2016</v>
      </c>
      <c r="C2812" s="1" t="s">
        <v>2436</v>
      </c>
      <c r="D2812" s="1" t="s">
        <v>17</v>
      </c>
      <c r="E2812" s="2" t="s">
        <v>7</v>
      </c>
      <c r="F2812" s="9" t="s">
        <v>8</v>
      </c>
      <c r="H2812" t="str">
        <f>TRIM(SUBSTITUTE(PROPER(C2812)&amp;" "&amp;IF(OR(D2812="County",D2812="Township",D2812="Village",D2812="Charter Township"),D2812,"")&amp;IF(D2812="Township"," "&amp;"("&amp;VLOOKUP(A2812,counties,3,0)&amp;")",""),"  "," "))</f>
        <v>Public Lighting Authority</v>
      </c>
    </row>
    <row r="2813" spans="1:8" ht="15.75" thickBot="1" x14ac:dyDescent="0.3">
      <c r="A2813">
        <f t="shared" si="44"/>
        <v>82</v>
      </c>
      <c r="B2813" s="10">
        <v>2016</v>
      </c>
      <c r="C2813" s="3" t="s">
        <v>2437</v>
      </c>
      <c r="D2813" s="3" t="s">
        <v>9</v>
      </c>
      <c r="E2813" s="4" t="s">
        <v>7</v>
      </c>
      <c r="F2813" s="11" t="s">
        <v>8</v>
      </c>
      <c r="H2813" t="str">
        <f>TRIM(SUBSTITUTE(PROPER(C2813)&amp;" "&amp;IF(OR(D2813="County",D2813="Township",D2813="Village",D2813="Charter Township"),D2813,"")&amp;IF(D2813="Township"," "&amp;"("&amp;VLOOKUP(A2813,counties,3,0)&amp;")",""),"  "," "))</f>
        <v>Redford Charter Township (Wayne County)</v>
      </c>
    </row>
    <row r="2814" spans="1:8" ht="15.75" thickBot="1" x14ac:dyDescent="0.3">
      <c r="A2814">
        <f t="shared" si="44"/>
        <v>82</v>
      </c>
      <c r="B2814" s="8">
        <v>2016</v>
      </c>
      <c r="C2814" s="1" t="s">
        <v>2438</v>
      </c>
      <c r="D2814" s="1" t="s">
        <v>42</v>
      </c>
      <c r="E2814" s="2" t="s">
        <v>7</v>
      </c>
      <c r="F2814" s="9" t="s">
        <v>8</v>
      </c>
      <c r="H2814" t="str">
        <f>TRIM(SUBSTITUTE(PROPER(C2814)&amp;" "&amp;IF(OR(D2814="County",D2814="Township",D2814="Village",D2814="Charter Township"),D2814,"")&amp;IF(D2814="Township"," "&amp;"("&amp;VLOOKUP(A2814,counties,3,0)&amp;")",""),"  "," "))</f>
        <v>Redford Township District Library</v>
      </c>
    </row>
    <row r="2815" spans="1:8" ht="21.75" thickBot="1" x14ac:dyDescent="0.3">
      <c r="A2815">
        <f t="shared" si="44"/>
        <v>82</v>
      </c>
      <c r="B2815" s="10">
        <v>2016</v>
      </c>
      <c r="C2815" s="3" t="s">
        <v>2439</v>
      </c>
      <c r="D2815" s="3" t="s">
        <v>17</v>
      </c>
      <c r="E2815" s="4" t="s">
        <v>7</v>
      </c>
      <c r="F2815" s="11" t="s">
        <v>8</v>
      </c>
      <c r="H2815" t="str">
        <f>TRIM(SUBSTITUTE(PROPER(C2815)&amp;" "&amp;IF(OR(D2815="County",D2815="Township",D2815="Village",D2815="Charter Township"),D2815,"")&amp;IF(D2815="Township"," "&amp;"("&amp;VLOOKUP(A2815,counties,3,0)&amp;")",""),"  "," "))</f>
        <v>Regional Transit Authority For Southeast Michigan</v>
      </c>
    </row>
    <row r="2816" spans="1:8" ht="15.75" thickBot="1" x14ac:dyDescent="0.3">
      <c r="A2816">
        <f t="shared" si="44"/>
        <v>82</v>
      </c>
      <c r="B2816" s="8">
        <v>2016</v>
      </c>
      <c r="C2816" s="1" t="s">
        <v>2440</v>
      </c>
      <c r="D2816" s="1" t="s">
        <v>15</v>
      </c>
      <c r="E2816" s="2" t="s">
        <v>7</v>
      </c>
      <c r="F2816" s="9" t="s">
        <v>8</v>
      </c>
      <c r="H2816" t="str">
        <f>TRIM(SUBSTITUTE(PROPER(C2816)&amp;" "&amp;IF(OR(D2816="County",D2816="Township",D2816="Village",D2816="Charter Township"),D2816,"")&amp;IF(D2816="Township"," "&amp;"("&amp;VLOOKUP(A2816,counties,3,0)&amp;")",""),"  "," "))</f>
        <v>River Rouge</v>
      </c>
    </row>
    <row r="2817" spans="1:8" ht="15.75" thickBot="1" x14ac:dyDescent="0.3">
      <c r="A2817">
        <f t="shared" si="44"/>
        <v>82</v>
      </c>
      <c r="B2817" s="10">
        <v>2016</v>
      </c>
      <c r="C2817" s="3" t="s">
        <v>2441</v>
      </c>
      <c r="D2817" s="3" t="s">
        <v>17</v>
      </c>
      <c r="E2817" s="4" t="s">
        <v>7</v>
      </c>
      <c r="F2817" s="11" t="s">
        <v>8</v>
      </c>
      <c r="H2817" t="str">
        <f>TRIM(SUBSTITUTE(PROPER(C2817)&amp;" "&amp;IF(OR(D2817="County",D2817="Township",D2817="Village",D2817="Charter Township"),D2817,"")&amp;IF(D2817="Township"," "&amp;"("&amp;VLOOKUP(A2817,counties,3,0)&amp;")",""),"  "," "))</f>
        <v>River Rouge City Housing Commission</v>
      </c>
    </row>
    <row r="2818" spans="1:8" ht="15.75" thickBot="1" x14ac:dyDescent="0.3">
      <c r="A2818">
        <f t="shared" si="44"/>
        <v>82</v>
      </c>
      <c r="B2818" s="8">
        <v>2016</v>
      </c>
      <c r="C2818" s="1" t="s">
        <v>2442</v>
      </c>
      <c r="D2818" s="1" t="s">
        <v>15</v>
      </c>
      <c r="E2818" s="2" t="s">
        <v>7</v>
      </c>
      <c r="F2818" s="9" t="s">
        <v>8</v>
      </c>
      <c r="H2818" t="str">
        <f>TRIM(SUBSTITUTE(PROPER(C2818)&amp;" "&amp;IF(OR(D2818="County",D2818="Township",D2818="Village",D2818="Charter Township"),D2818,"")&amp;IF(D2818="Township"," "&amp;"("&amp;VLOOKUP(A2818,counties,3,0)&amp;")",""),"  "," "))</f>
        <v>Riverview</v>
      </c>
    </row>
    <row r="2819" spans="1:8" ht="15.75" thickBot="1" x14ac:dyDescent="0.3">
      <c r="A2819">
        <f t="shared" ref="A2819:A2879" si="45">IF(B2819="Year",A2818+1,A2818)</f>
        <v>82</v>
      </c>
      <c r="B2819" s="10">
        <v>2016</v>
      </c>
      <c r="C2819" s="3" t="s">
        <v>2443</v>
      </c>
      <c r="D2819" s="3" t="s">
        <v>15</v>
      </c>
      <c r="E2819" s="4" t="s">
        <v>7</v>
      </c>
      <c r="F2819" s="11" t="s">
        <v>8</v>
      </c>
      <c r="H2819" t="str">
        <f>TRIM(SUBSTITUTE(PROPER(C2819)&amp;" "&amp;IF(OR(D2819="County",D2819="Township",D2819="Village",D2819="Charter Township"),D2819,"")&amp;IF(D2819="Township"," "&amp;"("&amp;VLOOKUP(A2819,counties,3,0)&amp;")",""),"  "," "))</f>
        <v>Rockwood</v>
      </c>
    </row>
    <row r="2820" spans="1:8" ht="15.75" thickBot="1" x14ac:dyDescent="0.3">
      <c r="A2820">
        <f t="shared" si="45"/>
        <v>82</v>
      </c>
      <c r="B2820" s="8">
        <v>2016</v>
      </c>
      <c r="C2820" s="1" t="s">
        <v>2444</v>
      </c>
      <c r="D2820" s="1" t="s">
        <v>17</v>
      </c>
      <c r="E2820" s="2" t="s">
        <v>7</v>
      </c>
      <c r="F2820" s="9" t="s">
        <v>8</v>
      </c>
      <c r="H2820" t="str">
        <f>TRIM(SUBSTITUTE(PROPER(C2820)&amp;" "&amp;IF(OR(D2820="County",D2820="Township",D2820="Village",D2820="Charter Township"),D2820,"")&amp;IF(D2820="Township"," "&amp;"("&amp;VLOOKUP(A2820,counties,3,0)&amp;")",""),"  "," "))</f>
        <v>Rockwood City Housing Commission</v>
      </c>
    </row>
    <row r="2821" spans="1:8" ht="15.75" thickBot="1" x14ac:dyDescent="0.3">
      <c r="A2821">
        <f t="shared" si="45"/>
        <v>82</v>
      </c>
      <c r="B2821" s="10">
        <v>2016</v>
      </c>
      <c r="C2821" s="3" t="s">
        <v>2445</v>
      </c>
      <c r="D2821" s="3" t="s">
        <v>15</v>
      </c>
      <c r="E2821" s="4" t="s">
        <v>7</v>
      </c>
      <c r="F2821" s="11" t="s">
        <v>8</v>
      </c>
      <c r="H2821" t="str">
        <f>TRIM(SUBSTITUTE(PROPER(C2821)&amp;" "&amp;IF(OR(D2821="County",D2821="Township",D2821="Village",D2821="Charter Township"),D2821,"")&amp;IF(D2821="Township"," "&amp;"("&amp;VLOOKUP(A2821,counties,3,0)&amp;")",""),"  "," "))</f>
        <v>Romulus</v>
      </c>
    </row>
    <row r="2822" spans="1:8" ht="15.75" thickBot="1" x14ac:dyDescent="0.3">
      <c r="A2822">
        <f t="shared" si="45"/>
        <v>82</v>
      </c>
      <c r="B2822" s="8">
        <v>2016</v>
      </c>
      <c r="C2822" s="1" t="s">
        <v>2446</v>
      </c>
      <c r="D2822" s="1" t="s">
        <v>17</v>
      </c>
      <c r="E2822" s="2" t="s">
        <v>7</v>
      </c>
      <c r="F2822" s="9" t="s">
        <v>8</v>
      </c>
      <c r="H2822" t="str">
        <f>TRIM(SUBSTITUTE(PROPER(C2822)&amp;" "&amp;IF(OR(D2822="County",D2822="Township",D2822="Village",D2822="Charter Township"),D2822,"")&amp;IF(D2822="Township"," "&amp;"("&amp;VLOOKUP(A2822,counties,3,0)&amp;")",""),"  "," "))</f>
        <v>Romulus City Housing Commission</v>
      </c>
    </row>
    <row r="2823" spans="1:8" ht="15.75" thickBot="1" x14ac:dyDescent="0.3">
      <c r="A2823">
        <f t="shared" si="45"/>
        <v>82</v>
      </c>
      <c r="B2823" s="10">
        <v>2016</v>
      </c>
      <c r="C2823" s="3" t="s">
        <v>2447</v>
      </c>
      <c r="D2823" s="3" t="s">
        <v>88</v>
      </c>
      <c r="E2823" s="4" t="s">
        <v>7</v>
      </c>
      <c r="F2823" s="11" t="s">
        <v>8</v>
      </c>
      <c r="H2823" t="str">
        <f>TRIM(SUBSTITUTE(PROPER(C2823)&amp;" "&amp;IF(OR(D2823="County",D2823="Township",D2823="Village",D2823="Charter Township"),D2823,"")&amp;IF(D2823="Township"," "&amp;"("&amp;VLOOKUP(A2823,counties,3,0)&amp;")",""),"  "," "))</f>
        <v>Schoolcraft Community College District</v>
      </c>
    </row>
    <row r="2824" spans="1:8" ht="15.75" thickBot="1" x14ac:dyDescent="0.3">
      <c r="A2824">
        <f t="shared" si="45"/>
        <v>82</v>
      </c>
      <c r="B2824" s="8">
        <v>2016</v>
      </c>
      <c r="C2824" s="1" t="s">
        <v>2448</v>
      </c>
      <c r="D2824" s="1" t="s">
        <v>17</v>
      </c>
      <c r="E2824" s="2" t="s">
        <v>7</v>
      </c>
      <c r="F2824" s="9" t="s">
        <v>8</v>
      </c>
      <c r="H2824" t="str">
        <f>TRIM(SUBSTITUTE(PROPER(C2824)&amp;" "&amp;IF(OR(D2824="County",D2824="Township",D2824="Village",D2824="Charter Township"),D2824,"")&amp;IF(D2824="Township"," "&amp;"("&amp;VLOOKUP(A2824,counties,3,0)&amp;")",""),"  "," "))</f>
        <v>South Huron Valley Utility Authority</v>
      </c>
    </row>
    <row r="2825" spans="1:8" ht="15.75" thickBot="1" x14ac:dyDescent="0.3">
      <c r="A2825">
        <f t="shared" si="45"/>
        <v>82</v>
      </c>
      <c r="B2825" s="10">
        <v>2016</v>
      </c>
      <c r="C2825" s="3" t="s">
        <v>2449</v>
      </c>
      <c r="D2825" s="3" t="s">
        <v>17</v>
      </c>
      <c r="E2825" s="4" t="s">
        <v>7</v>
      </c>
      <c r="F2825" s="11" t="s">
        <v>8</v>
      </c>
      <c r="H2825" t="str">
        <f>TRIM(SUBSTITUTE(PROPER(C2825)&amp;" "&amp;IF(OR(D2825="County",D2825="Township",D2825="Village",D2825="Charter Township"),D2825,"")&amp;IF(D2825="Township"," "&amp;"("&amp;VLOOKUP(A2825,counties,3,0)&amp;")",""),"  "," "))</f>
        <v>Southeast Mi Council Of Governments</v>
      </c>
    </row>
    <row r="2826" spans="1:8" ht="15.75" thickBot="1" x14ac:dyDescent="0.3">
      <c r="A2826">
        <f t="shared" si="45"/>
        <v>82</v>
      </c>
      <c r="B2826" s="8">
        <v>2016</v>
      </c>
      <c r="C2826" s="1" t="s">
        <v>2450</v>
      </c>
      <c r="D2826" s="1" t="s">
        <v>15</v>
      </c>
      <c r="E2826" s="2" t="s">
        <v>7</v>
      </c>
      <c r="F2826" s="9" t="s">
        <v>8</v>
      </c>
      <c r="H2826" t="str">
        <f>TRIM(SUBSTITUTE(PROPER(C2826)&amp;" "&amp;IF(OR(D2826="County",D2826="Township",D2826="Village",D2826="Charter Township"),D2826,"")&amp;IF(D2826="Township"," "&amp;"("&amp;VLOOKUP(A2826,counties,3,0)&amp;")",""),"  "," "))</f>
        <v>Southgate</v>
      </c>
    </row>
    <row r="2827" spans="1:8" ht="21.75" thickBot="1" x14ac:dyDescent="0.3">
      <c r="A2827">
        <f t="shared" si="45"/>
        <v>82</v>
      </c>
      <c r="B2827" s="10">
        <v>2016</v>
      </c>
      <c r="C2827" s="3" t="s">
        <v>2451</v>
      </c>
      <c r="D2827" s="3" t="s">
        <v>17</v>
      </c>
      <c r="E2827" s="4" t="s">
        <v>7</v>
      </c>
      <c r="F2827" s="11" t="s">
        <v>8</v>
      </c>
      <c r="H2827" t="str">
        <f>TRIM(SUBSTITUTE(PROPER(C2827)&amp;" "&amp;IF(OR(D2827="County",D2827="Township",D2827="Village",D2827="Charter Township"),D2827,"")&amp;IF(D2827="Township"," "&amp;"("&amp;VLOOKUP(A2827,counties,3,0)&amp;")",""),"  "," "))</f>
        <v>Suburban Mobility Auth For Regional Transportation</v>
      </c>
    </row>
    <row r="2828" spans="1:8" ht="15.75" thickBot="1" x14ac:dyDescent="0.3">
      <c r="A2828">
        <f t="shared" si="45"/>
        <v>82</v>
      </c>
      <c r="B2828" s="8">
        <v>2016</v>
      </c>
      <c r="C2828" s="1" t="s">
        <v>2452</v>
      </c>
      <c r="D2828" s="1" t="s">
        <v>9</v>
      </c>
      <c r="E2828" s="2" t="s">
        <v>7</v>
      </c>
      <c r="F2828" s="9" t="s">
        <v>8</v>
      </c>
      <c r="H2828" t="str">
        <f>TRIM(SUBSTITUTE(PROPER(C2828)&amp;" "&amp;IF(OR(D2828="County",D2828="Township",D2828="Village",D2828="Charter Township"),D2828,"")&amp;IF(D2828="Township"," "&amp;"("&amp;VLOOKUP(A2828,counties,3,0)&amp;")",""),"  "," "))</f>
        <v>Sumpter Township (Wayne County)</v>
      </c>
    </row>
    <row r="2829" spans="1:8" ht="15.75" thickBot="1" x14ac:dyDescent="0.3">
      <c r="A2829">
        <f t="shared" si="45"/>
        <v>82</v>
      </c>
      <c r="B2829" s="10">
        <v>2016</v>
      </c>
      <c r="C2829" s="3" t="s">
        <v>2453</v>
      </c>
      <c r="D2829" s="3" t="s">
        <v>15</v>
      </c>
      <c r="E2829" s="4" t="s">
        <v>7</v>
      </c>
      <c r="F2829" s="11" t="s">
        <v>8</v>
      </c>
      <c r="H2829" t="str">
        <f>TRIM(SUBSTITUTE(PROPER(C2829)&amp;" "&amp;IF(OR(D2829="County",D2829="Township",D2829="Village",D2829="Charter Township"),D2829,"")&amp;IF(D2829="Township"," "&amp;"("&amp;VLOOKUP(A2829,counties,3,0)&amp;")",""),"  "," "))</f>
        <v>Taylor</v>
      </c>
    </row>
    <row r="2830" spans="1:8" ht="15.75" thickBot="1" x14ac:dyDescent="0.3">
      <c r="A2830">
        <f t="shared" si="45"/>
        <v>82</v>
      </c>
      <c r="B2830" s="8">
        <v>2016</v>
      </c>
      <c r="C2830" s="1" t="s">
        <v>2454</v>
      </c>
      <c r="D2830" s="1" t="s">
        <v>17</v>
      </c>
      <c r="E2830" s="2" t="s">
        <v>7</v>
      </c>
      <c r="F2830" s="9" t="s">
        <v>8</v>
      </c>
      <c r="H2830" t="str">
        <f>TRIM(SUBSTITUTE(PROPER(C2830)&amp;" "&amp;IF(OR(D2830="County",D2830="Township",D2830="Village",D2830="Charter Township"),D2830,"")&amp;IF(D2830="Township"," "&amp;"("&amp;VLOOKUP(A2830,counties,3,0)&amp;")",""),"  "," "))</f>
        <v>Taylor City Housing Commission</v>
      </c>
    </row>
    <row r="2831" spans="1:8" ht="15.75" thickBot="1" x14ac:dyDescent="0.3">
      <c r="A2831">
        <f t="shared" si="45"/>
        <v>82</v>
      </c>
      <c r="B2831" s="10">
        <v>2016</v>
      </c>
      <c r="C2831" s="3" t="s">
        <v>2455</v>
      </c>
      <c r="D2831" s="3" t="s">
        <v>42</v>
      </c>
      <c r="E2831" s="4" t="s">
        <v>7</v>
      </c>
      <c r="F2831" s="11" t="s">
        <v>8</v>
      </c>
      <c r="H2831" t="str">
        <f>TRIM(SUBSTITUTE(PROPER(C2831)&amp;" "&amp;IF(OR(D2831="County",D2831="Township",D2831="Village",D2831="Charter Township"),D2831,"")&amp;IF(D2831="Township"," "&amp;"("&amp;VLOOKUP(A2831,counties,3,0)&amp;")",""),"  "," "))</f>
        <v>The Library Network</v>
      </c>
    </row>
    <row r="2832" spans="1:8" ht="15.75" thickBot="1" x14ac:dyDescent="0.3">
      <c r="A2832">
        <f t="shared" si="45"/>
        <v>82</v>
      </c>
      <c r="B2832" s="8">
        <v>2016</v>
      </c>
      <c r="C2832" s="1" t="s">
        <v>2456</v>
      </c>
      <c r="D2832" s="1" t="s">
        <v>15</v>
      </c>
      <c r="E2832" s="2" t="s">
        <v>7</v>
      </c>
      <c r="F2832" s="9" t="s">
        <v>8</v>
      </c>
      <c r="H2832" t="str">
        <f>TRIM(SUBSTITUTE(PROPER(C2832)&amp;" "&amp;IF(OR(D2832="County",D2832="Township",D2832="Village",D2832="Charter Township"),D2832,"")&amp;IF(D2832="Township"," "&amp;"("&amp;VLOOKUP(A2832,counties,3,0)&amp;")",""),"  "," "))</f>
        <v>Trenton</v>
      </c>
    </row>
    <row r="2833" spans="1:8" ht="15.75" thickBot="1" x14ac:dyDescent="0.3">
      <c r="A2833">
        <f t="shared" si="45"/>
        <v>82</v>
      </c>
      <c r="B2833" s="10">
        <v>2016</v>
      </c>
      <c r="C2833" s="3" t="s">
        <v>2457</v>
      </c>
      <c r="D2833" s="3" t="s">
        <v>9</v>
      </c>
      <c r="E2833" s="4" t="s">
        <v>7</v>
      </c>
      <c r="F2833" s="11" t="s">
        <v>8</v>
      </c>
      <c r="H2833" t="str">
        <f>TRIM(SUBSTITUTE(PROPER(C2833)&amp;" "&amp;IF(OR(D2833="County",D2833="Township",D2833="Village",D2833="Charter Township"),D2833,"")&amp;IF(D2833="Township"," "&amp;"("&amp;VLOOKUP(A2833,counties,3,0)&amp;")",""),"  "," "))</f>
        <v>Van Buren Charter Township (Wayne County)</v>
      </c>
    </row>
    <row r="2834" spans="1:8" ht="21.75" thickBot="1" x14ac:dyDescent="0.3">
      <c r="A2834">
        <f t="shared" si="45"/>
        <v>82</v>
      </c>
      <c r="B2834" s="8">
        <v>2016</v>
      </c>
      <c r="C2834" s="1" t="s">
        <v>2458</v>
      </c>
      <c r="D2834" s="1" t="s">
        <v>17</v>
      </c>
      <c r="E2834" s="2" t="s">
        <v>7</v>
      </c>
      <c r="F2834" s="9" t="s">
        <v>8</v>
      </c>
      <c r="H2834" t="str">
        <f>TRIM(SUBSTITUTE(PROPER(C2834)&amp;" "&amp;IF(OR(D2834="County",D2834="Township",D2834="Village",D2834="Charter Township"),D2834,"")&amp;IF(D2834="Township"," "&amp;"("&amp;VLOOKUP(A2834,counties,3,0)&amp;")",""),"  "," "))</f>
        <v>Van Buren Charter Township Downtown Development Au</v>
      </c>
    </row>
    <row r="2835" spans="1:8" ht="15.75" thickBot="1" x14ac:dyDescent="0.3">
      <c r="A2835">
        <f t="shared" si="45"/>
        <v>82</v>
      </c>
      <c r="B2835" s="10">
        <v>2016</v>
      </c>
      <c r="C2835" s="3" t="s">
        <v>2459</v>
      </c>
      <c r="D2835" s="3" t="s">
        <v>17</v>
      </c>
      <c r="E2835" s="4" t="s">
        <v>7</v>
      </c>
      <c r="F2835" s="11" t="s">
        <v>8</v>
      </c>
      <c r="H2835" t="str">
        <f>TRIM(SUBSTITUTE(PROPER(C2835)&amp;" "&amp;IF(OR(D2835="County",D2835="Township",D2835="Village",D2835="Charter Township"),D2835,"")&amp;IF(D2835="Township"," "&amp;"("&amp;VLOOKUP(A2835,counties,3,0)&amp;")",""),"  "," "))</f>
        <v>Van Buren Charter Township Ldfa</v>
      </c>
    </row>
    <row r="2836" spans="1:8" ht="15.75" thickBot="1" x14ac:dyDescent="0.3">
      <c r="A2836">
        <f t="shared" si="45"/>
        <v>82</v>
      </c>
      <c r="B2836" s="8">
        <v>2016</v>
      </c>
      <c r="C2836" s="1" t="s">
        <v>2460</v>
      </c>
      <c r="D2836" s="1" t="s">
        <v>15</v>
      </c>
      <c r="E2836" s="2" t="s">
        <v>7</v>
      </c>
      <c r="F2836" s="9" t="s">
        <v>8</v>
      </c>
      <c r="H2836" t="str">
        <f>TRIM(SUBSTITUTE(PROPER(C2836)&amp;" "&amp;IF(OR(D2836="County",D2836="Township",D2836="Village",D2836="Charter Township"),D2836,"")&amp;IF(D2836="Township"," "&amp;"("&amp;VLOOKUP(A2836,counties,3,0)&amp;")",""),"  "," "))</f>
        <v>Wayne</v>
      </c>
    </row>
    <row r="2837" spans="1:8" ht="15.75" thickBot="1" x14ac:dyDescent="0.3">
      <c r="A2837">
        <f t="shared" si="45"/>
        <v>82</v>
      </c>
      <c r="B2837" s="10">
        <v>2016</v>
      </c>
      <c r="C2837" s="3" t="s">
        <v>2460</v>
      </c>
      <c r="D2837" s="3" t="s">
        <v>6</v>
      </c>
      <c r="E2837" s="4" t="s">
        <v>7</v>
      </c>
      <c r="F2837" s="11" t="s">
        <v>8</v>
      </c>
      <c r="H2837" t="str">
        <f>TRIM(SUBSTITUTE(PROPER(C2837)&amp;" "&amp;IF(OR(D2837="County",D2837="Township",D2837="Village",D2837="Charter Township"),D2837,"")&amp;IF(D2837="Township"," "&amp;"("&amp;VLOOKUP(A2837,counties,3,0)&amp;")",""),"  "," "))</f>
        <v>Wayne County</v>
      </c>
    </row>
    <row r="2838" spans="1:8" ht="15.75" thickBot="1" x14ac:dyDescent="0.3">
      <c r="A2838">
        <f t="shared" si="45"/>
        <v>82</v>
      </c>
      <c r="B2838" s="8">
        <v>2016</v>
      </c>
      <c r="C2838" s="1" t="s">
        <v>2461</v>
      </c>
      <c r="D2838" s="1" t="s">
        <v>17</v>
      </c>
      <c r="E2838" s="2" t="s">
        <v>7</v>
      </c>
      <c r="F2838" s="9" t="s">
        <v>8</v>
      </c>
      <c r="H2838" t="str">
        <f>TRIM(SUBSTITUTE(PROPER(C2838)&amp;" "&amp;IF(OR(D2838="County",D2838="Township",D2838="Village",D2838="Charter Township"),D2838,"")&amp;IF(D2838="Township"," "&amp;"("&amp;VLOOKUP(A2838,counties,3,0)&amp;")",""),"  "," "))</f>
        <v>Wayne Co Bldg Auth</v>
      </c>
    </row>
    <row r="2839" spans="1:8" ht="15.75" thickBot="1" x14ac:dyDescent="0.3">
      <c r="A2839">
        <f t="shared" si="45"/>
        <v>82</v>
      </c>
      <c r="B2839" s="10">
        <v>2016</v>
      </c>
      <c r="C2839" s="3" t="s">
        <v>2462</v>
      </c>
      <c r="D2839" s="3" t="s">
        <v>17</v>
      </c>
      <c r="E2839" s="4" t="s">
        <v>7</v>
      </c>
      <c r="F2839" s="11" t="s">
        <v>8</v>
      </c>
      <c r="H2839" t="str">
        <f>TRIM(SUBSTITUTE(PROPER(C2839)&amp;" "&amp;IF(OR(D2839="County",D2839="Township",D2839="Village",D2839="Charter Township"),D2839,"")&amp;IF(D2839="Township"," "&amp;"("&amp;VLOOKUP(A2839,counties,3,0)&amp;")",""),"  "," "))</f>
        <v>Wayne Co Circuit Court Comm Bailiffs Ret System</v>
      </c>
    </row>
    <row r="2840" spans="1:8" ht="21.75" thickBot="1" x14ac:dyDescent="0.3">
      <c r="A2840">
        <f t="shared" si="45"/>
        <v>82</v>
      </c>
      <c r="B2840" s="8">
        <v>2016</v>
      </c>
      <c r="C2840" s="1" t="s">
        <v>2463</v>
      </c>
      <c r="D2840" s="1" t="s">
        <v>17</v>
      </c>
      <c r="E2840" s="2" t="s">
        <v>7</v>
      </c>
      <c r="F2840" s="9" t="s">
        <v>8</v>
      </c>
      <c r="H2840" t="str">
        <f>TRIM(SUBSTITUTE(PROPER(C2840)&amp;" "&amp;IF(OR(D2840="County",D2840="Township",D2840="Village",D2840="Charter Township"),D2840,"")&amp;IF(D2840="Township"," "&amp;"("&amp;VLOOKUP(A2840,counties,3,0)&amp;")",""),"  "," "))</f>
        <v>Wayne Co Employees Ret Sys Defined Contribut Plan</v>
      </c>
    </row>
    <row r="2841" spans="1:8" ht="21.75" thickBot="1" x14ac:dyDescent="0.3">
      <c r="A2841">
        <f t="shared" si="45"/>
        <v>82</v>
      </c>
      <c r="B2841" s="10">
        <v>2016</v>
      </c>
      <c r="C2841" s="3" t="s">
        <v>2464</v>
      </c>
      <c r="D2841" s="3" t="s">
        <v>17</v>
      </c>
      <c r="E2841" s="4" t="s">
        <v>7</v>
      </c>
      <c r="F2841" s="11" t="s">
        <v>8</v>
      </c>
      <c r="H2841" t="str">
        <f>TRIM(SUBSTITUTE(PROPER(C2841)&amp;" "&amp;IF(OR(D2841="County",D2841="Township",D2841="Village",D2841="Charter Township"),D2841,"")&amp;IF(D2841="Township"," "&amp;"("&amp;VLOOKUP(A2841,counties,3,0)&amp;")",""),"  "," "))</f>
        <v>Wayne Co Employees Ret System Defined Benefit Plan</v>
      </c>
    </row>
    <row r="2842" spans="1:8" ht="15.75" thickBot="1" x14ac:dyDescent="0.3">
      <c r="A2842">
        <f t="shared" si="45"/>
        <v>82</v>
      </c>
      <c r="B2842" s="8">
        <v>2016</v>
      </c>
      <c r="C2842" s="1" t="s">
        <v>2465</v>
      </c>
      <c r="D2842" s="1" t="s">
        <v>17</v>
      </c>
      <c r="E2842" s="2" t="s">
        <v>7</v>
      </c>
      <c r="F2842" s="9" t="s">
        <v>8</v>
      </c>
      <c r="H2842" t="str">
        <f>TRIM(SUBSTITUTE(PROPER(C2842)&amp;" "&amp;IF(OR(D2842="County",D2842="Township",D2842="Village",D2842="Charter Township"),D2842,"")&amp;IF(D2842="Township"," "&amp;"("&amp;VLOOKUP(A2842,counties,3,0)&amp;")",""),"  "," "))</f>
        <v>Wayne Co Zoological Authority</v>
      </c>
    </row>
    <row r="2843" spans="1:8" ht="15.75" thickBot="1" x14ac:dyDescent="0.3">
      <c r="A2843">
        <f t="shared" si="45"/>
        <v>82</v>
      </c>
      <c r="B2843" s="10">
        <v>2016</v>
      </c>
      <c r="C2843" s="3" t="s">
        <v>2466</v>
      </c>
      <c r="D2843" s="3" t="s">
        <v>17</v>
      </c>
      <c r="E2843" s="4" t="s">
        <v>7</v>
      </c>
      <c r="F2843" s="11" t="s">
        <v>8</v>
      </c>
      <c r="H2843" t="str">
        <f>TRIM(SUBSTITUTE(PROPER(C2843)&amp;" "&amp;IF(OR(D2843="County",D2843="Township",D2843="Village",D2843="Charter Township"),D2843,"")&amp;IF(D2843="Township"," "&amp;"("&amp;VLOOKUP(A2843,counties,3,0)&amp;")",""),"  "," "))</f>
        <v>Wayne County Airport Authority</v>
      </c>
    </row>
    <row r="2844" spans="1:8" ht="15.75" thickBot="1" x14ac:dyDescent="0.3">
      <c r="A2844">
        <f t="shared" si="45"/>
        <v>82</v>
      </c>
      <c r="B2844" s="8">
        <v>2016</v>
      </c>
      <c r="C2844" s="1" t="s">
        <v>2467</v>
      </c>
      <c r="D2844" s="1" t="s">
        <v>17</v>
      </c>
      <c r="E2844" s="2" t="s">
        <v>7</v>
      </c>
      <c r="F2844" s="9" t="s">
        <v>8</v>
      </c>
      <c r="H2844" t="str">
        <f>TRIM(SUBSTITUTE(PROPER(C2844)&amp;" "&amp;IF(OR(D2844="County",D2844="Township",D2844="Village",D2844="Charter Township"),D2844,"")&amp;IF(D2844="Township"," "&amp;"("&amp;VLOOKUP(A2844,counties,3,0)&amp;")",""),"  "," "))</f>
        <v>Wayne County Landbank Corporation</v>
      </c>
    </row>
    <row r="2845" spans="1:8" ht="15.75" thickBot="1" x14ac:dyDescent="0.3">
      <c r="A2845">
        <f t="shared" si="45"/>
        <v>82</v>
      </c>
      <c r="B2845" s="10">
        <v>2016</v>
      </c>
      <c r="C2845" s="3" t="s">
        <v>2468</v>
      </c>
      <c r="D2845" s="3" t="s">
        <v>17</v>
      </c>
      <c r="E2845" s="4" t="s">
        <v>7</v>
      </c>
      <c r="F2845" s="11" t="s">
        <v>8</v>
      </c>
      <c r="H2845" t="str">
        <f>TRIM(SUBSTITUTE(PROPER(C2845)&amp;" "&amp;IF(OR(D2845="County",D2845="Township",D2845="Village",D2845="Charter Township"),D2845,"")&amp;IF(D2845="Township"," "&amp;"("&amp;VLOOKUP(A2845,counties,3,0)&amp;")",""),"  "," "))</f>
        <v>Wayne County Sewage Disposal System</v>
      </c>
    </row>
    <row r="2846" spans="1:8" ht="15.75" thickBot="1" x14ac:dyDescent="0.3">
      <c r="A2846">
        <f t="shared" si="45"/>
        <v>82</v>
      </c>
      <c r="B2846" s="8">
        <v>2016</v>
      </c>
      <c r="C2846" s="1" t="s">
        <v>2469</v>
      </c>
      <c r="D2846" s="1" t="s">
        <v>17</v>
      </c>
      <c r="E2846" s="2" t="s">
        <v>7</v>
      </c>
      <c r="F2846" s="9" t="s">
        <v>8</v>
      </c>
      <c r="H2846" t="str">
        <f>TRIM(SUBSTITUTE(PROPER(C2846)&amp;" "&amp;IF(OR(D2846="County",D2846="Township",D2846="Village",D2846="Charter Township"),D2846,"")&amp;IF(D2846="Township"," "&amp;"("&amp;VLOOKUP(A2846,counties,3,0)&amp;")",""),"  "," "))</f>
        <v>Wayne Housing Commission</v>
      </c>
    </row>
    <row r="2847" spans="1:8" ht="15.75" thickBot="1" x14ac:dyDescent="0.3">
      <c r="A2847">
        <f t="shared" si="45"/>
        <v>82</v>
      </c>
      <c r="B2847" s="10">
        <v>2016</v>
      </c>
      <c r="C2847" s="3" t="s">
        <v>2470</v>
      </c>
      <c r="D2847" s="3" t="s">
        <v>17</v>
      </c>
      <c r="E2847" s="4" t="s">
        <v>7</v>
      </c>
      <c r="F2847" s="11" t="s">
        <v>8</v>
      </c>
      <c r="H2847" t="str">
        <f>TRIM(SUBSTITUTE(PROPER(C2847)&amp;" "&amp;IF(OR(D2847="County",D2847="Township",D2847="Village",D2847="Charter Township"),D2847,"")&amp;IF(D2847="Township"," "&amp;"("&amp;VLOOKUP(A2847,counties,3,0)&amp;")",""),"  "," "))</f>
        <v>Western Townships Utilities Authority</v>
      </c>
    </row>
    <row r="2848" spans="1:8" ht="15.75" thickBot="1" x14ac:dyDescent="0.3">
      <c r="A2848">
        <f t="shared" si="45"/>
        <v>82</v>
      </c>
      <c r="B2848" s="8">
        <v>2016</v>
      </c>
      <c r="C2848" s="1" t="s">
        <v>2471</v>
      </c>
      <c r="D2848" s="1" t="s">
        <v>17</v>
      </c>
      <c r="E2848" s="2" t="s">
        <v>7</v>
      </c>
      <c r="F2848" s="9" t="s">
        <v>8</v>
      </c>
      <c r="H2848" t="str">
        <f>TRIM(SUBSTITUTE(PROPER(C2848)&amp;" "&amp;IF(OR(D2848="County",D2848="Township",D2848="Village",D2848="Charter Township"),D2848,"")&amp;IF(D2848="Township"," "&amp;"("&amp;VLOOKUP(A2848,counties,3,0)&amp;")",""),"  "," "))</f>
        <v>Western Wayne Narcotics Unit-Wwnu</v>
      </c>
    </row>
    <row r="2849" spans="1:8" ht="15.75" thickBot="1" x14ac:dyDescent="0.3">
      <c r="A2849">
        <f t="shared" si="45"/>
        <v>82</v>
      </c>
      <c r="B2849" s="10">
        <v>2016</v>
      </c>
      <c r="C2849" s="3" t="s">
        <v>2472</v>
      </c>
      <c r="D2849" s="3" t="s">
        <v>15</v>
      </c>
      <c r="E2849" s="4" t="s">
        <v>7</v>
      </c>
      <c r="F2849" s="11" t="s">
        <v>8</v>
      </c>
      <c r="H2849" t="str">
        <f>TRIM(SUBSTITUTE(PROPER(C2849)&amp;" "&amp;IF(OR(D2849="County",D2849="Township",D2849="Village",D2849="Charter Township"),D2849,"")&amp;IF(D2849="Township"," "&amp;"("&amp;VLOOKUP(A2849,counties,3,0)&amp;")",""),"  "," "))</f>
        <v>Westland</v>
      </c>
    </row>
    <row r="2850" spans="1:8" ht="15.75" thickBot="1" x14ac:dyDescent="0.3">
      <c r="A2850">
        <f t="shared" si="45"/>
        <v>82</v>
      </c>
      <c r="B2850" s="8">
        <v>2016</v>
      </c>
      <c r="C2850" s="1" t="s">
        <v>2473</v>
      </c>
      <c r="D2850" s="1" t="s">
        <v>17</v>
      </c>
      <c r="E2850" s="2" t="s">
        <v>7</v>
      </c>
      <c r="F2850" s="9" t="s">
        <v>8</v>
      </c>
      <c r="H2850" t="str">
        <f>TRIM(SUBSTITUTE(PROPER(C2850)&amp;" "&amp;IF(OR(D2850="County",D2850="Township",D2850="Village",D2850="Charter Township"),D2850,"")&amp;IF(D2850="Township"," "&amp;"("&amp;VLOOKUP(A2850,counties,3,0)&amp;")",""),"  "," "))</f>
        <v>Westland City Housing Commission</v>
      </c>
    </row>
    <row r="2851" spans="1:8" ht="15.75" thickBot="1" x14ac:dyDescent="0.3">
      <c r="A2851">
        <f t="shared" si="45"/>
        <v>82</v>
      </c>
      <c r="B2851" s="10">
        <v>2016</v>
      </c>
      <c r="C2851" s="3" t="s">
        <v>2474</v>
      </c>
      <c r="D2851" s="3" t="s">
        <v>15</v>
      </c>
      <c r="E2851" s="4" t="s">
        <v>7</v>
      </c>
      <c r="F2851" s="11" t="s">
        <v>8</v>
      </c>
      <c r="H2851" t="str">
        <f>TRIM(SUBSTITUTE(PROPER(C2851)&amp;" "&amp;IF(OR(D2851="County",D2851="Township",D2851="Village",D2851="Charter Township"),D2851,"")&amp;IF(D2851="Township"," "&amp;"("&amp;VLOOKUP(A2851,counties,3,0)&amp;")",""),"  "," "))</f>
        <v>Woodhaven</v>
      </c>
    </row>
    <row r="2852" spans="1:8" ht="15.75" thickBot="1" x14ac:dyDescent="0.3">
      <c r="A2852">
        <f t="shared" si="45"/>
        <v>82</v>
      </c>
      <c r="B2852" s="8">
        <v>2016</v>
      </c>
      <c r="C2852" s="1" t="s">
        <v>2475</v>
      </c>
      <c r="D2852" s="1" t="s">
        <v>15</v>
      </c>
      <c r="E2852" s="2" t="s">
        <v>7</v>
      </c>
      <c r="F2852" s="9" t="s">
        <v>8</v>
      </c>
      <c r="H2852" t="str">
        <f>TRIM(SUBSTITUTE(PROPER(C2852)&amp;" "&amp;IF(OR(D2852="County",D2852="Township",D2852="Village",D2852="Charter Township"),D2852,"")&amp;IF(D2852="Township"," "&amp;"("&amp;VLOOKUP(A2852,counties,3,0)&amp;")",""),"  "," "))</f>
        <v>Wyandotte</v>
      </c>
    </row>
    <row r="2853" spans="1:8" ht="15.75" thickBot="1" x14ac:dyDescent="0.3">
      <c r="A2853">
        <f t="shared" si="45"/>
        <v>82</v>
      </c>
      <c r="B2853" s="12">
        <v>2016</v>
      </c>
      <c r="C2853" s="13" t="s">
        <v>2476</v>
      </c>
      <c r="D2853" s="13" t="s">
        <v>17</v>
      </c>
      <c r="E2853" s="14" t="s">
        <v>7</v>
      </c>
      <c r="F2853" s="15" t="s">
        <v>8</v>
      </c>
      <c r="H2853" t="str">
        <f>TRIM(SUBSTITUTE(PROPER(C2853)&amp;" "&amp;IF(OR(D2853="County",D2853="Township",D2853="Village",D2853="Charter Township"),D2853,"")&amp;IF(D2853="Township"," "&amp;"("&amp;VLOOKUP(A2853,counties,3,0)&amp;")",""),"  "," "))</f>
        <v>Wyandotte City Dept Of Municipal Service</v>
      </c>
    </row>
    <row r="2854" spans="1:8" ht="16.5" thickTop="1" thickBot="1" x14ac:dyDescent="0.3">
      <c r="A2854">
        <f t="shared" si="45"/>
        <v>83</v>
      </c>
      <c r="B2854" s="5" t="s">
        <v>0</v>
      </c>
      <c r="C2854" s="6" t="s">
        <v>1</v>
      </c>
      <c r="D2854" s="6" t="s">
        <v>2</v>
      </c>
      <c r="E2854" s="6" t="s">
        <v>3</v>
      </c>
      <c r="F2854" s="7" t="s">
        <v>4</v>
      </c>
      <c r="H2854" t="str">
        <f>TRIM(SUBSTITUTE(PROPER(C2854)&amp;" "&amp;IF(OR(D2854="County",D2854="Township",D2854="Village",D2854="Charter Township"),D2854,"")&amp;IF(D2854="Township"," "&amp;"("&amp;VLOOKUP(A2854,counties,3,0)&amp;")",""),"  "," "))</f>
        <v>Municipality</v>
      </c>
    </row>
    <row r="2855" spans="1:8" ht="15.75" thickBot="1" x14ac:dyDescent="0.3">
      <c r="A2855">
        <f t="shared" si="45"/>
        <v>83</v>
      </c>
      <c r="B2855" s="8">
        <v>2016</v>
      </c>
      <c r="C2855" s="1" t="s">
        <v>2477</v>
      </c>
      <c r="D2855" s="1" t="s">
        <v>9</v>
      </c>
      <c r="E2855" s="2" t="s">
        <v>7</v>
      </c>
      <c r="F2855" s="9" t="s">
        <v>19</v>
      </c>
      <c r="H2855" t="str">
        <f>TRIM(SUBSTITUTE(PROPER(C2855)&amp;" "&amp;IF(OR(D2855="County",D2855="Township",D2855="Village",D2855="Charter Township"),D2855,"")&amp;IF(D2855="Township"," "&amp;"("&amp;VLOOKUP(A2855,counties,3,0)&amp;")",""),"  "," "))</f>
        <v>Boon Township (Wexford County)</v>
      </c>
    </row>
    <row r="2856" spans="1:8" ht="15.75" thickBot="1" x14ac:dyDescent="0.3">
      <c r="A2856">
        <f t="shared" si="45"/>
        <v>83</v>
      </c>
      <c r="B2856" s="10">
        <v>2016</v>
      </c>
      <c r="C2856" s="3" t="s">
        <v>2478</v>
      </c>
      <c r="D2856" s="3" t="s">
        <v>21</v>
      </c>
      <c r="E2856" s="4" t="s">
        <v>7</v>
      </c>
      <c r="F2856" s="11" t="s">
        <v>8</v>
      </c>
      <c r="H2856" t="str">
        <f>TRIM(SUBSTITUTE(PROPER(C2856)&amp;" "&amp;IF(OR(D2856="County",D2856="Township",D2856="Village",D2856="Charter Township"),D2856,"")&amp;IF(D2856="Township"," "&amp;"("&amp;VLOOKUP(A2856,counties,3,0)&amp;")",""),"  "," "))</f>
        <v>Buckley Village</v>
      </c>
    </row>
    <row r="2857" spans="1:8" ht="15.75" thickBot="1" x14ac:dyDescent="0.3">
      <c r="A2857">
        <f t="shared" si="45"/>
        <v>83</v>
      </c>
      <c r="B2857" s="8">
        <v>2016</v>
      </c>
      <c r="C2857" s="1" t="s">
        <v>2479</v>
      </c>
      <c r="D2857" s="1" t="s">
        <v>15</v>
      </c>
      <c r="E2857" s="2" t="s">
        <v>7</v>
      </c>
      <c r="F2857" s="9" t="s">
        <v>8</v>
      </c>
      <c r="H2857" t="str">
        <f>TRIM(SUBSTITUTE(PROPER(C2857)&amp;" "&amp;IF(OR(D2857="County",D2857="Township",D2857="Village",D2857="Charter Township"),D2857,"")&amp;IF(D2857="Township"," "&amp;"("&amp;VLOOKUP(A2857,counties,3,0)&amp;")",""),"  "," "))</f>
        <v>Cadillac</v>
      </c>
    </row>
    <row r="2858" spans="1:8" ht="15.75" thickBot="1" x14ac:dyDescent="0.3">
      <c r="A2858">
        <f t="shared" si="45"/>
        <v>83</v>
      </c>
      <c r="B2858" s="10">
        <v>2016</v>
      </c>
      <c r="C2858" s="3" t="s">
        <v>2480</v>
      </c>
      <c r="D2858" s="3" t="s">
        <v>17</v>
      </c>
      <c r="E2858" s="4" t="s">
        <v>7</v>
      </c>
      <c r="F2858" s="11" t="s">
        <v>8</v>
      </c>
      <c r="H2858" t="str">
        <f>TRIM(SUBSTITUTE(PROPER(C2858)&amp;" "&amp;IF(OR(D2858="County",D2858="Township",D2858="Village",D2858="Charter Township"),D2858,"")&amp;IF(D2858="Township"," "&amp;"("&amp;VLOOKUP(A2858,counties,3,0)&amp;")",""),"  "," "))</f>
        <v>Cadillac City Housing Commission</v>
      </c>
    </row>
    <row r="2859" spans="1:8" ht="15.75" thickBot="1" x14ac:dyDescent="0.3">
      <c r="A2859">
        <f t="shared" si="45"/>
        <v>83</v>
      </c>
      <c r="B2859" s="8">
        <v>2016</v>
      </c>
      <c r="C2859" s="1" t="s">
        <v>2481</v>
      </c>
      <c r="D2859" s="1" t="s">
        <v>42</v>
      </c>
      <c r="E2859" s="2" t="s">
        <v>7</v>
      </c>
      <c r="F2859" s="9" t="s">
        <v>8</v>
      </c>
      <c r="H2859" t="str">
        <f>TRIM(SUBSTITUTE(PROPER(C2859)&amp;" "&amp;IF(OR(D2859="County",D2859="Township",D2859="Village",D2859="Charter Township"),D2859,"")&amp;IF(D2859="Township"," "&amp;"("&amp;VLOOKUP(A2859,counties,3,0)&amp;")",""),"  "," "))</f>
        <v>Cadillac Wexford Public Library</v>
      </c>
    </row>
    <row r="2860" spans="1:8" ht="15.75" thickBot="1" x14ac:dyDescent="0.3">
      <c r="A2860">
        <f t="shared" si="45"/>
        <v>83</v>
      </c>
      <c r="B2860" s="10">
        <v>2016</v>
      </c>
      <c r="C2860" s="3" t="s">
        <v>2482</v>
      </c>
      <c r="D2860" s="3" t="s">
        <v>17</v>
      </c>
      <c r="E2860" s="4" t="s">
        <v>7</v>
      </c>
      <c r="F2860" s="11" t="s">
        <v>8</v>
      </c>
      <c r="H2860" t="str">
        <f>TRIM(SUBSTITUTE(PROPER(C2860)&amp;" "&amp;IF(OR(D2860="County",D2860="Township",D2860="Village",D2860="Charter Township"),D2860,"")&amp;IF(D2860="Township"," "&amp;"("&amp;VLOOKUP(A2860,counties,3,0)&amp;")",""),"  "," "))</f>
        <v>Cadillac-Wexford Transit Authority</v>
      </c>
    </row>
    <row r="2861" spans="1:8" ht="15.75" thickBot="1" x14ac:dyDescent="0.3">
      <c r="A2861">
        <f t="shared" si="45"/>
        <v>83</v>
      </c>
      <c r="B2861" s="8">
        <v>2016</v>
      </c>
      <c r="C2861" s="1" t="s">
        <v>1684</v>
      </c>
      <c r="D2861" s="1" t="s">
        <v>9</v>
      </c>
      <c r="E2861" s="2" t="s">
        <v>7</v>
      </c>
      <c r="F2861" s="9" t="s">
        <v>19</v>
      </c>
      <c r="H2861" t="str">
        <f>TRIM(SUBSTITUTE(PROPER(C2861)&amp;" "&amp;IF(OR(D2861="County",D2861="Township",D2861="Village",D2861="Charter Township"),D2861,"")&amp;IF(D2861="Township"," "&amp;"("&amp;VLOOKUP(A2861,counties,3,0)&amp;")",""),"  "," "))</f>
        <v>Cedar Creek Township (Wexford County)</v>
      </c>
    </row>
    <row r="2862" spans="1:8" ht="15.75" thickBot="1" x14ac:dyDescent="0.3">
      <c r="A2862">
        <f t="shared" si="45"/>
        <v>83</v>
      </c>
      <c r="B2862" s="10">
        <v>2016</v>
      </c>
      <c r="C2862" s="3" t="s">
        <v>2483</v>
      </c>
      <c r="D2862" s="3" t="s">
        <v>9</v>
      </c>
      <c r="E2862" s="4" t="s">
        <v>7</v>
      </c>
      <c r="F2862" s="11" t="s">
        <v>8</v>
      </c>
      <c r="H2862" t="str">
        <f>TRIM(SUBSTITUTE(PROPER(C2862)&amp;" "&amp;IF(OR(D2862="County",D2862="Township",D2862="Village",D2862="Charter Township"),D2862,"")&amp;IF(D2862="Township"," "&amp;"("&amp;VLOOKUP(A2862,counties,3,0)&amp;")",""),"  "," "))</f>
        <v>Cherry Grove Township (Wexford County)</v>
      </c>
    </row>
    <row r="2863" spans="1:8" ht="15.75" thickBot="1" x14ac:dyDescent="0.3">
      <c r="A2863">
        <f t="shared" si="45"/>
        <v>83</v>
      </c>
      <c r="B2863" s="8">
        <v>2016</v>
      </c>
      <c r="C2863" s="1" t="s">
        <v>2484</v>
      </c>
      <c r="D2863" s="1" t="s">
        <v>9</v>
      </c>
      <c r="E2863" s="2" t="s">
        <v>7</v>
      </c>
      <c r="F2863" s="9" t="s">
        <v>8</v>
      </c>
      <c r="H2863" t="str">
        <f>TRIM(SUBSTITUTE(PROPER(C2863)&amp;" "&amp;IF(OR(D2863="County",D2863="Township",D2863="Village",D2863="Charter Township"),D2863,"")&amp;IF(D2863="Township"," "&amp;"("&amp;VLOOKUP(A2863,counties,3,0)&amp;")",""),"  "," "))</f>
        <v>Clam Lake Township (Wexford County)</v>
      </c>
    </row>
    <row r="2864" spans="1:8" ht="15.75" thickBot="1" x14ac:dyDescent="0.3">
      <c r="A2864">
        <f t="shared" si="45"/>
        <v>83</v>
      </c>
      <c r="B2864" s="10">
        <v>2016</v>
      </c>
      <c r="C2864" s="3" t="s">
        <v>884</v>
      </c>
      <c r="D2864" s="3" t="s">
        <v>9</v>
      </c>
      <c r="E2864" s="4" t="s">
        <v>7</v>
      </c>
      <c r="F2864" s="11" t="s">
        <v>8</v>
      </c>
      <c r="H2864" t="str">
        <f>TRIM(SUBSTITUTE(PROPER(C2864)&amp;" "&amp;IF(OR(D2864="County",D2864="Township",D2864="Village",D2864="Charter Township"),D2864,"")&amp;IF(D2864="Township"," "&amp;"("&amp;VLOOKUP(A2864,counties,3,0)&amp;")",""),"  "," "))</f>
        <v>Colfax Township (Wexford County)</v>
      </c>
    </row>
    <row r="2865" spans="1:8" ht="15.75" thickBot="1" x14ac:dyDescent="0.3">
      <c r="A2865">
        <f t="shared" si="45"/>
        <v>83</v>
      </c>
      <c r="B2865" s="8">
        <v>2016</v>
      </c>
      <c r="C2865" s="1" t="s">
        <v>2485</v>
      </c>
      <c r="D2865" s="1" t="s">
        <v>9</v>
      </c>
      <c r="E2865" s="2" t="s">
        <v>7</v>
      </c>
      <c r="F2865" s="9" t="s">
        <v>8</v>
      </c>
      <c r="H2865" t="str">
        <f>TRIM(SUBSTITUTE(PROPER(C2865)&amp;" "&amp;IF(OR(D2865="County",D2865="Township",D2865="Village",D2865="Charter Township"),D2865,"")&amp;IF(D2865="Township"," "&amp;"("&amp;VLOOKUP(A2865,counties,3,0)&amp;")",""),"  "," "))</f>
        <v>Haring Charter Township (Wexford County)</v>
      </c>
    </row>
    <row r="2866" spans="1:8" ht="15.75" thickBot="1" x14ac:dyDescent="0.3">
      <c r="A2866">
        <f t="shared" si="45"/>
        <v>83</v>
      </c>
      <c r="B2866" s="10">
        <v>2016</v>
      </c>
      <c r="C2866" s="3" t="s">
        <v>2486</v>
      </c>
      <c r="D2866" s="3" t="s">
        <v>21</v>
      </c>
      <c r="E2866" s="4" t="s">
        <v>7</v>
      </c>
      <c r="F2866" s="11" t="s">
        <v>8</v>
      </c>
      <c r="H2866" t="str">
        <f>TRIM(SUBSTITUTE(PROPER(C2866)&amp;" "&amp;IF(OR(D2866="County",D2866="Township",D2866="Village",D2866="Charter Township"),D2866,"")&amp;IF(D2866="Township"," "&amp;"("&amp;VLOOKUP(A2866,counties,3,0)&amp;")",""),"  "," "))</f>
        <v>Harrietta Village</v>
      </c>
    </row>
    <row r="2867" spans="1:8" ht="15.75" thickBot="1" x14ac:dyDescent="0.3">
      <c r="A2867">
        <f t="shared" si="45"/>
        <v>83</v>
      </c>
      <c r="B2867" s="8">
        <v>2016</v>
      </c>
      <c r="C2867" s="1" t="s">
        <v>2487</v>
      </c>
      <c r="D2867" s="1" t="s">
        <v>9</v>
      </c>
      <c r="E2867" s="2" t="s">
        <v>7</v>
      </c>
      <c r="F2867" s="9" t="s">
        <v>19</v>
      </c>
      <c r="H2867" t="str">
        <f>TRIM(SUBSTITUTE(PROPER(C2867)&amp;" "&amp;IF(OR(D2867="County",D2867="Township",D2867="Village",D2867="Charter Township"),D2867,"")&amp;IF(D2867="Township"," "&amp;"("&amp;VLOOKUP(A2867,counties,3,0)&amp;")",""),"  "," "))</f>
        <v>Henderson Township (Wexford County)</v>
      </c>
    </row>
    <row r="2868" spans="1:8" ht="15.75" thickBot="1" x14ac:dyDescent="0.3">
      <c r="A2868">
        <f t="shared" si="45"/>
        <v>83</v>
      </c>
      <c r="B2868" s="10">
        <v>2016</v>
      </c>
      <c r="C2868" s="3" t="s">
        <v>2488</v>
      </c>
      <c r="D2868" s="3" t="s">
        <v>17</v>
      </c>
      <c r="E2868" s="4" t="s">
        <v>7</v>
      </c>
      <c r="F2868" s="11" t="s">
        <v>8</v>
      </c>
      <c r="H2868" t="str">
        <f>TRIM(SUBSTITUTE(PROPER(C2868)&amp;" "&amp;IF(OR(D2868="County",D2868="Township",D2868="Village",D2868="Charter Township"),D2868,"")&amp;IF(D2868="Township"," "&amp;"("&amp;VLOOKUP(A2868,counties,3,0)&amp;")",""),"  "," "))</f>
        <v>Lake Mitchell Sewer Authority</v>
      </c>
    </row>
    <row r="2869" spans="1:8" ht="15.75" thickBot="1" x14ac:dyDescent="0.3">
      <c r="A2869">
        <f t="shared" si="45"/>
        <v>83</v>
      </c>
      <c r="B2869" s="8">
        <v>2016</v>
      </c>
      <c r="C2869" s="1" t="s">
        <v>1096</v>
      </c>
      <c r="D2869" s="1" t="s">
        <v>9</v>
      </c>
      <c r="E2869" s="2" t="s">
        <v>7</v>
      </c>
      <c r="F2869" s="9" t="s">
        <v>19</v>
      </c>
      <c r="H2869" t="str">
        <f>TRIM(SUBSTITUTE(PROPER(C2869)&amp;" "&amp;IF(OR(D2869="County",D2869="Township",D2869="Village",D2869="Charter Township"),D2869,"")&amp;IF(D2869="Township"," "&amp;"("&amp;VLOOKUP(A2869,counties,3,0)&amp;")",""),"  "," "))</f>
        <v>Liberty Township (Wexford County)</v>
      </c>
    </row>
    <row r="2870" spans="1:8" ht="15.75" thickBot="1" x14ac:dyDescent="0.3">
      <c r="A2870">
        <f t="shared" si="45"/>
        <v>83</v>
      </c>
      <c r="B2870" s="10">
        <v>2016</v>
      </c>
      <c r="C2870" s="3" t="s">
        <v>2489</v>
      </c>
      <c r="D2870" s="3" t="s">
        <v>15</v>
      </c>
      <c r="E2870" s="4" t="s">
        <v>7</v>
      </c>
      <c r="F2870" s="11" t="s">
        <v>8</v>
      </c>
      <c r="H2870" t="str">
        <f>TRIM(SUBSTITUTE(PROPER(C2870)&amp;" "&amp;IF(OR(D2870="County",D2870="Township",D2870="Village",D2870="Charter Township"),D2870,"")&amp;IF(D2870="Township"," "&amp;"("&amp;VLOOKUP(A2870,counties,3,0)&amp;")",""),"  "," "))</f>
        <v>Manton</v>
      </c>
    </row>
    <row r="2871" spans="1:8" ht="15.75" thickBot="1" x14ac:dyDescent="0.3">
      <c r="A2871">
        <f t="shared" si="45"/>
        <v>83</v>
      </c>
      <c r="B2871" s="8">
        <v>2016</v>
      </c>
      <c r="C2871" s="1" t="s">
        <v>2490</v>
      </c>
      <c r="D2871" s="1" t="s">
        <v>42</v>
      </c>
      <c r="E2871" s="2" t="s">
        <v>7</v>
      </c>
      <c r="F2871" s="9" t="s">
        <v>8</v>
      </c>
      <c r="H2871" t="str">
        <f>TRIM(SUBSTITUTE(PROPER(C2871)&amp;" "&amp;IF(OR(D2871="County",D2871="Township",D2871="Village",D2871="Charter Township"),D2871,"")&amp;IF(D2871="Township"," "&amp;"("&amp;VLOOKUP(A2871,counties,3,0)&amp;")",""),"  "," "))</f>
        <v>Mid-Michigan Library League</v>
      </c>
    </row>
    <row r="2872" spans="1:8" ht="15.75" thickBot="1" x14ac:dyDescent="0.3">
      <c r="A2872">
        <f t="shared" si="45"/>
        <v>83</v>
      </c>
      <c r="B2872" s="10">
        <v>2016</v>
      </c>
      <c r="C2872" s="3" t="s">
        <v>2491</v>
      </c>
      <c r="D2872" s="3" t="s">
        <v>9</v>
      </c>
      <c r="E2872" s="4" t="s">
        <v>7</v>
      </c>
      <c r="F2872" s="11" t="s">
        <v>8</v>
      </c>
      <c r="H2872" t="str">
        <f>TRIM(SUBSTITUTE(PROPER(C2872)&amp;" "&amp;IF(OR(D2872="County",D2872="Township",D2872="Village",D2872="Charter Township"),D2872,"")&amp;IF(D2872="Township"," "&amp;"("&amp;VLOOKUP(A2872,counties,3,0)&amp;")",""),"  "," "))</f>
        <v>Selma Township (Wexford County)</v>
      </c>
    </row>
    <row r="2873" spans="1:8" ht="15.75" thickBot="1" x14ac:dyDescent="0.3">
      <c r="A2873">
        <f t="shared" si="45"/>
        <v>83</v>
      </c>
      <c r="B2873" s="8">
        <v>2016</v>
      </c>
      <c r="C2873" s="1" t="s">
        <v>2492</v>
      </c>
      <c r="D2873" s="1" t="s">
        <v>9</v>
      </c>
      <c r="E2873" s="2" t="s">
        <v>7</v>
      </c>
      <c r="F2873" s="9" t="s">
        <v>8</v>
      </c>
      <c r="H2873" t="str">
        <f>TRIM(SUBSTITUTE(PROPER(C2873)&amp;" "&amp;IF(OR(D2873="County",D2873="Township",D2873="Village",D2873="Charter Township"),D2873,"")&amp;IF(D2873="Township"," "&amp;"("&amp;VLOOKUP(A2873,counties,3,0)&amp;")",""),"  "," "))</f>
        <v>Slagle Township (Wexford County)</v>
      </c>
    </row>
    <row r="2874" spans="1:8" ht="15.75" thickBot="1" x14ac:dyDescent="0.3">
      <c r="A2874">
        <f t="shared" si="45"/>
        <v>83</v>
      </c>
      <c r="B2874" s="10">
        <v>2016</v>
      </c>
      <c r="C2874" s="3" t="s">
        <v>549</v>
      </c>
      <c r="D2874" s="3" t="s">
        <v>9</v>
      </c>
      <c r="E2874" s="4" t="s">
        <v>7</v>
      </c>
      <c r="F2874" s="11" t="s">
        <v>8</v>
      </c>
      <c r="H2874" t="str">
        <f>TRIM(SUBSTITUTE(PROPER(C2874)&amp;" "&amp;IF(OR(D2874="County",D2874="Township",D2874="Village",D2874="Charter Township"),D2874,"")&amp;IF(D2874="Township"," "&amp;"("&amp;VLOOKUP(A2874,counties,3,0)&amp;")",""),"  "," "))</f>
        <v>South Branch Township (Wexford County)</v>
      </c>
    </row>
    <row r="2875" spans="1:8" ht="15.75" thickBot="1" x14ac:dyDescent="0.3">
      <c r="A2875">
        <f t="shared" si="45"/>
        <v>83</v>
      </c>
      <c r="B2875" s="8">
        <v>2016</v>
      </c>
      <c r="C2875" s="1" t="s">
        <v>2493</v>
      </c>
      <c r="D2875" s="1" t="s">
        <v>9</v>
      </c>
      <c r="E2875" s="2" t="s">
        <v>7</v>
      </c>
      <c r="F2875" s="9" t="s">
        <v>8</v>
      </c>
      <c r="H2875" t="str">
        <f>TRIM(SUBSTITUTE(PROPER(C2875)&amp;" "&amp;IF(OR(D2875="County",D2875="Township",D2875="Village",D2875="Charter Township"),D2875,"")&amp;IF(D2875="Township"," "&amp;"("&amp;VLOOKUP(A2875,counties,3,0)&amp;")",""),"  "," "))</f>
        <v>Springville Township (Wexford County)</v>
      </c>
    </row>
    <row r="2876" spans="1:8" ht="15.75" thickBot="1" x14ac:dyDescent="0.3">
      <c r="A2876">
        <f t="shared" si="45"/>
        <v>83</v>
      </c>
      <c r="B2876" s="10">
        <v>2016</v>
      </c>
      <c r="C2876" s="3" t="s">
        <v>2494</v>
      </c>
      <c r="D2876" s="3" t="s">
        <v>6</v>
      </c>
      <c r="E2876" s="4" t="s">
        <v>7</v>
      </c>
      <c r="F2876" s="11" t="s">
        <v>8</v>
      </c>
      <c r="H2876" t="str">
        <f>TRIM(SUBSTITUTE(PROPER(C2876)&amp;" "&amp;IF(OR(D2876="County",D2876="Township",D2876="Village",D2876="Charter Township"),D2876,"")&amp;IF(D2876="Township"," "&amp;"("&amp;VLOOKUP(A2876,counties,3,0)&amp;")",""),"  "," "))</f>
        <v>Wexford County</v>
      </c>
    </row>
    <row r="2877" spans="1:8" ht="15.75" thickBot="1" x14ac:dyDescent="0.3">
      <c r="A2877">
        <f t="shared" si="45"/>
        <v>83</v>
      </c>
      <c r="B2877" s="8">
        <v>2016</v>
      </c>
      <c r="C2877" s="1" t="s">
        <v>2494</v>
      </c>
      <c r="D2877" s="1" t="s">
        <v>9</v>
      </c>
      <c r="E2877" s="2" t="s">
        <v>7</v>
      </c>
      <c r="F2877" s="9" t="s">
        <v>19</v>
      </c>
      <c r="H2877" t="str">
        <f>TRIM(SUBSTITUTE(PROPER(C2877)&amp;" "&amp;IF(OR(D2877="County",D2877="Township",D2877="Village",D2877="Charter Township"),D2877,"")&amp;IF(D2877="Township"," "&amp;"("&amp;VLOOKUP(A2877,counties,3,0)&amp;")",""),"  "," "))</f>
        <v>Wexford Township (Wexford County)</v>
      </c>
    </row>
    <row r="2878" spans="1:8" ht="15.75" thickBot="1" x14ac:dyDescent="0.3">
      <c r="A2878">
        <f t="shared" si="45"/>
        <v>83</v>
      </c>
      <c r="B2878" s="10">
        <v>2016</v>
      </c>
      <c r="C2878" s="3" t="s">
        <v>2495</v>
      </c>
      <c r="D2878" s="3" t="s">
        <v>17</v>
      </c>
      <c r="E2878" s="4" t="s">
        <v>7</v>
      </c>
      <c r="F2878" s="11" t="s">
        <v>8</v>
      </c>
      <c r="H2878" t="str">
        <f>TRIM(SUBSTITUTE(PROPER(C2878)&amp;" "&amp;IF(OR(D2878="County",D2878="Township",D2878="Village",D2878="Charter Township"),D2878,"")&amp;IF(D2878="Township"," "&amp;"("&amp;VLOOKUP(A2878,counties,3,0)&amp;")",""),"  "," "))</f>
        <v>Wexford County Airport Authority</v>
      </c>
    </row>
    <row r="2879" spans="1:8" ht="15.75" thickBot="1" x14ac:dyDescent="0.3">
      <c r="A2879">
        <f t="shared" si="45"/>
        <v>83</v>
      </c>
      <c r="B2879" s="16">
        <v>2016</v>
      </c>
      <c r="C2879" s="17" t="s">
        <v>2496</v>
      </c>
      <c r="D2879" s="17" t="s">
        <v>11</v>
      </c>
      <c r="E2879" s="18" t="s">
        <v>7</v>
      </c>
      <c r="F2879" s="19" t="s">
        <v>8</v>
      </c>
      <c r="H2879" t="str">
        <f>TRIM(SUBSTITUTE(PROPER(C2879)&amp;" "&amp;IF(OR(D2879="County",D2879="Township",D2879="Village",D2879="Charter Township"),D2879,"")&amp;IF(D2879="Township"," "&amp;"("&amp;VLOOKUP(A2879,counties,3,0)&amp;")",""),"  "," "))</f>
        <v>Wexford County Road Commission</v>
      </c>
    </row>
    <row r="2880" spans="1:8" ht="15.75" thickTop="1" x14ac:dyDescent="0.25"/>
  </sheetData>
  <hyperlinks>
    <hyperlink ref="E2" r:id="rId1" display="https://treas-secure.state.mi.us/LAFDocSearch/tl41R01.aspx?&amp;lu_id=1&amp;doc_yr=2016&amp;doc_code=AUD" xr:uid="{879A883E-D2FE-4B90-9B7B-018ED9182431}"/>
    <hyperlink ref="E3" r:id="rId2" display="https://treas-secure.state.mi.us/LAFDocSearch/tl41R01.aspx?&amp;lu_id=3&amp;doc_yr=2016&amp;doc_code=AUD" xr:uid="{307BAAEB-0314-4F88-8723-4D535D746674}"/>
    <hyperlink ref="E4" r:id="rId3" display="https://treas-secure.state.mi.us/LAFDocSearch/tl41R01.aspx?&amp;lu_id=2&amp;doc_yr=2016&amp;doc_code=AUD" xr:uid="{E4D5EF1C-4196-406A-980A-F696E0B28F4B}"/>
    <hyperlink ref="E5" r:id="rId4" display="https://treas-secure.state.mi.us/LAFDocSearch/tl41R01.aspx?&amp;lu_id=4&amp;doc_yr=2016&amp;doc_code=AUD" xr:uid="{3979F5D4-200E-4512-A025-0ACA59666A08}"/>
    <hyperlink ref="E6" r:id="rId5" display="https://treas-secure.state.mi.us/LAFDocSearch/tl41R01.aspx?&amp;lu_id=5&amp;doc_yr=2016&amp;doc_code=AUD" xr:uid="{F97A3BF5-47DC-411C-A46C-AEA4F316935F}"/>
    <hyperlink ref="E7" r:id="rId6" display="https://treas-secure.state.mi.us/LAFDocSearch/tl41R01.aspx?&amp;lu_id=14&amp;doc_yr=2016&amp;doc_code=AUD" xr:uid="{79E5DC09-0757-4BC2-984B-0ABB5641A3DE}"/>
    <hyperlink ref="E8" r:id="rId7" display="https://treas-secure.state.mi.us/LAFDocSearch/tl41R01.aspx?&amp;lu_id=21&amp;doc_yr=2016&amp;doc_code=AUD" xr:uid="{AA1ECB42-9731-4CE3-A178-283E1A5A8B17}"/>
    <hyperlink ref="E9" r:id="rId8" display="https://treas-secure.state.mi.us/LAFDocSearch/tl41R01.aspx?&amp;lu_id=9&amp;doc_yr=2016&amp;doc_code=AUD" xr:uid="{644D7629-7891-4B98-9710-B62CAC44BEF2}"/>
    <hyperlink ref="E10" r:id="rId9" display="https://treas-secure.state.mi.us/LAFDocSearch/tl41R01.aspx?&amp;lu_id=15&amp;doc_yr=2016&amp;doc_code=AUD" xr:uid="{BA3F4DFB-416F-410F-8E5C-9697C66E066B}"/>
    <hyperlink ref="E11" r:id="rId10" display="https://treas-secure.state.mi.us/LAFDocSearch/tl41R01.aspx?&amp;lu_id=18&amp;doc_yr=2016&amp;doc_code=AUD" xr:uid="{266AE616-2AC1-4235-B5D3-66029984700A}"/>
    <hyperlink ref="E12" r:id="rId11" display="https://treas-secure.state.mi.us/LAFDocSearch/tl41R01.aspx?&amp;lu_id=11&amp;doc_yr=2016&amp;doc_code=AUD" xr:uid="{2CC58C2C-CB13-4569-A43A-E457A86C1C43}"/>
    <hyperlink ref="E13" r:id="rId12" display="https://treas-secure.state.mi.us/LAFDocSearch/tl41R01.aspx?&amp;lu_id=12&amp;doc_yr=2016&amp;doc_code=AUD" xr:uid="{EB233F6D-80B7-4998-B952-24985B58AD48}"/>
    <hyperlink ref="E14" r:id="rId13" display="https://treas-secure.state.mi.us/LAFDocSearch/tl41R01.aspx?&amp;lu_id=13&amp;doc_yr=2016&amp;doc_code=AUD" xr:uid="{BAAD6B12-D11D-4FD3-8F5E-C2D88A10230B}"/>
    <hyperlink ref="E15" r:id="rId14" display="https://treas-secure.state.mi.us/LAFDocSearch/tl41R01.aspx?&amp;lu_id=17&amp;doc_yr=2016&amp;doc_code=AUD" xr:uid="{F8528AEA-8C17-44FD-9598-3AAEBE21CA9E}"/>
    <hyperlink ref="E17" r:id="rId15" display="https://treas-secure.state.mi.us/LAFDocSearch/tl41R01.aspx?&amp;lu_id=25&amp;doc_yr=2016&amp;doc_code=AUD" xr:uid="{4EF0669D-C7D0-42EC-962A-E28E9E2AB1C9}"/>
    <hyperlink ref="E18" r:id="rId16" display="https://treas-secure.state.mi.us/LAFDocSearch/tl41R01.aspx?&amp;lu_id=26&amp;doc_yr=2016&amp;doc_code=AUD" xr:uid="{52395A4A-DE43-4521-930A-5764B3894D3C}"/>
    <hyperlink ref="E19" r:id="rId17" display="https://treas-secure.state.mi.us/LAFDocSearch/tl41R01.aspx?&amp;lu_id=43&amp;doc_yr=2016&amp;doc_code=AUD" xr:uid="{9F45FD12-55BB-43CE-B566-D11C734402E0}"/>
    <hyperlink ref="E20" r:id="rId18" display="https://treas-secure.state.mi.us/LAFDocSearch/tl41R01.aspx?&amp;lu_id=27&amp;doc_yr=2016&amp;doc_code=AUD" xr:uid="{9109A400-719C-40F3-ADED-F6C9B166468E}"/>
    <hyperlink ref="E21" r:id="rId19" display="https://treas-secure.state.mi.us/LAFDocSearch/tl41R01.aspx?&amp;lu_id=28&amp;doc_yr=2016&amp;doc_code=AUD" xr:uid="{1CE2391A-A77C-453C-A7C4-4D18B59CFCE1}"/>
    <hyperlink ref="E22" r:id="rId20" display="https://treas-secure.state.mi.us/LAFDocSearch/tl41R01.aspx?&amp;lu_id=36&amp;doc_yr=2016&amp;doc_code=AUD" xr:uid="{A3D6C050-D692-47BA-BAF5-B3F08D758BA8}"/>
    <hyperlink ref="E23" r:id="rId21" display="https://treas-secure.state.mi.us/LAFDocSearch/tl41R01.aspx?&amp;lu_id=31&amp;doc_yr=2016&amp;doc_code=AUD" xr:uid="{90DACCBD-A996-41B6-84F7-126EE75D6783}"/>
    <hyperlink ref="E24" r:id="rId22" display="https://treas-secure.state.mi.us/LAFDocSearch/tl41R01.aspx?&amp;lu_id=35&amp;doc_yr=2016&amp;doc_code=AUD" xr:uid="{C1C3A410-7975-4898-A792-DFA8B3B4F2CC}"/>
    <hyperlink ref="E25" r:id="rId23" display="https://treas-secure.state.mi.us/LAFDocSearch/tl41R01.aspx?&amp;lu_id=32&amp;doc_yr=2016&amp;doc_code=AUD" xr:uid="{A14F4E1D-42BE-48EA-8858-0176B3D753DB}"/>
    <hyperlink ref="E26" r:id="rId24" display="https://treas-secure.state.mi.us/LAFDocSearch/tl41R01.aspx?&amp;lu_id=44&amp;doc_yr=2016&amp;doc_code=AUD" xr:uid="{AF87C41F-3482-4F80-BADA-CA920F653FED}"/>
    <hyperlink ref="E27" r:id="rId25" display="https://treas-secure.state.mi.us/LAFDocSearch/tl41R01.aspx?&amp;lu_id=34&amp;doc_yr=2016&amp;doc_code=AUD" xr:uid="{69ADFB85-757D-4FB0-84C7-DB73758A426F}"/>
    <hyperlink ref="E29" r:id="rId26" display="https://treas-secure.state.mi.us/LAFDocSearch/tl41R01.aspx?&amp;lu_id=72&amp;doc_yr=2016&amp;doc_code=AUD" xr:uid="{9C4B8A7C-A28F-48D7-A291-D3E0CC65C5A8}"/>
    <hyperlink ref="E30" r:id="rId27" display="https://treas-secure.state.mi.us/LAFDocSearch/tl41R01.aspx?&amp;lu_id=46&amp;doc_yr=2016&amp;doc_code=AUD" xr:uid="{9614FAB8-BB04-4114-A167-33E9690C9B7C}"/>
    <hyperlink ref="E31" r:id="rId28" display="https://treas-secure.state.mi.us/LAFDocSearch/tl41R01.aspx?&amp;lu_id=48&amp;doc_yr=2016&amp;doc_code=AUD" xr:uid="{DE816FEA-4DD1-40FD-82C4-A6ADC9D00750}"/>
    <hyperlink ref="E32" r:id="rId29" display="https://treas-secure.state.mi.us/LAFDocSearch/tl41R01.aspx?&amp;lu_id=47&amp;doc_yr=2016&amp;doc_code=AUD" xr:uid="{8360457B-8723-48E6-A64B-8C92F76A2204}"/>
    <hyperlink ref="E33" r:id="rId30" display="https://treas-secure.state.mi.us/LAFDocSearch/tl41R01.aspx?&amp;lu_id=119&amp;doc_yr=2016&amp;doc_code=AUD" xr:uid="{FD2E24A5-CADF-4A80-B8FC-A583FEA3BD8C}"/>
    <hyperlink ref="E34" r:id="rId31" display="https://treas-secure.state.mi.us/LAFDocSearch/tl41R01.aspx?&amp;lu_id=124&amp;doc_yr=2016&amp;doc_code=AUD" xr:uid="{04E424CE-E206-45E6-ACDF-4224C08A70E5}"/>
    <hyperlink ref="E35" r:id="rId32" display="https://treas-secure.state.mi.us/LAFDocSearch/tl41R01.aspx?&amp;lu_id=132&amp;doc_yr=2016&amp;doc_code=AUD" xr:uid="{2D51FE4F-E141-452A-B34C-E21E63BDC42A}"/>
    <hyperlink ref="E36" r:id="rId33" display="https://treas-secure.state.mi.us/LAFDocSearch/tl41R01.aspx?&amp;lu_id=123&amp;doc_yr=2016&amp;doc_code=AUD" xr:uid="{DD769B8F-4917-42B7-A93A-0819ED58F4C2}"/>
    <hyperlink ref="E37" r:id="rId34" display="https://treas-secure.state.mi.us/LAFDocSearch/tl41R01.aspx?&amp;lu_id=49&amp;doc_yr=2016&amp;doc_code=AUD" xr:uid="{10CA330A-CB5D-40CD-942A-26679222F268}"/>
    <hyperlink ref="E38" r:id="rId35" display="https://treas-secure.state.mi.us/LAFDocSearch/tl41R01.aspx?&amp;lu_id=126&amp;doc_yr=2016&amp;doc_code=AUD" xr:uid="{69103413-E559-45F8-9BD1-39B0F8C8A120}"/>
    <hyperlink ref="E39" r:id="rId36" display="https://treas-secure.state.mi.us/LAFDocSearch/tl41R01.aspx?&amp;lu_id=50&amp;doc_yr=2016&amp;doc_code=AUD" xr:uid="{722119DA-4047-4EB1-9132-FC80DE51AEF1}"/>
    <hyperlink ref="E40" r:id="rId37" display="https://treas-secure.state.mi.us/LAFDocSearch/tl41R01.aspx?&amp;lu_id=51&amp;doc_yr=2016&amp;doc_code=AUD" xr:uid="{953751CB-B160-47A2-A990-BBCC8EF29BD5}"/>
    <hyperlink ref="E41" r:id="rId38" display="https://treas-secure.state.mi.us/LAFDocSearch/tl41R01.aspx?&amp;lu_id=52&amp;doc_yr=2016&amp;doc_code=AUD" xr:uid="{E2D3CF55-AA0B-4563-8B1F-CE0A0E331303}"/>
    <hyperlink ref="E42" r:id="rId39" display="https://treas-secure.state.mi.us/LAFDocSearch/tl41R01.aspx?&amp;lu_id=131&amp;doc_yr=2016&amp;doc_code=AUD" xr:uid="{7DC61B80-2FA2-4A30-B3BA-00AC9552393F}"/>
    <hyperlink ref="E43" r:id="rId40" display="https://treas-secure.state.mi.us/LAFDocSearch/tl41R01.aspx?&amp;lu_id=102&amp;doc_yr=2016&amp;doc_code=AUD" xr:uid="{22266196-DA44-4D94-A21C-912AE4799475}"/>
    <hyperlink ref="E44" r:id="rId41" display="https://treas-secure.state.mi.us/LAFDocSearch/tl41R01.aspx?&amp;lu_id=73&amp;doc_yr=2016&amp;doc_code=AUD" xr:uid="{7FA4D9B6-8CD6-4C8E-B1FD-0B61FC616B2D}"/>
    <hyperlink ref="E45" r:id="rId42" display="https://treas-secure.state.mi.us/LAFDocSearch/tl41R01.aspx?&amp;lu_id=74&amp;doc_yr=2016&amp;doc_code=AUD" xr:uid="{B1FABE00-3B48-41AB-8B77-E74126B84C50}"/>
    <hyperlink ref="E46" r:id="rId43" display="https://treas-secure.state.mi.us/LAFDocSearch/tl41R01.aspx?&amp;lu_id=122&amp;doc_yr=2016&amp;doc_code=AUD" xr:uid="{03825E10-8E07-4970-BCC4-07F133C7BE1B}"/>
    <hyperlink ref="E47" r:id="rId44" display="https://treas-secure.state.mi.us/LAFDocSearch/tl41R01.aspx?&amp;lu_id=127&amp;doc_yr=2016&amp;doc_code=AUD" xr:uid="{BBB0C9CD-E6B0-43FE-B303-B36A2C4BA165}"/>
    <hyperlink ref="E48" r:id="rId45" display="https://treas-secure.state.mi.us/LAFDocSearch/tl41R01.aspx?&amp;lu_id=53&amp;doc_yr=2016&amp;doc_code=AUD" xr:uid="{B9D11F55-F4FB-493F-91CC-8FBE75534861}"/>
    <hyperlink ref="E49" r:id="rId46" display="https://treas-secure.state.mi.us/LAFDocSearch/tl41R01.aspx?&amp;lu_id=54&amp;doc_yr=2016&amp;doc_code=AUD" xr:uid="{B1AD3E3D-F2A0-4868-92AE-AD8E82A0AADE}"/>
    <hyperlink ref="E50" r:id="rId47" display="https://treas-secure.state.mi.us/LAFDocSearch/tl41R01.aspx?&amp;lu_id=116&amp;doc_yr=2016&amp;doc_code=AUD" xr:uid="{81372C70-A9C9-4832-B016-280AE4962F78}"/>
    <hyperlink ref="E51" r:id="rId48" display="https://treas-secure.state.mi.us/LAFDocSearch/tl41R01.aspx?&amp;lu_id=55&amp;doc_yr=2016&amp;doc_code=AUD" xr:uid="{8064E3CA-4554-454B-82C2-73D2E57F94FA}"/>
    <hyperlink ref="E52" r:id="rId49" display="https://treas-secure.state.mi.us/LAFDocSearch/tl41R01.aspx?&amp;lu_id=121&amp;doc_yr=2016&amp;doc_code=AUD" xr:uid="{98C53D77-8336-4A0E-AAFF-C7351D8BAC9C}"/>
    <hyperlink ref="E53" r:id="rId50" display="https://treas-secure.state.mi.us/LAFDocSearch/tl41R01.aspx?&amp;lu_id=56&amp;doc_yr=2016&amp;doc_code=AUD" xr:uid="{0E0A3A24-F464-4EF2-86CE-FAAD099A1964}"/>
    <hyperlink ref="E54" r:id="rId51" display="https://treas-secure.state.mi.us/LAFDocSearch/tl41R01.aspx?&amp;lu_id=128&amp;doc_yr=2016&amp;doc_code=AUD" xr:uid="{A909EF22-8C60-4231-AD49-8C1D51BBFD61}"/>
    <hyperlink ref="E55" r:id="rId52" display="https://treas-secure.state.mi.us/LAFDocSearch/tl41R01.aspx?&amp;lu_id=57&amp;doc_yr=2016&amp;doc_code=AUD" xr:uid="{6BE0EEBE-459B-4CF5-9934-523D280700EC}"/>
    <hyperlink ref="E56" r:id="rId53" display="https://treas-secure.state.mi.us/LAFDocSearch/tl41R01.aspx?&amp;lu_id=133&amp;doc_yr=2016&amp;doc_code=AUD" xr:uid="{D90077D9-43A7-4C44-9D3F-22132135ACAC}"/>
    <hyperlink ref="E57" r:id="rId54" display="https://treas-secure.state.mi.us/LAFDocSearch/tl41R01.aspx?&amp;lu_id=118&amp;doc_yr=2016&amp;doc_code=AUD" xr:uid="{0ADF747B-D434-41A5-BE59-AC64AB96B16D}"/>
    <hyperlink ref="E58" r:id="rId55" display="https://treas-secure.state.mi.us/LAFDocSearch/tl41R01.aspx?&amp;lu_id=114&amp;doc_yr=2016&amp;doc_code=AUD" xr:uid="{E1836319-21A7-4110-9463-AF97C2C52C27}"/>
    <hyperlink ref="E59" r:id="rId56" display="https://treas-secure.state.mi.us/LAFDocSearch/tl41R01.aspx?&amp;lu_id=58&amp;doc_yr=2016&amp;doc_code=AUD" xr:uid="{3186D245-FE18-4D5E-A13F-42366A5F5C04}"/>
    <hyperlink ref="E60" r:id="rId57" display="https://treas-secure.state.mi.us/LAFDocSearch/tl41R01.aspx?&amp;lu_id=59&amp;doc_yr=2016&amp;doc_code=AUD" xr:uid="{BA913DBB-5081-4BE9-9EE4-C2AAC1C953BD}"/>
    <hyperlink ref="E61" r:id="rId58" display="https://treas-secure.state.mi.us/LAFDocSearch/tl41R01.aspx?&amp;lu_id=60&amp;doc_yr=2016&amp;doc_code=AUD" xr:uid="{AD00A668-C249-4EF8-B7BA-5056834F4246}"/>
    <hyperlink ref="E62" r:id="rId59" display="https://treas-secure.state.mi.us/LAFDocSearch/tl41R01.aspx?&amp;lu_id=61&amp;doc_yr=2016&amp;doc_code=AUD" xr:uid="{A2F10FCC-BFE5-47F8-8FF4-303AFE3E86E2}"/>
    <hyperlink ref="E63" r:id="rId60" display="https://treas-secure.state.mi.us/LAFDocSearch/tl41R01.aspx?&amp;lu_id=62&amp;doc_yr=2016&amp;doc_code=AUD" xr:uid="{C08CC8E8-EF6D-41C0-84A4-F27F8CBA200C}"/>
    <hyperlink ref="E64" r:id="rId61" display="https://treas-secure.state.mi.us/LAFDocSearch/tl41R01.aspx?&amp;lu_id=80&amp;doc_yr=2016&amp;doc_code=AUD" xr:uid="{81EDBECF-CAAB-43DB-B80F-3CE4BAEE2143}"/>
    <hyperlink ref="E65" r:id="rId62" display="https://treas-secure.state.mi.us/LAFDocSearch/tl41R01.aspx?&amp;lu_id=6084&amp;doc_yr=2016&amp;doc_code=AUD" xr:uid="{1AB2EA78-C4CD-4235-93B7-CBEBB41F6AC7}"/>
    <hyperlink ref="E66" r:id="rId63" display="https://treas-secure.state.mi.us/LAFDocSearch/tl41R01.aspx?&amp;lu_id=63&amp;doc_yr=2016&amp;doc_code=AUD" xr:uid="{9CC11A85-BF4F-494A-B04F-09A49B9CE3BD}"/>
    <hyperlink ref="E67" r:id="rId64" display="https://treas-secure.state.mi.us/LAFDocSearch/tl41R01.aspx?&amp;lu_id=75&amp;doc_yr=2016&amp;doc_code=AUD" xr:uid="{657AF121-ABEF-4931-9F6F-92798E90915E}"/>
    <hyperlink ref="E68" r:id="rId65" display="https://treas-secure.state.mi.us/LAFDocSearch/tl41R01.aspx?&amp;lu_id=64&amp;doc_yr=2016&amp;doc_code=AUD" xr:uid="{42EF589A-B242-4784-82D0-086C95A213D7}"/>
    <hyperlink ref="E69" r:id="rId66" display="https://treas-secure.state.mi.us/LAFDocSearch/tl41R01.aspx?&amp;lu_id=129&amp;doc_yr=2016&amp;doc_code=AUD" xr:uid="{E630D97D-6C83-497B-8513-63ABC3924279}"/>
    <hyperlink ref="E70" r:id="rId67" display="https://treas-secure.state.mi.us/LAFDocSearch/tl41R01.aspx?&amp;lu_id=65&amp;doc_yr=2016&amp;doc_code=AUD" xr:uid="{DB91F4DB-80CA-461C-9C8B-45BEBDEEDC52}"/>
    <hyperlink ref="E71" r:id="rId68" display="https://treas-secure.state.mi.us/LAFDocSearch/tl41R01.aspx?&amp;lu_id=76&amp;doc_yr=2016&amp;doc_code=AUD" xr:uid="{6F2DEFE6-B882-4146-8F8A-6DCB19E0CF8B}"/>
    <hyperlink ref="E72" r:id="rId69" display="https://treas-secure.state.mi.us/LAFDocSearch/tl41R01.aspx?&amp;lu_id=66&amp;doc_yr=2016&amp;doc_code=AUD" xr:uid="{298D7C5A-9520-4C45-8957-AF1BEF4F1F6E}"/>
    <hyperlink ref="E73" r:id="rId70" display="https://treas-secure.state.mi.us/LAFDocSearch/tl41R01.aspx?&amp;lu_id=77&amp;doc_yr=2016&amp;doc_code=AUD" xr:uid="{66D929AA-20BD-4E3A-B371-82AEA4604C1F}"/>
    <hyperlink ref="E74" r:id="rId71" display="https://treas-secure.state.mi.us/LAFDocSearch/tl41R01.aspx?&amp;lu_id=67&amp;doc_yr=2016&amp;doc_code=AUD" xr:uid="{832BDBCD-ACFB-42D5-9B86-E63A3EA8CE0E}"/>
    <hyperlink ref="E75" r:id="rId72" display="https://treas-secure.state.mi.us/LAFDocSearch/tl41R01.aspx?&amp;lu_id=117&amp;doc_yr=2016&amp;doc_code=AUD" xr:uid="{8AC37460-DBBC-498D-90E9-E4748A124265}"/>
    <hyperlink ref="E76" r:id="rId73" display="https://treas-secure.state.mi.us/LAFDocSearch/tl41R01.aspx?&amp;lu_id=130&amp;doc_yr=2016&amp;doc_code=AUD" xr:uid="{7BF25BBF-FD26-43C2-A702-D2A806D58576}"/>
    <hyperlink ref="E77" r:id="rId74" display="https://treas-secure.state.mi.us/LAFDocSearch/tl41R01.aspx?&amp;lu_id=120&amp;doc_yr=2016&amp;doc_code=AUD" xr:uid="{5BDDFC4D-246F-48E3-BDA2-A4DB1E343202}"/>
    <hyperlink ref="E78" r:id="rId75" display="https://treas-secure.state.mi.us/LAFDocSearch/tl41R01.aspx?&amp;lu_id=69&amp;doc_yr=2016&amp;doc_code=AUD" xr:uid="{BEF8E5FF-18E7-4D71-ADF0-36D122C430B6}"/>
    <hyperlink ref="E79" r:id="rId76" display="https://treas-secure.state.mi.us/LAFDocSearch/tl41R01.aspx?&amp;lu_id=78&amp;doc_yr=2016&amp;doc_code=AUD" xr:uid="{096F99E3-5DED-425F-BB40-76FA34E918B9}"/>
    <hyperlink ref="E80" r:id="rId77" display="https://treas-secure.state.mi.us/LAFDocSearch/tl41R01.aspx?&amp;lu_id=71&amp;doc_yr=2016&amp;doc_code=AUD" xr:uid="{F0F490E1-D3AE-46F1-8380-A71F605D76D2}"/>
    <hyperlink ref="E81" r:id="rId78" display="https://treas-secure.state.mi.us/LAFDocSearch/tl41R01.aspx?&amp;lu_id=112&amp;doc_yr=2016&amp;doc_code=AUD" xr:uid="{A622D16C-30D9-4799-88BF-6A2C772CE154}"/>
    <hyperlink ref="E83" r:id="rId79" display="https://treas-secure.state.mi.us/LAFDocSearch/tl41R01.aspx?&amp;lu_id=146&amp;doc_yr=2016&amp;doc_code=AUD" xr:uid="{29B110B7-3DFF-4F47-A998-5C021FA912C2}"/>
    <hyperlink ref="E84" r:id="rId80" display="https://treas-secure.state.mi.us/LAFDocSearch/tl41R01.aspx?&amp;lu_id=136&amp;doc_yr=2016&amp;doc_code=AUD" xr:uid="{F205DB83-5332-4B73-8C55-6EB00E490C06}"/>
    <hyperlink ref="E85" r:id="rId81" display="https://treas-secure.state.mi.us/LAFDocSearch/tl41R01.aspx?&amp;lu_id=138&amp;doc_yr=2016&amp;doc_code=AUD" xr:uid="{FD78550A-7EE2-4147-B588-517A670CDD20}"/>
    <hyperlink ref="E86" r:id="rId82" display="https://treas-secure.state.mi.us/LAFDocSearch/tl41R01.aspx?&amp;lu_id=150&amp;doc_yr=2016&amp;doc_code=AUD" xr:uid="{30F6ED54-8681-4FD5-804E-8B1E6EE730B6}"/>
    <hyperlink ref="E87" r:id="rId83" display="https://treas-secure.state.mi.us/LAFDocSearch/tl41R01.aspx?&amp;lu_id=137&amp;doc_yr=2016&amp;doc_code=AUD" xr:uid="{8F36A24A-C41F-4804-9722-E5EE3CA3288F}"/>
    <hyperlink ref="E88" r:id="rId84" display="https://treas-secure.state.mi.us/LAFDocSearch/tl41R01.aspx?&amp;lu_id=139&amp;doc_yr=2016&amp;doc_code=AUD" xr:uid="{97B62C38-A988-4572-B92B-CE85F524D76D}"/>
    <hyperlink ref="E89" r:id="rId85" display="https://treas-secure.state.mi.us/LAFDocSearch/tl41R01.aspx?&amp;lu_id=141&amp;doc_yr=2016&amp;doc_code=AUD" xr:uid="{1BC5CDF4-DA7C-446B-AFFB-FF309845E8C7}"/>
    <hyperlink ref="E90" r:id="rId86" display="https://treas-secure.state.mi.us/LAFDocSearch/tl41R01.aspx?&amp;lu_id=157&amp;doc_yr=2016&amp;doc_code=AUD" xr:uid="{5DB6A18A-63A7-4201-B8CF-7387EEF63A37}"/>
    <hyperlink ref="E91" r:id="rId87" display="https://treas-secure.state.mi.us/LAFDocSearch/tl41R01.aspx?&amp;lu_id=143&amp;doc_yr=2016&amp;doc_code=AUD" xr:uid="{00C9688D-7810-4713-A1AD-BF91EBDF76DE}"/>
    <hyperlink ref="E92" r:id="rId88" display="https://treas-secure.state.mi.us/LAFDocSearch/tl41R01.aspx?&amp;lu_id=155&amp;doc_yr=2016&amp;doc_code=AUD" xr:uid="{1E87EF05-E0AD-4467-9F00-45A5F74FA14D}"/>
    <hyperlink ref="E93" r:id="rId89" display="https://treas-secure.state.mi.us/LAFDocSearch/tl41R01.aspx?&amp;lu_id=144&amp;doc_yr=2016&amp;doc_code=AUD" xr:uid="{D37A44DD-B95E-497E-92CE-D014D09122A7}"/>
    <hyperlink ref="E95" r:id="rId90" display="https://treas-secure.state.mi.us/LAFDocSearch/tl41R01.aspx?&amp;lu_id=7100&amp;doc_yr=2016&amp;doc_code=AUD" xr:uid="{192321A0-7A4C-43DB-A7B8-E27E7381FEE2}"/>
    <hyperlink ref="E96" r:id="rId91" display="https://treas-secure.state.mi.us/LAFDocSearch/tl41R01.aspx?&amp;lu_id=160&amp;doc_yr=2016&amp;doc_code=AUD" xr:uid="{42BC1ACB-0CCE-4D14-B93C-8A8D54FC4117}"/>
    <hyperlink ref="E97" r:id="rId92" display="https://treas-secure.state.mi.us/LAFDocSearch/tl41R01.aspx?&amp;lu_id=161&amp;doc_yr=2016&amp;doc_code=AUD" xr:uid="{7B788ED4-DCF4-4C13-A475-B256D0F2AD6B}"/>
    <hyperlink ref="E98" r:id="rId93" display="https://treas-secure.state.mi.us/LAFDocSearch/tl41R01.aspx?&amp;lu_id=195&amp;doc_yr=2016&amp;doc_code=AUD" xr:uid="{73DD26A0-4B86-4033-87D6-8674DF629662}"/>
    <hyperlink ref="E99" r:id="rId94" display="https://treas-secure.state.mi.us/LAFDocSearch/tl41R01.aspx?&amp;lu_id=162&amp;doc_yr=2016&amp;doc_code=AUD" xr:uid="{1546CF9F-F36B-4C71-AF8F-EC38DEB6213E}"/>
    <hyperlink ref="E100" r:id="rId95" display="https://treas-secure.state.mi.us/LAFDocSearch/tl41R01.aspx?&amp;lu_id=177&amp;doc_yr=2016&amp;doc_code=AUD" xr:uid="{5D0F2980-55B6-487F-82F8-8F3DD67A349A}"/>
    <hyperlink ref="E101" r:id="rId96" display="https://treas-secure.state.mi.us/LAFDocSearch/tl41R01.aspx?&amp;lu_id=196&amp;doc_yr=2016&amp;doc_code=AUD" xr:uid="{8A8E3D03-A3C6-4B09-A2C3-D3CC3CABFF12}"/>
    <hyperlink ref="E102" r:id="rId97" display="https://treas-secure.state.mi.us/LAFDocSearch/tl41R01.aspx?&amp;lu_id=203&amp;doc_yr=2016&amp;doc_code=AUD" xr:uid="{ADBB4594-5856-47CA-B181-5F11B5CC9675}"/>
    <hyperlink ref="E103" r:id="rId98" display="https://treas-secure.state.mi.us/LAFDocSearch/tl41R01.aspx?&amp;lu_id=163&amp;doc_yr=2016&amp;doc_code=AUD" xr:uid="{939A7A56-9306-4D2C-B277-BEC6D48297CB}"/>
    <hyperlink ref="E104" r:id="rId99" display="https://treas-secure.state.mi.us/LAFDocSearch/tl41R01.aspx?&amp;lu_id=178&amp;doc_yr=2016&amp;doc_code=AUD" xr:uid="{D7ED5866-45AB-4A3B-834A-480387510552}"/>
    <hyperlink ref="E105" r:id="rId100" display="https://treas-secure.state.mi.us/LAFDocSearch/tl41R01.aspx?&amp;lu_id=204&amp;doc_yr=2016&amp;doc_code=AUD" xr:uid="{5796F308-2718-479D-953C-97E3B4E73CFF}"/>
    <hyperlink ref="E106" r:id="rId101" display="https://treas-secure.state.mi.us/LAFDocSearch/tl41R01.aspx?&amp;lu_id=165&amp;doc_yr=2016&amp;doc_code=AUD" xr:uid="{2A997674-437E-4E8A-BFE0-CF02B4F8C13A}"/>
    <hyperlink ref="E107" r:id="rId102" display="https://treas-secure.state.mi.us/LAFDocSearch/tl41R01.aspx?&amp;lu_id=167&amp;doc_yr=2016&amp;doc_code=AUD" xr:uid="{FDCE5503-7DBC-4C6B-B729-3EA0AB925451}"/>
    <hyperlink ref="E108" r:id="rId103" display="https://treas-secure.state.mi.us/LAFDocSearch/tl41R01.aspx?&amp;lu_id=179&amp;doc_yr=2016&amp;doc_code=AUD" xr:uid="{DBB6D329-710C-4C63-B6E3-78E402D1DC47}"/>
    <hyperlink ref="E109" r:id="rId104" display="https://treas-secure.state.mi.us/LAFDocSearch/tl41R01.aspx?&amp;lu_id=205&amp;doc_yr=2016&amp;doc_code=AUD" xr:uid="{2E0C3B07-43AD-4D44-93CB-F608FD145A1C}"/>
    <hyperlink ref="E110" r:id="rId105" display="https://treas-secure.state.mi.us/LAFDocSearch/tl41R01.aspx?&amp;lu_id=197&amp;doc_yr=2016&amp;doc_code=AUD" xr:uid="{67E3F984-459E-4D1B-B7E9-7C2F7BB9B770}"/>
    <hyperlink ref="E111" r:id="rId106" display="https://treas-secure.state.mi.us/LAFDocSearch/tl41R01.aspx?&amp;lu_id=180&amp;doc_yr=2016&amp;doc_code=AUD" xr:uid="{F7E500E7-96FB-4AB9-A513-DAC703B3002E}"/>
    <hyperlink ref="E112" r:id="rId107" display="https://treas-secure.state.mi.us/LAFDocSearch/tl41R01.aspx?&amp;lu_id=168&amp;doc_yr=2016&amp;doc_code=AUD" xr:uid="{A6618E77-9867-4CE0-B5D0-D9E1246C3FE1}"/>
    <hyperlink ref="E113" r:id="rId108" display="https://treas-secure.state.mi.us/LAFDocSearch/tl41R01.aspx?&amp;lu_id=169&amp;doc_yr=2016&amp;doc_code=AUD" xr:uid="{1DC33CBF-A344-432E-A363-7A1107B20550}"/>
    <hyperlink ref="E114" r:id="rId109" display="https://treas-secure.state.mi.us/LAFDocSearch/tl41R01.aspx?&amp;lu_id=170&amp;doc_yr=2016&amp;doc_code=AUD" xr:uid="{FC9274DF-1802-4F69-95F4-844361D87131}"/>
    <hyperlink ref="E115" r:id="rId110" display="https://treas-secure.state.mi.us/LAFDocSearch/tl41R01.aspx?&amp;lu_id=171&amp;doc_yr=2016&amp;doc_code=AUD" xr:uid="{E91F83C9-B55C-43A9-BC33-C15E6BAA47D6}"/>
    <hyperlink ref="E116" r:id="rId111" display="https://treas-secure.state.mi.us/LAFDocSearch/tl41R01.aspx?&amp;lu_id=172&amp;doc_yr=2016&amp;doc_code=AUD" xr:uid="{8F61C255-380B-4BB3-8438-12073741EC2E}"/>
    <hyperlink ref="E117" r:id="rId112" display="https://treas-secure.state.mi.us/LAFDocSearch/tl41R01.aspx?&amp;lu_id=181&amp;doc_yr=2016&amp;doc_code=AUD" xr:uid="{5EEE479D-4378-479F-A153-6FC416A4F090}"/>
    <hyperlink ref="E118" r:id="rId113" display="https://treas-secure.state.mi.us/LAFDocSearch/tl41R01.aspx?&amp;lu_id=191&amp;doc_yr=2016&amp;doc_code=AUD" xr:uid="{C2FE3430-3073-4820-9701-E7F500B72A1E}"/>
    <hyperlink ref="E119" r:id="rId114" display="https://treas-secure.state.mi.us/LAFDocSearch/tl41R01.aspx?&amp;lu_id=193&amp;doc_yr=2016&amp;doc_code=AUD" xr:uid="{19A24C96-BE68-413D-A774-C8D19FC62422}"/>
    <hyperlink ref="E120" r:id="rId115" display="https://treas-secure.state.mi.us/LAFDocSearch/tl41R01.aspx?&amp;lu_id=199&amp;doc_yr=2016&amp;doc_code=AUD" xr:uid="{83B89F36-59F3-4020-996E-5AAC25A1C13B}"/>
    <hyperlink ref="E121" r:id="rId116" display="https://treas-secure.state.mi.us/LAFDocSearch/tl41R01.aspx?&amp;lu_id=173&amp;doc_yr=2016&amp;doc_code=AUD" xr:uid="{318AD456-98D0-4087-84BF-02728753A9C1}"/>
    <hyperlink ref="E122" r:id="rId117" display="https://treas-secure.state.mi.us/LAFDocSearch/tl41R01.aspx?&amp;lu_id=175&amp;doc_yr=2016&amp;doc_code=AUD" xr:uid="{1B413511-007C-4088-80DF-749EC5432761}"/>
    <hyperlink ref="E123" r:id="rId118" display="https://treas-secure.state.mi.us/LAFDocSearch/tl41R01.aspx?&amp;lu_id=192&amp;doc_yr=2016&amp;doc_code=AUD" xr:uid="{5E0A99B6-858B-4762-98E7-62FA26DAA2B2}"/>
    <hyperlink ref="E124" r:id="rId119" display="https://treas-secure.state.mi.us/LAFDocSearch/tl41R01.aspx?&amp;lu_id=176&amp;doc_yr=2016&amp;doc_code=AUD" xr:uid="{A38F1998-1C19-4601-9DEE-7330F5541E1E}"/>
    <hyperlink ref="E126" r:id="rId120" display="https://treas-secure.state.mi.us/LAFDocSearch/tl41R01.aspx?&amp;lu_id=211&amp;doc_yr=2016&amp;doc_code=AUD" xr:uid="{A764CE6F-5B37-4392-9EE3-6E228C860CF6}"/>
    <hyperlink ref="E127" r:id="rId121" display="https://treas-secure.state.mi.us/LAFDocSearch/tl41R01.aspx?&amp;lu_id=209&amp;doc_yr=2016&amp;doc_code=AUD" xr:uid="{B268D0F5-0E5C-49A7-8C4B-1F114D43549A}"/>
    <hyperlink ref="E128" r:id="rId122" display="https://treas-secure.state.mi.us/LAFDocSearch/tl41R01.aspx?&amp;lu_id=212&amp;doc_yr=2016&amp;doc_code=AUD" xr:uid="{7DE7A1FB-7C9C-4764-985F-CB34C0E4FE62}"/>
    <hyperlink ref="E129" r:id="rId123" display="https://treas-secure.state.mi.us/LAFDocSearch/tl41R01.aspx?&amp;lu_id=210&amp;doc_yr=2016&amp;doc_code=AUD" xr:uid="{A2B83AAF-2609-41A3-B0E9-CE213793E7A1}"/>
    <hyperlink ref="E130" r:id="rId124" display="https://treas-secure.state.mi.us/LAFDocSearch/tl41R01.aspx?&amp;lu_id=245&amp;doc_yr=2016&amp;doc_code=AUD" xr:uid="{DA57E183-4D4B-4232-82E1-B91D4621884A}"/>
    <hyperlink ref="E131" r:id="rId125" display="https://treas-secure.state.mi.us/LAFDocSearch/tl41R01.aspx?&amp;lu_id=223&amp;doc_yr=2016&amp;doc_code=AUD" xr:uid="{CC347EE2-E1D9-4C1B-ACC0-DCEDC7B26EFE}"/>
    <hyperlink ref="E132" r:id="rId126" display="https://treas-secure.state.mi.us/LAFDocSearch/tl41R01.aspx?&amp;lu_id=213&amp;doc_yr=2016&amp;doc_code=AUD" xr:uid="{79F13617-4D11-4768-8F5D-68CA2129D31B}"/>
    <hyperlink ref="E133" r:id="rId127" display="https://treas-secure.state.mi.us/LAFDocSearch/tl41R01.aspx?&amp;lu_id=242&amp;doc_yr=2016&amp;doc_code=AUD" xr:uid="{049E5A3B-9E21-4E9B-8F82-4A5168191655}"/>
    <hyperlink ref="E134" r:id="rId128" display="https://treas-secure.state.mi.us/LAFDocSearch/tl41R01.aspx?&amp;lu_id=215&amp;doc_yr=2016&amp;doc_code=AUD" xr:uid="{50369558-D3BE-46D2-9F85-1DE6E27CDA00}"/>
    <hyperlink ref="E135" r:id="rId129" display="https://treas-secure.state.mi.us/LAFDocSearch/tl41R01.aspx?&amp;lu_id=217&amp;doc_yr=2016&amp;doc_code=AUD" xr:uid="{B8A9FA2B-21B3-426A-8FBD-45D95F5B772A}"/>
    <hyperlink ref="E136" r:id="rId130" display="https://treas-secure.state.mi.us/LAFDocSearch/tl41R01.aspx?&amp;lu_id=218&amp;doc_yr=2016&amp;doc_code=AUD" xr:uid="{EB3B15D5-CA2C-4368-8D91-BB3D3F57E83F}"/>
    <hyperlink ref="E137" r:id="rId131" display="https://treas-secure.state.mi.us/LAFDocSearch/tl41R01.aspx?&amp;lu_id=224&amp;doc_yr=2016&amp;doc_code=AUD" xr:uid="{32AF0FDD-289E-4F86-ADF8-97EA11F1539E}"/>
    <hyperlink ref="E138" r:id="rId132" display="https://treas-secure.state.mi.us/LAFDocSearch/tl41R01.aspx?&amp;lu_id=219&amp;doc_yr=2016&amp;doc_code=AUD" xr:uid="{6ACFAFFB-82F1-4D7D-8B3B-2E62B5754468}"/>
    <hyperlink ref="E139" r:id="rId133" display="https://treas-secure.state.mi.us/LAFDocSearch/tl41R01.aspx?&amp;lu_id=236&amp;doc_yr=2016&amp;doc_code=AUD" xr:uid="{82322301-F98D-4725-819A-19F52BBCC834}"/>
    <hyperlink ref="E140" r:id="rId134" display="https://treas-secure.state.mi.us/LAFDocSearch/tl41R01.aspx?&amp;lu_id=225&amp;doc_yr=2016&amp;doc_code=AUD" xr:uid="{803B9A2F-C417-42B7-86E8-F8622E4A7949}"/>
    <hyperlink ref="E141" r:id="rId135" display="https://treas-secure.state.mi.us/LAFDocSearch/tl41R01.aspx?&amp;lu_id=220&amp;doc_yr=2016&amp;doc_code=AUD" xr:uid="{95C838DF-BF48-4A87-B351-5146DB0075D4}"/>
    <hyperlink ref="E142" r:id="rId136" display="https://treas-secure.state.mi.us/LAFDocSearch/tl41R01.aspx?&amp;lu_id=240&amp;doc_yr=2016&amp;doc_code=AUD" xr:uid="{17C1E5FA-1FE8-4914-9DB6-A59493563CE6}"/>
    <hyperlink ref="E143" r:id="rId137" display="https://treas-secure.state.mi.us/LAFDocSearch/tl41R01.aspx?&amp;lu_id=226&amp;doc_yr=2016&amp;doc_code=AUD" xr:uid="{224B668A-868E-49AC-996A-ACCFAB7FDA0D}"/>
    <hyperlink ref="E144" r:id="rId138" display="https://treas-secure.state.mi.us/LAFDocSearch/tl41R01.aspx?&amp;lu_id=221&amp;doc_yr=2016&amp;doc_code=AUD" xr:uid="{2D9B07F0-7D7D-4FDB-8469-52609AFD25F4}"/>
    <hyperlink ref="E145" r:id="rId139" display="https://treas-secure.state.mi.us/LAFDocSearch/tl41R01.aspx?&amp;lu_id=228&amp;doc_yr=2016&amp;doc_code=AUD" xr:uid="{3FEEB7B2-C14E-44B5-82E1-860CCF677906}"/>
    <hyperlink ref="E146" r:id="rId140" display="https://treas-secure.state.mi.us/LAFDocSearch/tl41R01.aspx?&amp;lu_id=244&amp;doc_yr=2016&amp;doc_code=AUD" xr:uid="{801E1D08-58B7-4CCC-8ACE-FC132437C1DD}"/>
    <hyperlink ref="E147" r:id="rId141" display="https://treas-secure.state.mi.us/LAFDocSearch/tl41R01.aspx?&amp;lu_id=222&amp;doc_yr=2016&amp;doc_code=AUD" xr:uid="{8A70619E-02AC-4768-A2D3-6F81CD83D977}"/>
    <hyperlink ref="E149" r:id="rId142" display="https://treas-secure.state.mi.us/LAFDocSearch/tl41R01.aspx?&amp;lu_id=250&amp;doc_yr=2016&amp;doc_code=AUD" xr:uid="{3A078E85-CA5C-47CE-82C1-598B50052E65}"/>
    <hyperlink ref="E150" r:id="rId143" display="https://treas-secure.state.mi.us/LAFDocSearch/tl41R01.aspx?&amp;lu_id=248&amp;doc_yr=2016&amp;doc_code=AUD" xr:uid="{565AD85F-4D7F-4B3D-A65E-27EB4F02A677}"/>
    <hyperlink ref="E151" r:id="rId144" display="https://treas-secure.state.mi.us/LAFDocSearch/tl41R01.aspx?&amp;lu_id=255&amp;doc_yr=2016&amp;doc_code=AUD" xr:uid="{3F12B934-E7B1-4B14-9A49-BB6C629F2904}"/>
    <hyperlink ref="E152" r:id="rId145" display="https://treas-secure.state.mi.us/LAFDocSearch/tl41R01.aspx?&amp;lu_id=249&amp;doc_yr=2016&amp;doc_code=AUD" xr:uid="{C5A6A398-CEEB-4DD9-818C-993D5D359EA3}"/>
    <hyperlink ref="E153" r:id="rId146" display="https://treas-secure.state.mi.us/LAFDocSearch/tl41R01.aspx?&amp;lu_id=265&amp;doc_yr=2016&amp;doc_code=AUD" xr:uid="{0614E73A-9E61-444D-9B08-6B7537AA4D94}"/>
    <hyperlink ref="E154" r:id="rId147" display="https://treas-secure.state.mi.us/LAFDocSearch/tl41R01.aspx?&amp;lu_id=266&amp;doc_yr=2016&amp;doc_code=AUD" xr:uid="{58B29ECB-A9FA-4D2C-8DDD-545CAAEDF5A6}"/>
    <hyperlink ref="E155" r:id="rId148" display="https://treas-secure.state.mi.us/LAFDocSearch/tl41R01.aspx?&amp;lu_id=262&amp;doc_yr=2016&amp;doc_code=AUD" xr:uid="{3C166E17-E043-4AA1-B6DA-4417C46F08F0}"/>
    <hyperlink ref="E156" r:id="rId149" display="https://treas-secure.state.mi.us/LAFDocSearch/tl41R01.aspx?&amp;lu_id=252&amp;doc_yr=2016&amp;doc_code=AUD" xr:uid="{40E3253E-ED1B-4E20-855E-25A77CD880AA}"/>
    <hyperlink ref="E157" r:id="rId150" display="https://treas-secure.state.mi.us/LAFDocSearch/tl41R01.aspx?&amp;lu_id=267&amp;doc_yr=2016&amp;doc_code=AUD" xr:uid="{F72F3AEA-9AD9-4BF7-B5CF-38C3B2E3310F}"/>
    <hyperlink ref="E158" r:id="rId151" display="https://treas-secure.state.mi.us/LAFDocSearch/tl41R01.aspx?&amp;lu_id=253&amp;doc_yr=2016&amp;doc_code=AUD" xr:uid="{854D134C-8548-4868-9E88-26C59EAF5847}"/>
    <hyperlink ref="E159" r:id="rId152" display="https://treas-secure.state.mi.us/LAFDocSearch/tl41R01.aspx?&amp;lu_id=256&amp;doc_yr=2016&amp;doc_code=AUD" xr:uid="{EE507E21-CE80-4FA3-A003-323CCEF9B9A1}"/>
    <hyperlink ref="E160" r:id="rId153" display="https://treas-secure.state.mi.us/LAFDocSearch/tl41R01.aspx?&amp;lu_id=254&amp;doc_yr=2016&amp;doc_code=AUD" xr:uid="{4FFA0AE4-D6AE-4BBF-8444-BEF63976DA89}"/>
    <hyperlink ref="E162" r:id="rId154" display="https://treas-secure.state.mi.us/LAFDocSearch/tl41R01.aspx?&amp;lu_id=274&amp;doc_yr=2016&amp;doc_code=AUD" xr:uid="{D07D828E-E2E5-4678-8576-B51193E782AC}"/>
    <hyperlink ref="E163" r:id="rId155" display="https://treas-secure.state.mi.us/LAFDocSearch/tl41R01.aspx?&amp;lu_id=275&amp;doc_yr=2016&amp;doc_code=AUD" xr:uid="{83B3CF70-A043-4D54-A424-A340E12F7973}"/>
    <hyperlink ref="E164" r:id="rId156" display="https://treas-secure.state.mi.us/LAFDocSearch/tl41R01.aspx?&amp;lu_id=272&amp;doc_yr=2016&amp;doc_code=AUD" xr:uid="{F6834793-F374-4656-A124-D953ECF42F66}"/>
    <hyperlink ref="E165" r:id="rId157" display="https://treas-secure.state.mi.us/LAFDocSearch/tl41R01.aspx?&amp;lu_id=276&amp;doc_yr=2016&amp;doc_code=AUD" xr:uid="{9418C033-FF88-4CB1-910A-0919FBB4619B}"/>
    <hyperlink ref="E166" r:id="rId158" display="https://treas-secure.state.mi.us/LAFDocSearch/tl41R01.aspx?&amp;lu_id=308&amp;doc_yr=2016&amp;doc_code=AUD" xr:uid="{05E81793-82F8-4661-A399-D051D47F7567}"/>
    <hyperlink ref="E167" r:id="rId159" display="https://treas-secure.state.mi.us/LAFDocSearch/tl41R01.aspx?&amp;lu_id=273&amp;doc_yr=2016&amp;doc_code=AUD" xr:uid="{AF549EDA-CF49-4B79-AC9A-4BC893F35374}"/>
    <hyperlink ref="E168" r:id="rId160" display="https://treas-secure.state.mi.us/LAFDocSearch/tl41R01.aspx?&amp;lu_id=309&amp;doc_yr=2016&amp;doc_code=AUD" xr:uid="{280A278A-25CD-45B1-AFD8-686137E82588}"/>
    <hyperlink ref="E169" r:id="rId161" display="https://treas-secure.state.mi.us/LAFDocSearch/tl41R01.aspx?&amp;lu_id=306&amp;doc_yr=2016&amp;doc_code=AUD" xr:uid="{98A7E9D9-2E65-466E-AAB8-D9BB63BBCF00}"/>
    <hyperlink ref="E170" r:id="rId162" display="https://treas-secure.state.mi.us/LAFDocSearch/tl41R01.aspx?&amp;lu_id=277&amp;doc_yr=2016&amp;doc_code=AUD" xr:uid="{926ECAD9-B353-4A41-8CFA-3278251ED6CB}"/>
    <hyperlink ref="E171" r:id="rId163" display="https://treas-secure.state.mi.us/LAFDocSearch/tl41R01.aspx?&amp;lu_id=278&amp;doc_yr=2016&amp;doc_code=AUD" xr:uid="{82A8C240-0413-4D2B-A323-46160FE43C48}"/>
    <hyperlink ref="E172" r:id="rId164" display="https://treas-secure.state.mi.us/LAFDocSearch/tl41R01.aspx?&amp;lu_id=312&amp;doc_yr=2016&amp;doc_code=AUD" xr:uid="{8EC6660C-27EA-4185-8967-C88BCFF9A4D1}"/>
    <hyperlink ref="E173" r:id="rId165" display="https://treas-secure.state.mi.us/LAFDocSearch/tl41R01.aspx?&amp;lu_id=313&amp;doc_yr=2016&amp;doc_code=AUD" xr:uid="{2E7E6DA4-92C6-4E22-A077-B065E791BC5B}"/>
    <hyperlink ref="E174" r:id="rId166" display="https://treas-secure.state.mi.us/LAFDocSearch/tl41R01.aspx?&amp;lu_id=315&amp;doc_yr=2016&amp;doc_code=AUD" xr:uid="{C0302A08-AB46-4308-9B63-056585203F79}"/>
    <hyperlink ref="E175" r:id="rId167" display="https://treas-secure.state.mi.us/LAFDocSearch/tl41R01.aspx?&amp;lu_id=305&amp;doc_yr=2016&amp;doc_code=AUD" xr:uid="{FA7800A4-6EBF-4D70-B2E6-A1950EE9D7ED}"/>
    <hyperlink ref="E176" r:id="rId168" display="https://treas-secure.state.mi.us/LAFDocSearch/tl41R01.aspx?&amp;lu_id=291&amp;doc_yr=2016&amp;doc_code=AUD" xr:uid="{1F773F86-16F0-4A65-91A4-1B3EE12131CF}"/>
    <hyperlink ref="E177" r:id="rId169" display="https://treas-secure.state.mi.us/LAFDocSearch/tl41R01.aspx?&amp;lu_id=316&amp;doc_yr=2016&amp;doc_code=AUD" xr:uid="{C49CF1F8-7138-4572-A38D-35CC3D6C63CE}"/>
    <hyperlink ref="E178" r:id="rId170" display="https://treas-secure.state.mi.us/LAFDocSearch/tl41R01.aspx?&amp;lu_id=310&amp;doc_yr=2016&amp;doc_code=AUD" xr:uid="{C7E62FF3-A011-4610-A33C-540C2A68E16A}"/>
    <hyperlink ref="E179" r:id="rId171" display="https://treas-secure.state.mi.us/LAFDocSearch/tl41R01.aspx?&amp;lu_id=290&amp;doc_yr=2016&amp;doc_code=AUD" xr:uid="{037D9B12-93A5-4150-8316-0B63DFE99B6C}"/>
    <hyperlink ref="E180" r:id="rId172" display="https://treas-secure.state.mi.us/LAFDocSearch/tl41R01.aspx?&amp;lu_id=279&amp;doc_yr=2016&amp;doc_code=AUD" xr:uid="{898CEDC9-A635-4D52-82CC-DDC9E10D42FA}"/>
    <hyperlink ref="E181" r:id="rId173" display="https://treas-secure.state.mi.us/LAFDocSearch/tl41R01.aspx?&amp;lu_id=280&amp;doc_yr=2016&amp;doc_code=AUD" xr:uid="{E859A7AC-402A-4623-8738-9E2840CE28F9}"/>
    <hyperlink ref="E182" r:id="rId174" display="https://treas-secure.state.mi.us/LAFDocSearch/tl41R01.aspx?&amp;lu_id=281&amp;doc_yr=2016&amp;doc_code=AUD" xr:uid="{E8D8250F-5D7C-4157-AD12-E5839C5B06E5}"/>
    <hyperlink ref="E183" r:id="rId175" display="https://treas-secure.state.mi.us/LAFDocSearch/tl41R01.aspx?&amp;lu_id=282&amp;doc_yr=2016&amp;doc_code=AUD" xr:uid="{829BA8F1-58DF-40CE-B05D-F7CCB8FB5E70}"/>
    <hyperlink ref="E184" r:id="rId176" display="https://treas-secure.state.mi.us/LAFDocSearch/tl41R01.aspx?&amp;lu_id=283&amp;doc_yr=2016&amp;doc_code=AUD" xr:uid="{730A8B2D-77B8-4EA5-B8C4-79790EAD2641}"/>
    <hyperlink ref="E185" r:id="rId177" display="https://treas-secure.state.mi.us/LAFDocSearch/tl41R01.aspx?&amp;lu_id=292&amp;doc_yr=2016&amp;doc_code=AUD" xr:uid="{D6CFADE9-0C7B-46ED-A78B-1EE64617085D}"/>
    <hyperlink ref="E186" r:id="rId178" display="https://treas-secure.state.mi.us/LAFDocSearch/tl41R01.aspx?&amp;lu_id=311&amp;doc_yr=2016&amp;doc_code=AUD" xr:uid="{D9A4BBD8-FB56-467D-9583-AC35B08567AE}"/>
    <hyperlink ref="E187" r:id="rId179" display="https://treas-secure.state.mi.us/LAFDocSearch/tl41R01.aspx?&amp;lu_id=293&amp;doc_yr=2016&amp;doc_code=AUD" xr:uid="{E023073B-7F6E-4343-BC01-ADBF49375758}"/>
    <hyperlink ref="E188" r:id="rId180" display="https://treas-secure.state.mi.us/LAFDocSearch/tl41R01.aspx?&amp;lu_id=284&amp;doc_yr=2016&amp;doc_code=AUD" xr:uid="{22BDC05C-BCBF-4277-971E-9045731F92B1}"/>
    <hyperlink ref="E189" r:id="rId181" display="https://treas-secure.state.mi.us/LAFDocSearch/tl41R01.aspx?&amp;lu_id=285&amp;doc_yr=2016&amp;doc_code=AUD" xr:uid="{03600B38-FC9A-47D3-BE8F-18E2567A3DA0}"/>
    <hyperlink ref="E190" r:id="rId182" display="https://treas-secure.state.mi.us/LAFDocSearch/tl41R01.aspx?&amp;lu_id=317&amp;doc_yr=2016&amp;doc_code=AUD" xr:uid="{2554B3BB-B432-4FF8-AA85-0C88F7FA6063}"/>
    <hyperlink ref="E191" r:id="rId183" display="https://treas-secure.state.mi.us/LAFDocSearch/tl41R01.aspx?&amp;lu_id=286&amp;doc_yr=2016&amp;doc_code=AUD" xr:uid="{354F69F0-EF36-48BB-AB7F-4198F27D3B1C}"/>
    <hyperlink ref="E192" r:id="rId184" display="https://treas-secure.state.mi.us/LAFDocSearch/tl41R01.aspx?&amp;lu_id=302&amp;doc_yr=2016&amp;doc_code=AUD" xr:uid="{08B6BF53-C302-4960-8474-A81C78BF0D3E}"/>
    <hyperlink ref="E193" r:id="rId185" display="https://treas-secure.state.mi.us/LAFDocSearch/tl41R01.aspx?&amp;lu_id=287&amp;doc_yr=2016&amp;doc_code=AUD" xr:uid="{C52292FB-E3F3-4BB4-988B-3E61DAA7BF05}"/>
    <hyperlink ref="E194" r:id="rId186" display="https://treas-secure.state.mi.us/LAFDocSearch/tl41R01.aspx?&amp;lu_id=304&amp;doc_yr=2016&amp;doc_code=AUD" xr:uid="{60DB4D46-4047-4055-B6A5-339F6FE20C13}"/>
    <hyperlink ref="E195" r:id="rId187" display="https://treas-secure.state.mi.us/LAFDocSearch/tl41R01.aspx?&amp;lu_id=314&amp;doc_yr=2016&amp;doc_code=AUD" xr:uid="{EBF2ED5C-AF37-4AF6-BCE9-9E1B89D9ACEA}"/>
    <hyperlink ref="E196" r:id="rId188" display="https://treas-secure.state.mi.us/LAFDocSearch/tl41R01.aspx?&amp;lu_id=288&amp;doc_yr=2016&amp;doc_code=AUD" xr:uid="{36EEDD10-5A53-40A5-A207-860CF11E5C4F}"/>
    <hyperlink ref="E197" r:id="rId189" display="https://treas-secure.state.mi.us/LAFDocSearch/tl41R01.aspx?&amp;lu_id=289&amp;doc_yr=2016&amp;doc_code=AUD" xr:uid="{7CE0CB4B-0D8C-450D-89A8-35A18331571E}"/>
    <hyperlink ref="E199" r:id="rId190" display="https://treas-secure.state.mi.us/LAFDocSearch/tl41R01.aspx?&amp;lu_id=338&amp;doc_yr=2016&amp;doc_code=AUD" xr:uid="{75BF6650-EDF7-4ECE-9BBB-31582F2559D4}"/>
    <hyperlink ref="E200" r:id="rId191" display="https://treas-secure.state.mi.us/LAFDocSearch/tl41R01.aspx?&amp;lu_id=375&amp;doc_yr=2016&amp;doc_code=AUD" xr:uid="{04394B2D-BC6C-4DA3-BE7B-555A1DECF91E}"/>
    <hyperlink ref="E201" r:id="rId192" display="https://treas-secure.state.mi.us/LAFDocSearch/tl41R01.aspx?&amp;lu_id=324&amp;doc_yr=2016&amp;doc_code=AUD" xr:uid="{11D58DA4-9CB3-4F75-BC6B-FDDE83BAE170}"/>
    <hyperlink ref="E202" r:id="rId193" display="https://treas-secure.state.mi.us/LAFDocSearch/tl41R01.aspx?&amp;lu_id=367&amp;doc_yr=2016&amp;doc_code=AUD" xr:uid="{6F68D337-9BED-4466-8D9F-7D2D72E2AFAF}"/>
    <hyperlink ref="E203" r:id="rId194" display="https://treas-secure.state.mi.us/LAFDocSearch/tl41R01.aspx?&amp;lu_id=322&amp;doc_yr=2016&amp;doc_code=AUD" xr:uid="{1F952670-EF22-4F2C-ACDC-494C1156C979}"/>
    <hyperlink ref="E204" r:id="rId195" display="https://treas-secure.state.mi.us/LAFDocSearch/tl41R01.aspx?&amp;lu_id=379&amp;doc_yr=2016&amp;doc_code=AUD" xr:uid="{BD5A73D7-96A3-4E03-AB49-676DFE367C66}"/>
    <hyperlink ref="E205" r:id="rId196" display="https://treas-secure.state.mi.us/LAFDocSearch/tl41R01.aspx?&amp;lu_id=387&amp;doc_yr=2016&amp;doc_code=AUD" xr:uid="{B70E586B-6A46-4FF5-B71D-4812BDF92977}"/>
    <hyperlink ref="E206" r:id="rId197" display="https://treas-secure.state.mi.us/LAFDocSearch/tl41R01.aspx?&amp;lu_id=339&amp;doc_yr=2016&amp;doc_code=AUD" xr:uid="{0E218556-D38F-4F39-BB84-65245768C3F6}"/>
    <hyperlink ref="E207" r:id="rId198" display="https://treas-secure.state.mi.us/LAFDocSearch/tl41R01.aspx?&amp;lu_id=383&amp;doc_yr=2016&amp;doc_code=AUD" xr:uid="{6A3BE839-9143-44A6-BAF2-FB286B23E1FA}"/>
    <hyperlink ref="E208" r:id="rId199" display="https://treas-secure.state.mi.us/LAFDocSearch/tl41R01.aspx?&amp;lu_id=382&amp;doc_yr=2016&amp;doc_code=AUD" xr:uid="{B552FE0D-0F26-4D50-B055-2AD6A97231DE}"/>
    <hyperlink ref="E209" r:id="rId200" display="https://treas-secure.state.mi.us/LAFDocSearch/tl41R01.aspx?&amp;lu_id=7821&amp;doc_yr=2016&amp;doc_code=AUD" xr:uid="{2D7EC5E6-4178-4B60-9789-4727A03CD760}"/>
    <hyperlink ref="E210" r:id="rId201" display="https://treas-secure.state.mi.us/LAFDocSearch/tl41R01.aspx?&amp;lu_id=377&amp;doc_yr=2016&amp;doc_code=AUD" xr:uid="{05DC81F9-B1B2-4065-A7F0-5CB5C9133BD1}"/>
    <hyperlink ref="E211" r:id="rId202" display="https://treas-secure.state.mi.us/LAFDocSearch/tl41R01.aspx?&amp;lu_id=386&amp;doc_yr=2016&amp;doc_code=AUD" xr:uid="{9AE5BC45-BD0E-4C5F-B4EB-4C0B9E60C22C}"/>
    <hyperlink ref="E212" r:id="rId203" display="https://treas-secure.state.mi.us/LAFDocSearch/tl41R01.aspx?&amp;lu_id=323&amp;doc_yr=2016&amp;doc_code=AUD" xr:uid="{F615D06F-29A7-4DFA-8AFB-1F3C46C9037F}"/>
    <hyperlink ref="E213" r:id="rId204" display="https://treas-secure.state.mi.us/LAFDocSearch/tl41R01.aspx?&amp;lu_id=380&amp;doc_yr=2016&amp;doc_code=AUD" xr:uid="{880F493E-0F78-4EBA-9583-DB8563ABAA63}"/>
    <hyperlink ref="E214" r:id="rId205" display="https://treas-secure.state.mi.us/LAFDocSearch/tl41R01.aspx?&amp;lu_id=381&amp;doc_yr=2016&amp;doc_code=AUD" xr:uid="{6AA9BC41-29A7-45E3-8C03-5F0C1BC516CB}"/>
    <hyperlink ref="E215" r:id="rId206" display="https://treas-secure.state.mi.us/LAFDocSearch/tl41R01.aspx?&amp;lu_id=325&amp;doc_yr=2016&amp;doc_code=AUD" xr:uid="{BC8F397E-B58C-42F2-9624-FC811849C11D}"/>
    <hyperlink ref="E216" r:id="rId207" display="https://treas-secure.state.mi.us/LAFDocSearch/tl41R01.aspx?&amp;lu_id=388&amp;doc_yr=2016&amp;doc_code=AUD" xr:uid="{E223C838-2E83-4B95-9B88-C5C445BFA21C}"/>
    <hyperlink ref="E217" r:id="rId208" display="https://treas-secure.state.mi.us/LAFDocSearch/tl41R01.aspx?&amp;lu_id=340&amp;doc_yr=2016&amp;doc_code=AUD" xr:uid="{16A45FF8-DEC5-440F-850A-CFBB470841BF}"/>
    <hyperlink ref="E218" r:id="rId209" display="https://treas-secure.state.mi.us/LAFDocSearch/tl41R01.aspx?&amp;lu_id=326&amp;doc_yr=2016&amp;doc_code=AUD" xr:uid="{19D32725-F774-4072-A23D-7C54BD82DCD1}"/>
    <hyperlink ref="E219" r:id="rId210" display="https://treas-secure.state.mi.us/LAFDocSearch/tl41R01.aspx?&amp;lu_id=327&amp;doc_yr=2016&amp;doc_code=AUD" xr:uid="{44C5361F-9D0C-438E-823B-EF32411EDE24}"/>
    <hyperlink ref="E220" r:id="rId211" display="https://treas-secure.state.mi.us/LAFDocSearch/tl41R01.aspx?&amp;lu_id=330&amp;doc_yr=2016&amp;doc_code=AUD" xr:uid="{DB03E6AB-6C77-45A3-B2E8-8EE15FBE4E54}"/>
    <hyperlink ref="E221" r:id="rId212" display="https://treas-secure.state.mi.us/LAFDocSearch/tl41R01.aspx?&amp;lu_id=331&amp;doc_yr=2016&amp;doc_code=AUD" xr:uid="{F589D3EA-9339-49A2-B789-97192CB691D1}"/>
    <hyperlink ref="E222" r:id="rId213" display="https://treas-secure.state.mi.us/LAFDocSearch/tl41R01.aspx?&amp;lu_id=364&amp;doc_yr=2016&amp;doc_code=AUD" xr:uid="{8642A918-87CD-474A-8CC8-224C856E3AFA}"/>
    <hyperlink ref="E223" r:id="rId214" display="https://treas-secure.state.mi.us/LAFDocSearch/tl41R01.aspx?&amp;lu_id=365&amp;doc_yr=2016&amp;doc_code=AUD" xr:uid="{076FB61A-5ABB-4CC7-80FF-0C816C60FA74}"/>
    <hyperlink ref="E224" r:id="rId215" display="https://treas-secure.state.mi.us/LAFDocSearch/tl41R01.aspx?&amp;lu_id=332&amp;doc_yr=2016&amp;doc_code=AUD" xr:uid="{5CEF712D-92D5-4DEA-BE08-963F36034B49}"/>
    <hyperlink ref="E225" r:id="rId216" display="https://treas-secure.state.mi.us/LAFDocSearch/tl41R01.aspx?&amp;lu_id=333&amp;doc_yr=2016&amp;doc_code=AUD" xr:uid="{00A5FAB6-A32B-4635-B29A-AD7C9FDA668A}"/>
    <hyperlink ref="E226" r:id="rId217" display="https://treas-secure.state.mi.us/LAFDocSearch/tl41R01.aspx?&amp;lu_id=374&amp;doc_yr=2016&amp;doc_code=AUD" xr:uid="{8A478614-A155-44F5-AB61-258F15E77CDC}"/>
    <hyperlink ref="E227" r:id="rId218" display="https://treas-secure.state.mi.us/LAFDocSearch/tl41R01.aspx?&amp;lu_id=334&amp;doc_yr=2016&amp;doc_code=AUD" xr:uid="{0DBB8438-830A-45B9-A582-684CF6BC1E83}"/>
    <hyperlink ref="E228" r:id="rId219" display="https://treas-secure.state.mi.us/LAFDocSearch/tl41R01.aspx?&amp;lu_id=341&amp;doc_yr=2016&amp;doc_code=AUD" xr:uid="{5FF29245-B481-425A-81F7-D11FBF6CE2A1}"/>
    <hyperlink ref="E229" r:id="rId220" display="https://treas-secure.state.mi.us/LAFDocSearch/tl41R01.aspx?&amp;lu_id=335&amp;doc_yr=2016&amp;doc_code=AUD" xr:uid="{417F1F9D-678D-4232-BA3D-F77EF16DAE66}"/>
    <hyperlink ref="E230" r:id="rId221" display="https://treas-secure.state.mi.us/LAFDocSearch/tl41R01.aspx?&amp;lu_id=378&amp;doc_yr=2016&amp;doc_code=AUD" xr:uid="{FE80CEC6-D7DF-422C-ABDA-F736620C2A62}"/>
    <hyperlink ref="E231" r:id="rId222" display="https://treas-secure.state.mi.us/LAFDocSearch/tl41R01.aspx?&amp;lu_id=336&amp;doc_yr=2016&amp;doc_code=AUD" xr:uid="{A02B4115-CB53-44F8-A445-A1B06B40FF49}"/>
    <hyperlink ref="E232" r:id="rId223" display="https://treas-secure.state.mi.us/LAFDocSearch/tl41R01.aspx?&amp;lu_id=376&amp;doc_yr=2016&amp;doc_code=AUD" xr:uid="{EE33BE0F-CB6E-475A-8D19-A184E4EFA650}"/>
    <hyperlink ref="E233" r:id="rId224" display="https://treas-secure.state.mi.us/LAFDocSearch/tl41R01.aspx?&amp;lu_id=337&amp;doc_yr=2016&amp;doc_code=AUD" xr:uid="{8DC3BB80-4540-48CE-984B-00C22F1BD300}"/>
    <hyperlink ref="E235" r:id="rId225" display="https://treas-secure.state.mi.us/LAFDocSearch/tl41R01.aspx?&amp;lu_id=392&amp;doc_yr=2016&amp;doc_code=AUD" xr:uid="{E8D5F6C2-BC3F-433B-B3A6-30F4D94C8953}"/>
    <hyperlink ref="E236" r:id="rId226" display="https://treas-secure.state.mi.us/LAFDocSearch/tl41R01.aspx?&amp;lu_id=390&amp;doc_yr=2016&amp;doc_code=AUD" xr:uid="{C88A2CF1-494A-48BB-811C-324DFC708A65}"/>
    <hyperlink ref="E237" r:id="rId227" display="https://treas-secure.state.mi.us/LAFDocSearch/tl41R01.aspx?&amp;lu_id=391&amp;doc_yr=2016&amp;doc_code=AUD" xr:uid="{C60844E7-EC7A-4DAB-BBAB-46522D7FB2C7}"/>
    <hyperlink ref="E238" r:id="rId228" display="https://treas-secure.state.mi.us/LAFDocSearch/tl41R01.aspx?&amp;lu_id=416&amp;doc_yr=2016&amp;doc_code=AUD" xr:uid="{D7606B29-FB33-4157-B531-A29AC4B8DA46}"/>
    <hyperlink ref="E239" r:id="rId229" display="https://treas-secure.state.mi.us/LAFDocSearch/tl41R01.aspx?&amp;lu_id=420&amp;doc_yr=2016&amp;doc_code=AUD" xr:uid="{A748AA30-B8DF-468A-8742-C3C6CFB4A98B}"/>
    <hyperlink ref="E240" r:id="rId230" display="https://treas-secure.state.mi.us/LAFDocSearch/tl41R01.aspx?&amp;lu_id=418&amp;doc_yr=2016&amp;doc_code=AUD" xr:uid="{6DD248AB-010A-4E61-B647-D5945CA4FC2C}"/>
    <hyperlink ref="E241" r:id="rId231" display="https://treas-secure.state.mi.us/LAFDocSearch/tl41R01.aspx?&amp;lu_id=393&amp;doc_yr=2016&amp;doc_code=AUD" xr:uid="{10DD90E1-72FC-4BFE-8AD6-34697356A2FC}"/>
    <hyperlink ref="E242" r:id="rId232" display="https://treas-secure.state.mi.us/LAFDocSearch/tl41R01.aspx?&amp;lu_id=405&amp;doc_yr=2016&amp;doc_code=AUD" xr:uid="{3E7A37C9-660A-4B8A-86B3-D228904CFA97}"/>
    <hyperlink ref="E243" r:id="rId233" display="https://treas-secure.state.mi.us/LAFDocSearch/tl41R01.aspx?&amp;lu_id=424&amp;doc_yr=2016&amp;doc_code=AUD" xr:uid="{DBACC3D6-F48A-40FA-8B67-B63F9EA67EEA}"/>
    <hyperlink ref="E244" r:id="rId234" display="https://treas-secure.state.mi.us/LAFDocSearch/tl41R01.aspx?&amp;lu_id=413&amp;doc_yr=2016&amp;doc_code=AUD" xr:uid="{7E1E2A9F-B186-45FD-8BA9-7AA49A1FC131}"/>
    <hyperlink ref="E245" r:id="rId235" display="https://treas-secure.state.mi.us/LAFDocSearch/tl41R01.aspx?&amp;lu_id=406&amp;doc_yr=2016&amp;doc_code=AUD" xr:uid="{2CC304D4-762D-493C-AAE6-5F90634B83D9}"/>
    <hyperlink ref="E246" r:id="rId236" display="https://treas-secure.state.mi.us/LAFDocSearch/tl41R01.aspx?&amp;lu_id=394&amp;doc_yr=2016&amp;doc_code=AUD" xr:uid="{9D723286-9F15-45DF-ABDD-04A765FAD01C}"/>
    <hyperlink ref="E247" r:id="rId237" display="https://treas-secure.state.mi.us/LAFDocSearch/tl41R01.aspx?&amp;lu_id=396&amp;doc_yr=2016&amp;doc_code=AUD" xr:uid="{E37535EF-8138-47EA-B990-29B3D0F5A711}"/>
    <hyperlink ref="E248" r:id="rId238" display="https://treas-secure.state.mi.us/LAFDocSearch/tl41R01.aspx?&amp;lu_id=407&amp;doc_yr=2016&amp;doc_code=AUD" xr:uid="{B56F9381-47B8-4239-87F2-0794BD34B038}"/>
    <hyperlink ref="E249" r:id="rId239" display="https://treas-secure.state.mi.us/LAFDocSearch/tl41R01.aspx?&amp;lu_id=404&amp;doc_yr=2016&amp;doc_code=AUD" xr:uid="{14145AF8-1FD3-4C78-ACE0-37CD70A25A86}"/>
    <hyperlink ref="E250" r:id="rId240" display="https://treas-secure.state.mi.us/LAFDocSearch/tl41R01.aspx?&amp;lu_id=417&amp;doc_yr=2016&amp;doc_code=AUD" xr:uid="{5457A538-A838-426D-BE9C-974D37272F03}"/>
    <hyperlink ref="E251" r:id="rId241" display="https://treas-secure.state.mi.us/LAFDocSearch/tl41R01.aspx?&amp;lu_id=398&amp;doc_yr=2016&amp;doc_code=AUD" xr:uid="{84075E97-DA0A-40DC-9C12-54E7750AA09C}"/>
    <hyperlink ref="E252" r:id="rId242" display="https://treas-secure.state.mi.us/LAFDocSearch/tl41R01.aspx?&amp;lu_id=408&amp;doc_yr=2016&amp;doc_code=AUD" xr:uid="{BF92742C-E6B4-4724-BE15-123661F581D1}"/>
    <hyperlink ref="E253" r:id="rId243" display="https://treas-secure.state.mi.us/LAFDocSearch/tl41R01.aspx?&amp;lu_id=399&amp;doc_yr=2016&amp;doc_code=AUD" xr:uid="{C703D170-8DE8-4A93-9AD8-9CCABEE7062B}"/>
    <hyperlink ref="E254" r:id="rId244" display="https://treas-secure.state.mi.us/LAFDocSearch/tl41R01.aspx?&amp;lu_id=400&amp;doc_yr=2016&amp;doc_code=AUD" xr:uid="{1FCBE57B-4704-4930-971C-6CEAE2217ACE}"/>
    <hyperlink ref="E255" r:id="rId245" display="https://treas-secure.state.mi.us/LAFDocSearch/tl41R01.aspx?&amp;lu_id=401&amp;doc_yr=2016&amp;doc_code=AUD" xr:uid="{74D66F5D-A2D1-41A3-AD64-33667FE3DB84}"/>
    <hyperlink ref="E256" r:id="rId246" display="https://treas-secure.state.mi.us/LAFDocSearch/tl41R01.aspx?&amp;lu_id=409&amp;doc_yr=2016&amp;doc_code=AUD" xr:uid="{26E9000D-264B-4288-B3FA-6B00591B43BE}"/>
    <hyperlink ref="E257" r:id="rId247" display="https://treas-secure.state.mi.us/LAFDocSearch/tl41R01.aspx?&amp;lu_id=419&amp;doc_yr=2016&amp;doc_code=AUD" xr:uid="{D16C1FFB-15E5-4E40-8900-35798D4517A0}"/>
    <hyperlink ref="E258" r:id="rId248" display="https://treas-secure.state.mi.us/LAFDocSearch/tl41R01.aspx?&amp;lu_id=402&amp;doc_yr=2016&amp;doc_code=AUD" xr:uid="{2982F60F-A525-4DC4-876C-ECC539B9B399}"/>
    <hyperlink ref="E259" r:id="rId249" display="https://treas-secure.state.mi.us/LAFDocSearch/tl41R01.aspx?&amp;lu_id=403&amp;doc_yr=2016&amp;doc_code=AUD" xr:uid="{77582BB5-886F-4CB7-9BA3-7CC00BC7AEE2}"/>
    <hyperlink ref="E261" r:id="rId250" display="https://treas-secure.state.mi.us/LAFDocSearch/tl41R01.aspx?&amp;lu_id=427&amp;doc_yr=2016&amp;doc_code=AUD" xr:uid="{034B217E-A1B4-44A0-8588-E29A85D7F56E}"/>
    <hyperlink ref="E262" r:id="rId251" display="https://treas-secure.state.mi.us/LAFDocSearch/tl41R01.aspx?&amp;lu_id=428&amp;doc_yr=2016&amp;doc_code=AUD" xr:uid="{58E7E676-9EBE-4DC8-9935-6BBBC831F219}"/>
    <hyperlink ref="E263" r:id="rId252" display="https://treas-secure.state.mi.us/LAFDocSearch/tl41R01.aspx?&amp;lu_id=457&amp;doc_yr=2016&amp;doc_code=AUD" xr:uid="{F8F2B601-B93E-434F-9BB1-17D6ED965571}"/>
    <hyperlink ref="E264" r:id="rId253" display="https://treas-secure.state.mi.us/LAFDocSearch/tl41R01.aspx?&amp;lu_id=6110&amp;doc_yr=2016&amp;doc_code=AUD" xr:uid="{BC9230D2-D1BA-425D-A21F-5B3B50F7097B}"/>
    <hyperlink ref="E265" r:id="rId254" display="https://treas-secure.state.mi.us/LAFDocSearch/tl41R01.aspx?&amp;lu_id=429&amp;doc_yr=2016&amp;doc_code=AUD" xr:uid="{3C95A2B7-3FFE-4009-9934-983B14AA7171}"/>
    <hyperlink ref="E266" r:id="rId255" display="https://treas-secure.state.mi.us/LAFDocSearch/tl41R01.aspx?&amp;lu_id=449&amp;doc_yr=2016&amp;doc_code=AUD" xr:uid="{A7DAFAF1-F79D-4D04-BC49-CBD99E7D0138}"/>
    <hyperlink ref="E267" r:id="rId256" display="https://treas-secure.state.mi.us/LAFDocSearch/tl41R01.aspx?&amp;lu_id=503&amp;doc_yr=2016&amp;doc_code=AUD" xr:uid="{9E60BA0B-0A6A-436D-9FE8-DE0AF9749C1C}"/>
    <hyperlink ref="E268" r:id="rId257" display="https://treas-secure.state.mi.us/LAFDocSearch/tl41R01.aspx?&amp;lu_id=528&amp;doc_yr=2016&amp;doc_code=AUD" xr:uid="{5A1A083B-1B17-4A1B-AC08-6571F8988BB6}"/>
    <hyperlink ref="E269" r:id="rId258" display="https://treas-secure.state.mi.us/LAFDocSearch/tl41R01.aspx?&amp;lu_id=549&amp;doc_yr=2016&amp;doc_code=AUD" xr:uid="{C53A6EFC-7FBC-4201-83D5-19EF2F75C45F}"/>
    <hyperlink ref="E270" r:id="rId259" display="https://treas-secure.state.mi.us/LAFDocSearch/tl41R01.aspx?&amp;lu_id=522&amp;doc_yr=2016&amp;doc_code=AUD" xr:uid="{7EA211E5-B796-4925-A3BF-D840451AC1C1}"/>
    <hyperlink ref="E271" r:id="rId260" display="https://treas-secure.state.mi.us/LAFDocSearch/tl41R01.aspx?&amp;lu_id=425&amp;doc_yr=2016&amp;doc_code=AUD" xr:uid="{B508AE18-B733-4850-B685-854024EC2A31}"/>
    <hyperlink ref="E272" r:id="rId261" display="https://treas-secure.state.mi.us/LAFDocSearch/tl41R01.aspx?&amp;lu_id=430&amp;doc_yr=2016&amp;doc_code=AUD" xr:uid="{1E4BFFFC-D427-4B4A-ADC4-47FB84BFA9F5}"/>
    <hyperlink ref="E273" r:id="rId262" display="https://treas-secure.state.mi.us/LAFDocSearch/tl41R01.aspx?&amp;lu_id=536&amp;doc_yr=2016&amp;doc_code=AUD" xr:uid="{23581215-0EF9-4DA6-B760-6685D7639DE6}"/>
    <hyperlink ref="E274" r:id="rId263" display="https://treas-secure.state.mi.us/LAFDocSearch/tl41R01.aspx?&amp;lu_id=7822&amp;doc_yr=2016&amp;doc_code=AUD" xr:uid="{0F7A1C48-EDC6-479E-96E4-22C25F05E16D}"/>
    <hyperlink ref="E275" r:id="rId264" display="https://treas-secure.state.mi.us/LAFDocSearch/tl41R01.aspx?&amp;lu_id=5949&amp;doc_yr=2016&amp;doc_code=AUD" xr:uid="{8FBA7343-C629-40FD-8852-79F0C6FEF040}"/>
    <hyperlink ref="E276" r:id="rId265" display="https://treas-secure.state.mi.us/LAFDocSearch/tl41R01.aspx?&amp;lu_id=531&amp;doc_yr=2016&amp;doc_code=AUD" xr:uid="{BBD12293-A7FB-4A5B-8E04-1913AEDE4779}"/>
    <hyperlink ref="E277" r:id="rId266" display="https://treas-secure.state.mi.us/LAFDocSearch/tl41R01.aspx?&amp;lu_id=426&amp;doc_yr=2016&amp;doc_code=AUD" xr:uid="{9435BFAB-5E01-4C55-AD16-9CE8BE0F0FEB}"/>
    <hyperlink ref="E278" r:id="rId267" display="https://treas-secure.state.mi.us/LAFDocSearch/tl41R01.aspx?&amp;lu_id=521&amp;doc_yr=2016&amp;doc_code=AUD" xr:uid="{995D8DB4-76FF-43C4-B34D-C7FE85756BB9}"/>
    <hyperlink ref="E279" r:id="rId268" display="https://treas-secure.state.mi.us/LAFDocSearch/tl41R01.aspx?&amp;lu_id=458&amp;doc_yr=2016&amp;doc_code=AUD" xr:uid="{C012964E-4A5D-44FD-AD74-FABDEBBEBBF8}"/>
    <hyperlink ref="E280" r:id="rId269" display="https://treas-secure.state.mi.us/LAFDocSearch/tl41R01.aspx?&amp;lu_id=540&amp;doc_yr=2016&amp;doc_code=AUD" xr:uid="{5B4F9B95-9536-4FA2-9573-031173013394}"/>
    <hyperlink ref="E281" r:id="rId270" display="https://treas-secure.state.mi.us/LAFDocSearch/tl41R01.aspx?&amp;lu_id=431&amp;doc_yr=2016&amp;doc_code=AUD" xr:uid="{CB5914A0-3698-401A-AA63-B241AA90DE4A}"/>
    <hyperlink ref="E282" r:id="rId271" display="https://treas-secure.state.mi.us/LAFDocSearch/tl41R01.aspx?&amp;lu_id=450&amp;doc_yr=2016&amp;doc_code=AUD" xr:uid="{2EA95E52-C3B2-41D3-ABA4-DB35C6DE7153}"/>
    <hyperlink ref="E283" r:id="rId272" display="https://treas-secure.state.mi.us/LAFDocSearch/tl41R01.aspx?&amp;lu_id=548&amp;doc_yr=2016&amp;doc_code=AUD" xr:uid="{6F9D8A87-CA0E-4D00-BD4C-8F7CA06EA240}"/>
    <hyperlink ref="E284" r:id="rId273" display="https://treas-secure.state.mi.us/LAFDocSearch/tl41R01.aspx?&amp;lu_id=451&amp;doc_yr=2016&amp;doc_code=AUD" xr:uid="{4F9A8437-36DD-4B31-A845-89292825BDA6}"/>
    <hyperlink ref="E285" r:id="rId274" display="https://treas-secure.state.mi.us/LAFDocSearch/tl41R01.aspx?&amp;lu_id=432&amp;doc_yr=2016&amp;doc_code=AUD" xr:uid="{2251D1AE-516E-4142-9795-3AC04BBED243}"/>
    <hyperlink ref="E286" r:id="rId275" display="https://treas-secure.state.mi.us/LAFDocSearch/tl41R01.aspx?&amp;lu_id=524&amp;doc_yr=2016&amp;doc_code=AUD" xr:uid="{994CF45C-BA53-4E9D-A952-F1CC92551D7E}"/>
    <hyperlink ref="E287" r:id="rId276" display="https://treas-secure.state.mi.us/LAFDocSearch/tl41R01.aspx?&amp;lu_id=541&amp;doc_yr=2016&amp;doc_code=AUD" xr:uid="{94409F26-8930-4DE1-B685-CF1755CA2BEE}"/>
    <hyperlink ref="E288" r:id="rId277" display="https://treas-secure.state.mi.us/LAFDocSearch/tl41R01.aspx?&amp;lu_id=433&amp;doc_yr=2016&amp;doc_code=AUD" xr:uid="{4475A3CF-2576-441D-8C71-95553F252C32}"/>
    <hyperlink ref="E289" r:id="rId278" display="https://treas-secure.state.mi.us/LAFDocSearch/tl41R01.aspx?&amp;lu_id=452&amp;doc_yr=2016&amp;doc_code=AUD" xr:uid="{6C75FB19-9FB1-4C87-BB5B-4D0CB6403A30}"/>
    <hyperlink ref="E290" r:id="rId279" display="https://treas-secure.state.mi.us/LAFDocSearch/tl41R01.aspx?&amp;lu_id=434&amp;doc_yr=2016&amp;doc_code=AUD" xr:uid="{D92C4456-CD0C-4583-BCF5-A4E8077DA809}"/>
    <hyperlink ref="E291" r:id="rId280" display="https://treas-secure.state.mi.us/LAFDocSearch/tl41R01.aspx?&amp;lu_id=526&amp;doc_yr=2016&amp;doc_code=AUD" xr:uid="{E797FFAE-B33F-4F52-95A0-D5794879A416}"/>
    <hyperlink ref="E292" r:id="rId281" display="https://treas-secure.state.mi.us/LAFDocSearch/tl41R01.aspx?&amp;lu_id=542&amp;doc_yr=2016&amp;doc_code=AUD" xr:uid="{C7A24747-7FD8-4657-B3B6-6CFB75791B5B}"/>
    <hyperlink ref="E293" r:id="rId282" display="https://treas-secure.state.mi.us/LAFDocSearch/tl41R01.aspx?&amp;lu_id=459&amp;doc_yr=2016&amp;doc_code=AUD" xr:uid="{AB4BCC77-6ECE-4554-9C59-C37CE98F2707}"/>
    <hyperlink ref="E294" r:id="rId283" display="https://treas-secure.state.mi.us/LAFDocSearch/tl41R01.aspx?&amp;lu_id=543&amp;doc_yr=2016&amp;doc_code=AUD" xr:uid="{315EF278-A444-4504-AD52-EB1F3993A5DF}"/>
    <hyperlink ref="E295" r:id="rId284" display="https://treas-secure.state.mi.us/LAFDocSearch/tl41R01.aspx?&amp;lu_id=435&amp;doc_yr=2016&amp;doc_code=AUD" xr:uid="{155A7E9D-649F-454C-9753-D1A94BCEF7C6}"/>
    <hyperlink ref="E296" r:id="rId285" display="https://treas-secure.state.mi.us/LAFDocSearch/tl41R01.aspx?&amp;lu_id=460&amp;doc_yr=2016&amp;doc_code=AUD" xr:uid="{E2BE6BA1-D596-4FB0-BB9C-812E701893AE}"/>
    <hyperlink ref="E297" r:id="rId286" display="https://treas-secure.state.mi.us/LAFDocSearch/tl41R01.aspx?&amp;lu_id=461&amp;doc_yr=2016&amp;doc_code=AUD" xr:uid="{53D2438A-0020-4AF7-BAE6-7E00B18B8BEC}"/>
    <hyperlink ref="E298" r:id="rId287" display="https://treas-secure.state.mi.us/LAFDocSearch/tl41R01.aspx?&amp;lu_id=519&amp;doc_yr=2016&amp;doc_code=AUD" xr:uid="{42B7ECBA-57BC-43AC-904E-AAB1841CB53D}"/>
    <hyperlink ref="E299" r:id="rId288" display="https://treas-secure.state.mi.us/LAFDocSearch/tl41R01.aspx?&amp;lu_id=436&amp;doc_yr=2016&amp;doc_code=AUD" xr:uid="{F0D89C28-3C88-46A9-AE7B-04F988805A9B}"/>
    <hyperlink ref="E300" r:id="rId289" display="https://treas-secure.state.mi.us/LAFDocSearch/tl41R01.aspx?&amp;lu_id=437&amp;doc_yr=2016&amp;doc_code=AUD" xr:uid="{BF1F3759-1B3E-426E-BC78-E4769E724846}"/>
    <hyperlink ref="E301" r:id="rId290" display="https://treas-secure.state.mi.us/LAFDocSearch/tl41R01.aspx?&amp;lu_id=532&amp;doc_yr=2016&amp;doc_code=AUD" xr:uid="{7CDA9BF3-6310-4C7D-B5F1-B15A076B23D9}"/>
    <hyperlink ref="E302" r:id="rId291" display="https://treas-secure.state.mi.us/LAFDocSearch/tl41R01.aspx?&amp;lu_id=487&amp;doc_yr=2016&amp;doc_code=AUD" xr:uid="{CB7DB49E-DCA0-4A68-99AF-EF9443B1CAFD}"/>
    <hyperlink ref="E303" r:id="rId292" display="https://treas-secure.state.mi.us/LAFDocSearch/tl41R01.aspx?&amp;lu_id=438&amp;doc_yr=2016&amp;doc_code=AUD" xr:uid="{589AA0E2-D1A9-4778-B5DA-BB4B9803A0D1}"/>
    <hyperlink ref="E304" r:id="rId293" display="https://treas-secure.state.mi.us/LAFDocSearch/tl41R01.aspx?&amp;lu_id=546&amp;doc_yr=2016&amp;doc_code=AUD" xr:uid="{797505AB-F359-4FA2-84DA-E0162F26A349}"/>
    <hyperlink ref="E305" r:id="rId294" display="https://treas-secure.state.mi.us/LAFDocSearch/tl41R01.aspx?&amp;lu_id=462&amp;doc_yr=2016&amp;doc_code=AUD" xr:uid="{DEE7DCA6-B788-4FE4-8D7C-39D679C3E036}"/>
    <hyperlink ref="E306" r:id="rId295" display="https://treas-secure.state.mi.us/LAFDocSearch/tl41R01.aspx?&amp;lu_id=453&amp;doc_yr=2016&amp;doc_code=AUD" xr:uid="{7D6F7B92-55DC-4396-A618-3CA2DD76271B}"/>
    <hyperlink ref="E307" r:id="rId296" display="https://treas-secure.state.mi.us/LAFDocSearch/tl41R01.aspx?&amp;lu_id=439&amp;doc_yr=2016&amp;doc_code=AUD" xr:uid="{A8A83BCA-32A7-4159-A14B-F679868B1A2F}"/>
    <hyperlink ref="E308" r:id="rId297" display="https://treas-secure.state.mi.us/LAFDocSearch/tl41R01.aspx?&amp;lu_id=6146&amp;doc_yr=2016&amp;doc_code=AUD" xr:uid="{9AA04326-138B-4F55-BD55-25F24FB4BB63}"/>
    <hyperlink ref="E309" r:id="rId298" display="https://treas-secure.state.mi.us/LAFDocSearch/tl41R01.aspx?&amp;lu_id=550&amp;doc_yr=2016&amp;doc_code=AUD" xr:uid="{6A4AF414-2B53-4F7F-A231-AF8EE5A988C7}"/>
    <hyperlink ref="E310" r:id="rId299" display="https://treas-secure.state.mi.us/LAFDocSearch/tl41R01.aspx?&amp;lu_id=454&amp;doc_yr=2016&amp;doc_code=AUD" xr:uid="{B5A7458E-2292-410F-9EB7-4F8052F9E4AD}"/>
    <hyperlink ref="E311" r:id="rId300" display="https://treas-secure.state.mi.us/LAFDocSearch/tl41R01.aspx?&amp;lu_id=440&amp;doc_yr=2016&amp;doc_code=AUD" xr:uid="{4C44E5D5-E1A1-4FCA-A679-DFB9BAE7DB80}"/>
    <hyperlink ref="E312" r:id="rId301" display="https://treas-secure.state.mi.us/LAFDocSearch/tl41R01.aspx?&amp;lu_id=545&amp;doc_yr=2016&amp;doc_code=AUD" xr:uid="{158EFA0E-03B7-42F5-BCBF-D14C44F7F95B}"/>
    <hyperlink ref="E313" r:id="rId302" display="https://treas-secure.state.mi.us/LAFDocSearch/tl41R01.aspx?&amp;lu_id=523&amp;doc_yr=2016&amp;doc_code=AUD" xr:uid="{349137B2-233B-401A-9B8F-61BC58C3515C}"/>
    <hyperlink ref="E314" r:id="rId303" display="https://treas-secure.state.mi.us/LAFDocSearch/tl41R01.aspx?&amp;lu_id=441&amp;doc_yr=2016&amp;doc_code=AUD" xr:uid="{EBE879C0-73EB-4042-A4E2-57BCD918146E}"/>
    <hyperlink ref="E315" r:id="rId304" display="https://treas-secure.state.mi.us/LAFDocSearch/tl41R01.aspx?&amp;lu_id=442&amp;doc_yr=2016&amp;doc_code=AUD" xr:uid="{A33891C2-7DC6-41AF-B244-D5C8C8B4BB2E}"/>
    <hyperlink ref="E316" r:id="rId305" display="https://treas-secure.state.mi.us/LAFDocSearch/tl41R01.aspx?&amp;lu_id=443&amp;doc_yr=2016&amp;doc_code=AUD" xr:uid="{15665CDD-5059-46DF-BDBF-AC53DBD8D001}"/>
    <hyperlink ref="E317" r:id="rId306" display="https://treas-secure.state.mi.us/LAFDocSearch/tl41R01.aspx?&amp;lu_id=506&amp;doc_yr=2016&amp;doc_code=AUD" xr:uid="{6D564767-7BE8-4333-B929-4C67BFAAB893}"/>
    <hyperlink ref="E318" r:id="rId307" display="https://treas-secure.state.mi.us/LAFDocSearch/tl41R01.aspx?&amp;lu_id=463&amp;doc_yr=2016&amp;doc_code=AUD" xr:uid="{D5EC8996-C43C-4153-AE36-110F1717B399}"/>
    <hyperlink ref="E319" r:id="rId308" display="https://treas-secure.state.mi.us/LAFDocSearch/tl41R01.aspx?&amp;lu_id=445&amp;doc_yr=2016&amp;doc_code=AUD" xr:uid="{E7BB0256-1E00-45BD-B796-2154E57ED08E}"/>
    <hyperlink ref="E320" r:id="rId309" display="https://treas-secure.state.mi.us/LAFDocSearch/tl41R01.aspx?&amp;lu_id=538&amp;doc_yr=2016&amp;doc_code=AUD" xr:uid="{D09A10B4-52BD-4591-AD6C-A6FD75C55B33}"/>
    <hyperlink ref="E321" r:id="rId310" display="https://treas-secure.state.mi.us/LAFDocSearch/tl41R01.aspx?&amp;lu_id=529&amp;doc_yr=2016&amp;doc_code=AUD" xr:uid="{7CF92450-FB07-4C9B-A9C3-3D36B71D62E5}"/>
    <hyperlink ref="E322" r:id="rId311" display="https://treas-secure.state.mi.us/LAFDocSearch/tl41R01.aspx?&amp;lu_id=520&amp;doc_yr=2016&amp;doc_code=AUD" xr:uid="{2C621A93-79AE-43B8-8857-D9F4827FF2E8}"/>
    <hyperlink ref="E323" r:id="rId312" display="https://treas-secure.state.mi.us/LAFDocSearch/tl41R01.aspx?&amp;lu_id=455&amp;doc_yr=2016&amp;doc_code=AUD" xr:uid="{8428497D-46B2-4CDD-A85B-F61B758C80C3}"/>
    <hyperlink ref="E324" r:id="rId313" display="https://treas-secure.state.mi.us/LAFDocSearch/tl41R01.aspx?&amp;lu_id=444&amp;doc_yr=2016&amp;doc_code=AUD" xr:uid="{1C4DCA63-A442-4B60-AEE0-9A1532F6DE4D}"/>
    <hyperlink ref="E325" r:id="rId314" display="https://treas-secure.state.mi.us/LAFDocSearch/tl41R01.aspx?&amp;lu_id=534&amp;doc_yr=2016&amp;doc_code=AUD" xr:uid="{F6A422F9-A741-48DF-9F82-B7284B78095B}"/>
    <hyperlink ref="E326" r:id="rId315" display="https://treas-secure.state.mi.us/LAFDocSearch/tl41R01.aspx?&amp;lu_id=464&amp;doc_yr=2016&amp;doc_code=AUD" xr:uid="{A3C5CD10-00A2-427B-A493-91374F9042F0}"/>
    <hyperlink ref="E327" r:id="rId316" display="https://treas-secure.state.mi.us/LAFDocSearch/tl41R01.aspx?&amp;lu_id=446&amp;doc_yr=2016&amp;doc_code=AUD" xr:uid="{58695114-CB4B-453C-A632-DACAEC570703}"/>
    <hyperlink ref="E328" r:id="rId317" display="https://treas-secure.state.mi.us/LAFDocSearch/tl41R01.aspx?&amp;lu_id=465&amp;doc_yr=2016&amp;doc_code=AUD" xr:uid="{21F18D9A-2669-4041-9DA7-2E44BC4E5899}"/>
    <hyperlink ref="E329" r:id="rId318" display="https://treas-secure.state.mi.us/LAFDocSearch/tl41R01.aspx?&amp;lu_id=533&amp;doc_yr=2016&amp;doc_code=AUD" xr:uid="{B7CFD365-A437-4B65-8712-B1BBE6C2BEA4}"/>
    <hyperlink ref="E330" r:id="rId319" display="https://treas-secure.state.mi.us/LAFDocSearch/tl41R01.aspx?&amp;lu_id=456&amp;doc_yr=2016&amp;doc_code=AUD" xr:uid="{6A24D131-42C5-4AF1-957A-7235DF29FD23}"/>
    <hyperlink ref="E331" r:id="rId320" display="https://treas-secure.state.mi.us/LAFDocSearch/tl41R01.aspx?&amp;lu_id=447&amp;doc_yr=2016&amp;doc_code=AUD" xr:uid="{42988E8F-0DAF-4EB4-86BF-A2DDA65A6451}"/>
    <hyperlink ref="E332" r:id="rId321" display="https://treas-secure.state.mi.us/LAFDocSearch/tl41R01.aspx?&amp;lu_id=544&amp;doc_yr=2016&amp;doc_code=AUD" xr:uid="{E92E5F0F-69FB-4EF1-8501-D344B95B5FC8}"/>
    <hyperlink ref="E333" r:id="rId322" display="https://treas-secure.state.mi.us/LAFDocSearch/tl41R01.aspx?&amp;lu_id=527&amp;doc_yr=2016&amp;doc_code=AUD" xr:uid="{42E3F5B8-C2D4-4ECB-A911-DEEED632847D}"/>
    <hyperlink ref="E334" r:id="rId323" display="https://treas-secure.state.mi.us/LAFDocSearch/tl41R01.aspx?&amp;lu_id=448&amp;doc_yr=2016&amp;doc_code=AUD" xr:uid="{5A42B4CC-0FD7-4D79-AA9C-76F61A749B3B}"/>
    <hyperlink ref="E336" r:id="rId324" display="https://treas-secure.state.mi.us/LAFDocSearch/tl41R01.aspx?&amp;lu_id=558&amp;doc_yr=2016&amp;doc_code=AUD" xr:uid="{ADCFAD7B-AB24-4A3A-8554-765A5F234334}"/>
    <hyperlink ref="E337" r:id="rId325" display="https://treas-secure.state.mi.us/LAFDocSearch/tl41R01.aspx?&amp;lu_id=559&amp;doc_yr=2016&amp;doc_code=AUD" xr:uid="{681F546E-8E33-420D-A00D-420B8F2326A8}"/>
    <hyperlink ref="E338" r:id="rId326" display="https://treas-secure.state.mi.us/LAFDocSearch/tl41R01.aspx?&amp;lu_id=556&amp;doc_yr=2016&amp;doc_code=AUD" xr:uid="{C5EFDE4E-F84B-4B1F-AE1F-0A93486D6E82}"/>
    <hyperlink ref="E339" r:id="rId327" display="https://treas-secure.state.mi.us/LAFDocSearch/tl41R01.aspx?&amp;lu_id=594&amp;doc_yr=2016&amp;doc_code=AUD" xr:uid="{80168BB4-06E1-4BB1-A0CD-6186E6C2E9CE}"/>
    <hyperlink ref="E340" r:id="rId328" display="https://treas-secure.state.mi.us/LAFDocSearch/tl41R01.aspx?&amp;lu_id=591&amp;doc_yr=2016&amp;doc_code=AUD" xr:uid="{725361AD-DC93-44DB-B4FA-40CEE7285935}"/>
    <hyperlink ref="E341" r:id="rId329" display="https://treas-secure.state.mi.us/LAFDocSearch/tl41R01.aspx?&amp;lu_id=5988&amp;doc_yr=2016&amp;doc_code=AUD" xr:uid="{17AD24CF-E850-4CD2-A9D7-40C55E0DDDBB}"/>
    <hyperlink ref="E342" r:id="rId330" display="https://treas-secure.state.mi.us/LAFDocSearch/tl41R01.aspx?&amp;lu_id=557&amp;doc_yr=2016&amp;doc_code=AUD" xr:uid="{AF63CD66-60F7-44C1-A59B-23D43D34C65F}"/>
    <hyperlink ref="E343" r:id="rId331" display="https://treas-secure.state.mi.us/LAFDocSearch/tl41R01.aspx?&amp;lu_id=596&amp;doc_yr=2016&amp;doc_code=AUD" xr:uid="{128DC6C4-72FC-4DCB-A270-76F9B549F235}"/>
    <hyperlink ref="E344" r:id="rId332" display="https://treas-secure.state.mi.us/LAFDocSearch/tl41R01.aspx?&amp;lu_id=589&amp;doc_yr=2016&amp;doc_code=AUD" xr:uid="{D6AE41F6-A199-4EAF-A40B-C874E566630C}"/>
    <hyperlink ref="E345" r:id="rId333" display="https://treas-secure.state.mi.us/LAFDocSearch/tl41R01.aspx?&amp;lu_id=574&amp;doc_yr=2016&amp;doc_code=AUD" xr:uid="{5DD04A96-CD23-45EE-ABC7-8D19532A0ECC}"/>
    <hyperlink ref="E346" r:id="rId334" display="https://treas-secure.state.mi.us/LAFDocSearch/tl41R01.aspx?&amp;lu_id=593&amp;doc_yr=2016&amp;doc_code=AUD" xr:uid="{2FFA3772-CA7C-4B6C-BEDA-C3050AAEBD9F}"/>
    <hyperlink ref="E347" r:id="rId335" display="https://treas-secure.state.mi.us/LAFDocSearch/tl41R01.aspx?&amp;lu_id=562&amp;doc_yr=2016&amp;doc_code=AUD" xr:uid="{B3F45721-6E0E-44E0-A538-AC44F1E5A98C}"/>
    <hyperlink ref="E348" r:id="rId336" display="https://treas-secure.state.mi.us/LAFDocSearch/tl41R01.aspx?&amp;lu_id=575&amp;doc_yr=2016&amp;doc_code=AUD" xr:uid="{56151AE6-CB7F-4B9E-8A79-13ABA8DB8EF7}"/>
    <hyperlink ref="E349" r:id="rId337" display="https://treas-secure.state.mi.us/LAFDocSearch/tl41R01.aspx?&amp;lu_id=564&amp;doc_yr=2016&amp;doc_code=AUD" xr:uid="{FBD39DA7-51C0-454D-8DEB-823016F11306}"/>
    <hyperlink ref="E350" r:id="rId338" display="https://treas-secure.state.mi.us/LAFDocSearch/tl41R01.aspx?&amp;lu_id=592&amp;doc_yr=2016&amp;doc_code=AUD" xr:uid="{276A0AE3-3747-482B-8944-ABA3C5BDC082}"/>
    <hyperlink ref="E351" r:id="rId339" display="https://treas-secure.state.mi.us/LAFDocSearch/tl41R01.aspx?&amp;lu_id=565&amp;doc_yr=2016&amp;doc_code=AUD" xr:uid="{5515A119-AFBD-4C2B-A7EC-811C0C895CA2}"/>
    <hyperlink ref="E352" r:id="rId340" display="https://treas-secure.state.mi.us/LAFDocSearch/tl41R01.aspx?&amp;lu_id=566&amp;doc_yr=2016&amp;doc_code=AUD" xr:uid="{7C4ADDDB-33AA-4CE8-97DD-6BF663493A31}"/>
    <hyperlink ref="E353" r:id="rId341" display="https://treas-secure.state.mi.us/LAFDocSearch/tl41R01.aspx?&amp;lu_id=567&amp;doc_yr=2016&amp;doc_code=AUD" xr:uid="{B5BC8FA7-3061-4AF1-A596-16334A4E96F9}"/>
    <hyperlink ref="E354" r:id="rId342" display="https://treas-secure.state.mi.us/LAFDocSearch/tl41R01.aspx?&amp;lu_id=568&amp;doc_yr=2016&amp;doc_code=AUD" xr:uid="{39DACCDC-A1B4-45BD-B0F2-9BFB4891A36C}"/>
    <hyperlink ref="E355" r:id="rId343" display="https://treas-secure.state.mi.us/LAFDocSearch/tl41R01.aspx?&amp;lu_id=569&amp;doc_yr=2016&amp;doc_code=AUD" xr:uid="{FAE80F45-4008-40B1-B317-732F3D11DB3B}"/>
    <hyperlink ref="E356" r:id="rId344" display="https://treas-secure.state.mi.us/LAFDocSearch/tl41R01.aspx?&amp;lu_id=570&amp;doc_yr=2016&amp;doc_code=AUD" xr:uid="{F853DF24-1AF3-4031-8AF4-9AFC8AB107D0}"/>
    <hyperlink ref="E357" r:id="rId345" display="https://treas-secure.state.mi.us/LAFDocSearch/tl41R01.aspx?&amp;lu_id=571&amp;doc_yr=2016&amp;doc_code=AUD" xr:uid="{3339C04D-9101-456F-8086-AC265AFE179D}"/>
    <hyperlink ref="E358" r:id="rId346" display="https://treas-secure.state.mi.us/LAFDocSearch/tl41R01.aspx?&amp;lu_id=576&amp;doc_yr=2016&amp;doc_code=AUD" xr:uid="{0D800975-ADC8-4F09-BF8D-7EABB8B4FC64}"/>
    <hyperlink ref="E359" r:id="rId347" display="https://treas-secure.state.mi.us/LAFDocSearch/tl41R01.aspx?&amp;lu_id=595&amp;doc_yr=2016&amp;doc_code=AUD" xr:uid="{56AD70A0-2FFB-4FA7-B64E-340039FDD7D2}"/>
    <hyperlink ref="E360" r:id="rId348" display="https://treas-secure.state.mi.us/LAFDocSearch/tl41R01.aspx?&amp;lu_id=577&amp;doc_yr=2016&amp;doc_code=AUD" xr:uid="{CF3CC8E3-F5BD-44B9-950B-B0508215E8C2}"/>
    <hyperlink ref="E361" r:id="rId349" display="https://treas-secure.state.mi.us/LAFDocSearch/tl41R01.aspx?&amp;lu_id=573&amp;doc_yr=2016&amp;doc_code=AUD" xr:uid="{01687AA0-74C7-4FE9-9427-4B8E22982DA2}"/>
    <hyperlink ref="E362" r:id="rId350" display="https://treas-secure.state.mi.us/LAFDocSearch/tl41R01.aspx?&amp;lu_id=578&amp;doc_yr=2016&amp;doc_code=AUD" xr:uid="{106AF9EF-531A-41DA-A9C5-7AD7AD796C32}"/>
    <hyperlink ref="E364" r:id="rId351" display="https://treas-secure.state.mi.us/LAFDocSearch/tl41R01.aspx?&amp;lu_id=619&amp;doc_yr=2016&amp;doc_code=AUD" xr:uid="{D4B14758-6E01-4141-97A3-BDDB13E9BD34}"/>
    <hyperlink ref="E365" r:id="rId352" display="https://treas-secure.state.mi.us/LAFDocSearch/tl41R01.aspx?&amp;lu_id=599&amp;doc_yr=2016&amp;doc_code=AUD" xr:uid="{42148519-1B9C-4E01-A0DF-8A7487A2DBB8}"/>
    <hyperlink ref="E366" r:id="rId353" display="https://treas-secure.state.mi.us/LAFDocSearch/tl41R01.aspx?&amp;lu_id=675&amp;doc_yr=2016&amp;doc_code=AUD" xr:uid="{F06E2883-3843-4442-BB79-CF5235A139CE}"/>
    <hyperlink ref="E367" r:id="rId354" display="https://treas-secure.state.mi.us/LAFDocSearch/tl41R01.aspx?&amp;lu_id=684&amp;doc_yr=2016&amp;doc_code=AUD" xr:uid="{6FB95C55-4D0D-44C2-9042-67849571D6E5}"/>
    <hyperlink ref="E368" r:id="rId355" display="https://treas-secure.state.mi.us/LAFDocSearch/tl41R01.aspx?&amp;lu_id=600&amp;doc_yr=2016&amp;doc_code=AUD" xr:uid="{8708C354-5B6D-4AC8-806F-B785714D62EE}"/>
    <hyperlink ref="E369" r:id="rId356" display="https://treas-secure.state.mi.us/LAFDocSearch/tl41R01.aspx?&amp;lu_id=623&amp;doc_yr=2016&amp;doc_code=AUD" xr:uid="{674A5EEB-ED70-40D1-93C8-8D66EB709273}"/>
    <hyperlink ref="E370" r:id="rId357" display="https://treas-secure.state.mi.us/LAFDocSearch/tl41R01.aspx?&amp;lu_id=620&amp;doc_yr=2016&amp;doc_code=AUD" xr:uid="{D2019DBF-9AA8-4563-9073-EBF47BA671A8}"/>
    <hyperlink ref="E371" r:id="rId358" display="https://treas-secure.state.mi.us/LAFDocSearch/tl41R01.aspx?&amp;lu_id=672&amp;doc_yr=2016&amp;doc_code=AUD" xr:uid="{473B555B-CC75-4092-9B34-4AC5B0BAC9BB}"/>
    <hyperlink ref="E372" r:id="rId359" display="https://treas-secure.state.mi.us/LAFDocSearch/tl41R01.aspx?&amp;lu_id=662&amp;doc_yr=2016&amp;doc_code=AUD" xr:uid="{7AF7E673-663E-4CE6-9902-3F695EA0DEA3}"/>
    <hyperlink ref="E373" r:id="rId360" display="https://treas-secure.state.mi.us/LAFDocSearch/tl41R01.aspx?&amp;lu_id=677&amp;doc_yr=2016&amp;doc_code=AUD" xr:uid="{185AB09E-85C3-4025-B216-85F112916D31}"/>
    <hyperlink ref="E374" r:id="rId361" display="https://treas-secure.state.mi.us/LAFDocSearch/tl41R01.aspx?&amp;lu_id=659&amp;doc_yr=2016&amp;doc_code=AUD" xr:uid="{E4E80FD1-3089-479D-93EA-334C0D40C099}"/>
    <hyperlink ref="E375" r:id="rId362" display="https://treas-secure.state.mi.us/LAFDocSearch/tl41R01.aspx?&amp;lu_id=673&amp;doc_yr=2016&amp;doc_code=AUD" xr:uid="{D7D5DB9A-F00B-4E39-83A7-CB37491875D9}"/>
    <hyperlink ref="E376" r:id="rId363" display="https://treas-secure.state.mi.us/LAFDocSearch/tl41R01.aspx?&amp;lu_id=671&amp;doc_yr=2016&amp;doc_code=AUD" xr:uid="{93D251FB-FE10-417F-A9EA-74F5C86A8156}"/>
    <hyperlink ref="E377" r:id="rId364" display="https://treas-secure.state.mi.us/LAFDocSearch/tl41R01.aspx?&amp;lu_id=665&amp;doc_yr=2016&amp;doc_code=AUD" xr:uid="{21AFC929-BF95-4F82-A9D1-77946A44468F}"/>
    <hyperlink ref="E378" r:id="rId365" display="https://treas-secure.state.mi.us/LAFDocSearch/tl41R01.aspx?&amp;lu_id=656&amp;doc_yr=2016&amp;doc_code=AUD" xr:uid="{5AB1585B-0705-4AEC-975F-F99E34DD8744}"/>
    <hyperlink ref="E379" r:id="rId366" display="https://treas-secure.state.mi.us/LAFDocSearch/tl41R01.aspx?&amp;lu_id=670&amp;doc_yr=2016&amp;doc_code=AUD" xr:uid="{3EB05121-715C-495C-8BB3-39717A31828B}"/>
    <hyperlink ref="E380" r:id="rId367" display="https://treas-secure.state.mi.us/LAFDocSearch/tl41R01.aspx?&amp;lu_id=602&amp;doc_yr=2016&amp;doc_code=AUD" xr:uid="{A0174F97-34E6-4704-B254-A239A8A767CA}"/>
    <hyperlink ref="E381" r:id="rId368" display="https://treas-secure.state.mi.us/LAFDocSearch/tl41R01.aspx?&amp;lu_id=603&amp;doc_yr=2016&amp;doc_code=AUD" xr:uid="{7967C78C-D3A6-4524-8EEC-06ABF4D9F856}"/>
    <hyperlink ref="E382" r:id="rId369" display="https://treas-secure.state.mi.us/LAFDocSearch/tl41R01.aspx?&amp;lu_id=597&amp;doc_yr=2016&amp;doc_code=AUD" xr:uid="{4B344EA0-7FE4-4352-81F3-B000D08DAEAB}"/>
    <hyperlink ref="E383" r:id="rId370" display="https://treas-secure.state.mi.us/LAFDocSearch/tl41R01.aspx?&amp;lu_id=667&amp;doc_yr=2016&amp;doc_code=AUD" xr:uid="{57E548BE-CF28-4EB0-ADF9-7F31E779B0DB}"/>
    <hyperlink ref="E384" r:id="rId371" display="https://treas-secure.state.mi.us/LAFDocSearch/tl41R01.aspx?&amp;lu_id=669&amp;doc_yr=2016&amp;doc_code=AUD" xr:uid="{CE5B1AE3-B71F-43F7-86A2-24623952C86C}"/>
    <hyperlink ref="E385" r:id="rId372" display="https://treas-secure.state.mi.us/LAFDocSearch/tl41R01.aspx?&amp;lu_id=679&amp;doc_yr=2016&amp;doc_code=AUD" xr:uid="{EB0B347A-973B-4556-A95E-A91CD07C5CEE}"/>
    <hyperlink ref="E386" r:id="rId373" display="https://treas-secure.state.mi.us/LAFDocSearch/tl41R01.aspx?&amp;lu_id=678&amp;doc_yr=2016&amp;doc_code=AUD" xr:uid="{68571C11-ACAE-4056-9F6B-E440FACE308B}"/>
    <hyperlink ref="E387" r:id="rId374" display="https://treas-secure.state.mi.us/LAFDocSearch/tl41R01.aspx?&amp;lu_id=604&amp;doc_yr=2016&amp;doc_code=AUD" xr:uid="{7A4B5A70-984E-45AE-A55F-A5FC1F167388}"/>
    <hyperlink ref="E388" r:id="rId375" display="https://treas-secure.state.mi.us/LAFDocSearch/tl41R01.aspx?&amp;lu_id=606&amp;doc_yr=2016&amp;doc_code=AUD" xr:uid="{F4BDA275-610A-4C93-A29C-0E955F714619}"/>
    <hyperlink ref="E389" r:id="rId376" display="https://treas-secure.state.mi.us/LAFDocSearch/tl41R01.aspx?&amp;lu_id=607&amp;doc_yr=2016&amp;doc_code=AUD" xr:uid="{F622DBDA-1DC4-444C-B401-2C215E954D54}"/>
    <hyperlink ref="E390" r:id="rId377" display="https://treas-secure.state.mi.us/LAFDocSearch/tl41R01.aspx?&amp;lu_id=608&amp;doc_yr=2016&amp;doc_code=AUD" xr:uid="{125E67A2-B072-4E82-84B9-72A340DFE1FB}"/>
    <hyperlink ref="E391" r:id="rId378" display="https://treas-secure.state.mi.us/LAFDocSearch/tl41R01.aspx?&amp;lu_id=6011&amp;doc_yr=2016&amp;doc_code=AUD" xr:uid="{213CAD11-85DC-4221-BCA7-0F72CB34EA65}"/>
    <hyperlink ref="E392" r:id="rId379" display="https://treas-secure.state.mi.us/LAFDocSearch/tl41R01.aspx?&amp;lu_id=666&amp;doc_yr=2016&amp;doc_code=AUD" xr:uid="{8E0C3118-3C5A-4D4B-B4B3-B55CC2281406}"/>
    <hyperlink ref="E393" r:id="rId380" display="https://treas-secure.state.mi.us/LAFDocSearch/tl41R01.aspx?&amp;lu_id=644&amp;doc_yr=2016&amp;doc_code=AUD" xr:uid="{96DF0192-E15C-4CA6-A03E-607925531C53}"/>
    <hyperlink ref="E394" r:id="rId381" display="https://treas-secure.state.mi.us/LAFDocSearch/tl41R01.aspx?&amp;lu_id=660&amp;doc_yr=2016&amp;doc_code=AUD" xr:uid="{B446F27C-1E47-4926-A502-FFE4799C8288}"/>
    <hyperlink ref="E395" r:id="rId382" display="https://treas-secure.state.mi.us/LAFDocSearch/tl41R01.aspx?&amp;lu_id=611&amp;doc_yr=2016&amp;doc_code=AUD" xr:uid="{044F0978-ABE9-4AEA-BFFA-E4EACAA49D74}"/>
    <hyperlink ref="E396" r:id="rId383" display="https://treas-secure.state.mi.us/LAFDocSearch/tl41R01.aspx?&amp;lu_id=612&amp;doc_yr=2016&amp;doc_code=AUD" xr:uid="{BA4BA0A3-1934-4F7F-96AF-0E942AFE9AAE}"/>
    <hyperlink ref="E397" r:id="rId384" display="https://treas-secure.state.mi.us/LAFDocSearch/tl41R01.aspx?&amp;lu_id=613&amp;doc_yr=2016&amp;doc_code=AUD" xr:uid="{5ADE346A-183C-4035-989D-6DAC3051B314}"/>
    <hyperlink ref="E398" r:id="rId385" display="https://treas-secure.state.mi.us/LAFDocSearch/tl41R01.aspx?&amp;lu_id=621&amp;doc_yr=2016&amp;doc_code=AUD" xr:uid="{8CE2D6B8-39AE-4725-8238-10902E35E873}"/>
    <hyperlink ref="E399" r:id="rId386" display="https://treas-secure.state.mi.us/LAFDocSearch/tl41R01.aspx?&amp;lu_id=614&amp;doc_yr=2016&amp;doc_code=AUD" xr:uid="{DC37869A-FCED-411B-8571-0F70BC71A811}"/>
    <hyperlink ref="E400" r:id="rId387" display="https://treas-secure.state.mi.us/LAFDocSearch/tl41R01.aspx?&amp;lu_id=676&amp;doc_yr=2016&amp;doc_code=AUD" xr:uid="{59F28742-C16C-4458-8FBA-18E121AA57F7}"/>
    <hyperlink ref="E401" r:id="rId388" display="https://treas-secure.state.mi.us/LAFDocSearch/tl41R01.aspx?&amp;lu_id=681&amp;doc_yr=2016&amp;doc_code=AUD" xr:uid="{2B8176A1-B706-46FB-8A77-2F56930F961E}"/>
    <hyperlink ref="E402" r:id="rId389" display="https://treas-secure.state.mi.us/LAFDocSearch/tl41R01.aspx?&amp;lu_id=615&amp;doc_yr=2016&amp;doc_code=AUD" xr:uid="{FE33AE8D-FD62-4145-906E-DD92B77FBF98}"/>
    <hyperlink ref="E403" r:id="rId390" display="https://treas-secure.state.mi.us/LAFDocSearch/tl41R01.aspx?&amp;lu_id=616&amp;doc_yr=2016&amp;doc_code=AUD" xr:uid="{9BB28CE3-72BB-4E8F-928C-D0D20E59FD6F}"/>
    <hyperlink ref="E404" r:id="rId391" display="https://treas-secure.state.mi.us/LAFDocSearch/tl41R01.aspx?&amp;lu_id=617&amp;doc_yr=2016&amp;doc_code=AUD" xr:uid="{7BA31844-7B82-4ABD-933C-2007DDBCC983}"/>
    <hyperlink ref="E405" r:id="rId392" display="https://treas-secure.state.mi.us/LAFDocSearch/tl41R01.aspx?&amp;lu_id=668&amp;doc_yr=2016&amp;doc_code=AUD" xr:uid="{1DD18CB8-A306-4A32-97FA-A195E938FDD2}"/>
    <hyperlink ref="E406" r:id="rId393" display="https://treas-secure.state.mi.us/LAFDocSearch/tl41R01.aspx?&amp;lu_id=622&amp;doc_yr=2016&amp;doc_code=AUD" xr:uid="{9EC72B5F-C025-46D8-83C4-F75B9E1EFFE6}"/>
    <hyperlink ref="E407" r:id="rId394" display="https://treas-secure.state.mi.us/LAFDocSearch/tl41R01.aspx?&amp;lu_id=674&amp;doc_yr=2016&amp;doc_code=AUD" xr:uid="{A193040A-271D-4743-A47C-A16A4A8735E3}"/>
    <hyperlink ref="E408" r:id="rId395" display="https://treas-secure.state.mi.us/LAFDocSearch/tl41R01.aspx?&amp;lu_id=618&amp;doc_yr=2016&amp;doc_code=AUD" xr:uid="{629E22C2-6135-4A41-80A2-51E38CD5B6B3}"/>
    <hyperlink ref="E409" r:id="rId396" display="https://treas-secure.state.mi.us/LAFDocSearch/tl41R01.aspx?&amp;lu_id=626&amp;doc_yr=2016&amp;doc_code=AUD" xr:uid="{80A5BF63-F528-4996-873D-1663BA2D78AC}"/>
    <hyperlink ref="E410" r:id="rId397" display="https://treas-secure.state.mi.us/LAFDocSearch/tl41R01.aspx?&amp;lu_id=682&amp;doc_yr=2016&amp;doc_code=AUD" xr:uid="{CAE66BFD-62F8-451E-A1ED-FFF47F417A43}"/>
    <hyperlink ref="E411" r:id="rId398" display="https://treas-secure.state.mi.us/LAFDocSearch/tl41R01.aspx?&amp;lu_id=683&amp;doc_yr=2016&amp;doc_code=AUD" xr:uid="{4044BBED-3552-4070-89B5-DC550DE51CAA}"/>
    <hyperlink ref="E413" r:id="rId399" display="https://treas-secure.state.mi.us/LAFDocSearch/tl41R01.aspx?&amp;lu_id=692&amp;doc_yr=2016&amp;doc_code=AUD" xr:uid="{89191AAF-7C97-43F0-94F0-6371E83971DD}"/>
    <hyperlink ref="E414" r:id="rId400" display="https://treas-secure.state.mi.us/LAFDocSearch/tl41R01.aspx?&amp;lu_id=690&amp;doc_yr=2016&amp;doc_code=AUD" xr:uid="{0CF870E5-726E-4A28-9D10-C572E1A833A9}"/>
    <hyperlink ref="E415" r:id="rId401" display="https://treas-secure.state.mi.us/LAFDocSearch/tl41R01.aspx?&amp;lu_id=734&amp;doc_yr=2016&amp;doc_code=AUD" xr:uid="{0C8ACD20-5C14-4642-947B-DCF96FC4D764}"/>
    <hyperlink ref="E416" r:id="rId402" display="https://treas-secure.state.mi.us/LAFDocSearch/tl41R01.aspx?&amp;lu_id=691&amp;doc_yr=2016&amp;doc_code=AUD" xr:uid="{5487DF3C-B58A-4203-BA9F-E5172F5B0963}"/>
    <hyperlink ref="E417" r:id="rId403" display="https://treas-secure.state.mi.us/LAFDocSearch/tl41R01.aspx?&amp;lu_id=726&amp;doc_yr=2016&amp;doc_code=AUD" xr:uid="{13BB872C-AAB3-42FB-A48C-6820535C4F86}"/>
    <hyperlink ref="E418" r:id="rId404" display="https://treas-secure.state.mi.us/LAFDocSearch/tl41R01.aspx?&amp;lu_id=736&amp;doc_yr=2016&amp;doc_code=AUD" xr:uid="{73C6AE42-FB06-4977-B929-74A4691F1C1F}"/>
    <hyperlink ref="E419" r:id="rId405" display="https://treas-secure.state.mi.us/LAFDocSearch/tl41R01.aspx?&amp;lu_id=708&amp;doc_yr=2016&amp;doc_code=AUD" xr:uid="{870456EF-B9D9-4EAB-B201-628FB23E0ADA}"/>
    <hyperlink ref="E420" r:id="rId406" display="https://treas-secure.state.mi.us/LAFDocSearch/tl41R01.aspx?&amp;lu_id=720&amp;doc_yr=2016&amp;doc_code=AUD" xr:uid="{58B12A70-6E65-4D24-BF3A-53BC918F8FB4}"/>
    <hyperlink ref="E421" r:id="rId407" display="https://treas-secure.state.mi.us/LAFDocSearch/tl41R01.aspx?&amp;lu_id=6132&amp;doc_yr=2016&amp;doc_code=AUD" xr:uid="{BFC303D3-E969-47E8-B6BF-B4540F759D59}"/>
    <hyperlink ref="E422" r:id="rId408" display="https://treas-secure.state.mi.us/LAFDocSearch/tl41R01.aspx?&amp;lu_id=707&amp;doc_yr=2016&amp;doc_code=AUD" xr:uid="{E5C6FADC-6363-4ECA-8E1F-BDC1B3D62250}"/>
    <hyperlink ref="E423" r:id="rId409" display="https://treas-secure.state.mi.us/LAFDocSearch/tl41R01.aspx?&amp;lu_id=728&amp;doc_yr=2016&amp;doc_code=AUD" xr:uid="{B92AB6F3-8627-4B7B-9FC3-147173362DBE}"/>
    <hyperlink ref="E424" r:id="rId410" display="https://treas-secure.state.mi.us/LAFDocSearch/tl41R01.aspx?&amp;lu_id=737&amp;doc_yr=2016&amp;doc_code=AUD" xr:uid="{AFAAA708-E920-4FFB-BBC4-B6A405AE7798}"/>
    <hyperlink ref="E425" r:id="rId411" display="https://treas-secure.state.mi.us/LAFDocSearch/tl41R01.aspx?&amp;lu_id=709&amp;doc_yr=2016&amp;doc_code=AUD" xr:uid="{325E1E59-16F2-4C50-8BB7-26AFEB9190DF}"/>
    <hyperlink ref="E426" r:id="rId412" display="https://treas-secure.state.mi.us/LAFDocSearch/tl41R01.aspx?&amp;lu_id=724&amp;doc_yr=2016&amp;doc_code=AUD" xr:uid="{0A326885-4D5C-4170-A993-70B451961E8F}"/>
    <hyperlink ref="E427" r:id="rId413" display="https://treas-secure.state.mi.us/LAFDocSearch/tl41R01.aspx?&amp;lu_id=723&amp;doc_yr=2016&amp;doc_code=AUD" xr:uid="{32A5E6A0-A195-4EA6-9033-DE87E18EE73D}"/>
    <hyperlink ref="E428" r:id="rId414" display="https://treas-secure.state.mi.us/LAFDocSearch/tl41R01.aspx?&amp;lu_id=693&amp;doc_yr=2016&amp;doc_code=AUD" xr:uid="{91BE9ED1-10C6-4F22-975F-932D05CD31BE}"/>
    <hyperlink ref="E429" r:id="rId415" display="https://treas-secure.state.mi.us/LAFDocSearch/tl41R01.aspx?&amp;lu_id=695&amp;doc_yr=2016&amp;doc_code=AUD" xr:uid="{6EB46F8B-6F79-4F58-B26F-4633D3362E10}"/>
    <hyperlink ref="E430" r:id="rId416" display="https://treas-secure.state.mi.us/LAFDocSearch/tl41R01.aspx?&amp;lu_id=696&amp;doc_yr=2016&amp;doc_code=AUD" xr:uid="{6866F8CB-A54B-4F87-8F25-E456F85CFD34}"/>
    <hyperlink ref="E431" r:id="rId417" display="https://treas-secure.state.mi.us/LAFDocSearch/tl41R01.aspx?&amp;lu_id=710&amp;doc_yr=2016&amp;doc_code=AUD" xr:uid="{3DA46C32-14B0-4BC0-A8BF-52EC8908746D}"/>
    <hyperlink ref="E432" r:id="rId418" display="https://treas-secure.state.mi.us/LAFDocSearch/tl41R01.aspx?&amp;lu_id=730&amp;doc_yr=2016&amp;doc_code=AUD" xr:uid="{AAE046EA-B1A8-4FE4-971B-01D45A58FB8D}"/>
    <hyperlink ref="E433" r:id="rId419" display="https://treas-secure.state.mi.us/LAFDocSearch/tl41R01.aspx?&amp;lu_id=697&amp;doc_yr=2016&amp;doc_code=AUD" xr:uid="{3EF461F5-EF63-4223-912E-5EE3578C0596}"/>
    <hyperlink ref="E434" r:id="rId420" display="https://treas-secure.state.mi.us/LAFDocSearch/tl41R01.aspx?&amp;lu_id=698&amp;doc_yr=2016&amp;doc_code=AUD" xr:uid="{46EA813C-3E6A-474E-8519-D2B782B27CAD}"/>
    <hyperlink ref="E435" r:id="rId421" display="https://treas-secure.state.mi.us/LAFDocSearch/tl41R01.aspx?&amp;lu_id=699&amp;doc_yr=2016&amp;doc_code=AUD" xr:uid="{2B3D8C09-C2F9-4ACA-BA13-5CE8B8E9501A}"/>
    <hyperlink ref="E436" r:id="rId422" display="https://treas-secure.state.mi.us/LAFDocSearch/tl41R01.aspx?&amp;lu_id=700&amp;doc_yr=2016&amp;doc_code=AUD" xr:uid="{04E3EA6D-8C3C-40CC-A1F6-E39750C9530D}"/>
    <hyperlink ref="E437" r:id="rId423" display="https://treas-secure.state.mi.us/LAFDocSearch/tl41R01.aspx?&amp;lu_id=725&amp;doc_yr=2016&amp;doc_code=AUD" xr:uid="{7B2D54B4-2E3A-439E-A9E9-950609D42149}"/>
    <hyperlink ref="E438" r:id="rId424" display="https://treas-secure.state.mi.us/LAFDocSearch/tl41R01.aspx?&amp;lu_id=702&amp;doc_yr=2016&amp;doc_code=AUD" xr:uid="{DC8BE73B-3363-4420-8936-36BCCB8A0FAC}"/>
    <hyperlink ref="E439" r:id="rId425" display="https://treas-secure.state.mi.us/LAFDocSearch/tl41R01.aspx?&amp;lu_id=703&amp;doc_yr=2016&amp;doc_code=AUD" xr:uid="{D26F24DF-BC7C-4D80-A8BA-09DFFCDBF968}"/>
    <hyperlink ref="E440" r:id="rId426" display="https://treas-secure.state.mi.us/LAFDocSearch/tl41R01.aspx?&amp;lu_id=704&amp;doc_yr=2016&amp;doc_code=AUD" xr:uid="{8DF8A848-158F-44D2-8C3A-E70183453F9C}"/>
    <hyperlink ref="E441" r:id="rId427" display="https://treas-secure.state.mi.us/LAFDocSearch/tl41R01.aspx?&amp;lu_id=735&amp;doc_yr=2016&amp;doc_code=AUD" xr:uid="{D0F54B03-CDA8-4F9B-86EB-3E9342BD57A2}"/>
    <hyperlink ref="E442" r:id="rId428" display="https://treas-secure.state.mi.us/LAFDocSearch/tl41R01.aspx?&amp;lu_id=729&amp;doc_yr=2016&amp;doc_code=AUD" xr:uid="{70F71C22-A898-412D-8B48-690C775E63B6}"/>
    <hyperlink ref="E443" r:id="rId429" display="https://treas-secure.state.mi.us/LAFDocSearch/tl41R01.aspx?&amp;lu_id=717&amp;doc_yr=2016&amp;doc_code=AUD" xr:uid="{7B919608-5157-4E1F-AB7C-46887C27595D}"/>
    <hyperlink ref="E444" r:id="rId430" display="https://treas-secure.state.mi.us/LAFDocSearch/tl41R01.aspx?&amp;lu_id=711&amp;doc_yr=2016&amp;doc_code=AUD" xr:uid="{99FB0F51-4CB5-4457-BF1E-09A370D41A9B}"/>
    <hyperlink ref="E445" r:id="rId431" display="https://treas-secure.state.mi.us/LAFDocSearch/tl41R01.aspx?&amp;lu_id=705&amp;doc_yr=2016&amp;doc_code=AUD" xr:uid="{0FFF835E-5E99-4C91-9C82-7A43981E8D70}"/>
    <hyperlink ref="E446" r:id="rId432" display="https://treas-secure.state.mi.us/LAFDocSearch/tl41R01.aspx?&amp;lu_id=733&amp;doc_yr=2016&amp;doc_code=AUD" xr:uid="{E0E7F119-AD43-41C2-88DF-4EDB9EDBDA0F}"/>
    <hyperlink ref="E448" r:id="rId433" display="https://treas-secure.state.mi.us/LAFDocSearch/tl41R01.aspx?&amp;lu_id=742&amp;doc_yr=2016&amp;doc_code=AUD" xr:uid="{3869F8A5-7C6A-473D-AEE0-7D155F005A7A}"/>
    <hyperlink ref="E449" r:id="rId434" display="https://treas-secure.state.mi.us/LAFDocSearch/tl41R01.aspx?&amp;lu_id=782&amp;doc_yr=2016&amp;doc_code=AUD" xr:uid="{0E00AF17-E5CC-499B-B543-290E7BBC4E4B}"/>
    <hyperlink ref="E450" r:id="rId435" display="https://treas-secure.state.mi.us/LAFDocSearch/tl41R01.aspx?&amp;lu_id=775&amp;doc_yr=2016&amp;doc_code=AUD" xr:uid="{D452379B-3387-4508-A607-4AB929618994}"/>
    <hyperlink ref="E451" r:id="rId436" display="https://treas-secure.state.mi.us/LAFDocSearch/tl41R01.aspx?&amp;lu_id=757&amp;doc_yr=2016&amp;doc_code=AUD" xr:uid="{38314185-8721-4967-BD38-23E491A272E0}"/>
    <hyperlink ref="E452" r:id="rId437" display="https://treas-secure.state.mi.us/LAFDocSearch/tl41R01.aspx?&amp;lu_id=777&amp;doc_yr=2016&amp;doc_code=AUD" xr:uid="{0A61A7C7-784B-4EE3-BAD8-AFFA3AF2C205}"/>
    <hyperlink ref="E453" r:id="rId438" display="https://treas-secure.state.mi.us/LAFDocSearch/tl41R01.aspx?&amp;lu_id=783&amp;doc_yr=2016&amp;doc_code=AUD" xr:uid="{7D6206A2-F2B2-46AB-900D-2F86D0B24B65}"/>
    <hyperlink ref="E454" r:id="rId439" display="https://treas-secure.state.mi.us/LAFDocSearch/tl41R01.aspx?&amp;lu_id=743&amp;doc_yr=2016&amp;doc_code=AUD" xr:uid="{2EDE48F6-2BC0-412B-B054-10D977FFD902}"/>
    <hyperlink ref="E455" r:id="rId440" display="https://treas-secure.state.mi.us/LAFDocSearch/tl41R01.aspx?&amp;lu_id=744&amp;doc_yr=2016&amp;doc_code=AUD" xr:uid="{50B93939-21C1-42F1-8844-380AC6713CD6}"/>
    <hyperlink ref="E456" r:id="rId441" display="https://treas-secure.state.mi.us/LAFDocSearch/tl41R01.aspx?&amp;lu_id=758&amp;doc_yr=2016&amp;doc_code=AUD" xr:uid="{C54DDE3E-2DE5-42B9-8EB9-58E169187712}"/>
    <hyperlink ref="E457" r:id="rId442" display="https://treas-secure.state.mi.us/LAFDocSearch/tl41R01.aspx?&amp;lu_id=740&amp;doc_yr=2016&amp;doc_code=AUD" xr:uid="{D61D7E6F-6C3C-45C8-BE5F-D43151DAE5F9}"/>
    <hyperlink ref="E458" r:id="rId443" display="https://treas-secure.state.mi.us/LAFDocSearch/tl41R01.aspx?&amp;lu_id=745&amp;doc_yr=2016&amp;doc_code=AUD" xr:uid="{6A228A34-B1A7-4837-B3AE-C6ECB4F5D3FC}"/>
    <hyperlink ref="E459" r:id="rId444" display="https://treas-secure.state.mi.us/LAFDocSearch/tl41R01.aspx?&amp;lu_id=778&amp;doc_yr=2016&amp;doc_code=AUD" xr:uid="{2E55843D-262D-47E8-8851-F48A46FE5038}"/>
    <hyperlink ref="E460" r:id="rId445" display="https://treas-secure.state.mi.us/LAFDocSearch/tl41R01.aspx?&amp;lu_id=741&amp;doc_yr=2016&amp;doc_code=AUD" xr:uid="{FC31CBBE-FA66-46FF-9E38-D4C9E1C6D823}"/>
    <hyperlink ref="E461" r:id="rId446" display="https://treas-secure.state.mi.us/LAFDocSearch/tl41R01.aspx?&amp;lu_id=776&amp;doc_yr=2016&amp;doc_code=AUD" xr:uid="{529FE914-F572-48DE-9391-46BE9EA0E8F6}"/>
    <hyperlink ref="E462" r:id="rId447" display="https://treas-secure.state.mi.us/LAFDocSearch/tl41R01.aspx?&amp;lu_id=784&amp;doc_yr=2016&amp;doc_code=AUD" xr:uid="{1BE67C37-7860-42CA-9615-065C1A69A4E0}"/>
    <hyperlink ref="E463" r:id="rId448" display="https://treas-secure.state.mi.us/LAFDocSearch/tl41R01.aspx?&amp;lu_id=787&amp;doc_yr=2016&amp;doc_code=AUD" xr:uid="{FE91C3AC-EEC6-454B-9858-66A63E8CBD06}"/>
    <hyperlink ref="E464" r:id="rId449" display="https://treas-secure.state.mi.us/LAFDocSearch/tl41R01.aspx?&amp;lu_id=759&amp;doc_yr=2016&amp;doc_code=AUD" xr:uid="{B5FAF4FA-ED19-407A-ABBC-875DA0E3315C}"/>
    <hyperlink ref="E465" r:id="rId450" display="https://treas-secure.state.mi.us/LAFDocSearch/tl41R01.aspx?&amp;lu_id=772&amp;doc_yr=2016&amp;doc_code=AUD" xr:uid="{96EEAA79-1763-4565-B017-257886E0225A}"/>
    <hyperlink ref="E466" r:id="rId451" display="https://treas-secure.state.mi.us/LAFDocSearch/tl41R01.aspx?&amp;lu_id=779&amp;doc_yr=2016&amp;doc_code=AUD" xr:uid="{D829B138-A8B9-44AF-B959-C1ED8370D697}"/>
    <hyperlink ref="E467" r:id="rId452" display="https://treas-secure.state.mi.us/LAFDocSearch/tl41R01.aspx?&amp;lu_id=747&amp;doc_yr=2016&amp;doc_code=AUD" xr:uid="{E289366F-0938-4A64-ABB6-7ADB08C65D4F}"/>
    <hyperlink ref="E468" r:id="rId453" display="https://treas-secure.state.mi.us/LAFDocSearch/tl41R01.aspx?&amp;lu_id=780&amp;doc_yr=2016&amp;doc_code=AUD" xr:uid="{15DF8435-C3D0-4AD7-A0AA-18259216B275}"/>
    <hyperlink ref="E469" r:id="rId454" display="https://treas-secure.state.mi.us/LAFDocSearch/tl41R01.aspx?&amp;lu_id=748&amp;doc_yr=2016&amp;doc_code=AUD" xr:uid="{29C286A7-E2E4-42AD-8EEA-099BBDE09417}"/>
    <hyperlink ref="E470" r:id="rId455" display="https://treas-secure.state.mi.us/LAFDocSearch/tl41R01.aspx?&amp;lu_id=749&amp;doc_yr=2016&amp;doc_code=AUD" xr:uid="{0D354A75-0B7F-4D19-B6AA-6A3DDC0B329F}"/>
    <hyperlink ref="E471" r:id="rId456" display="https://treas-secure.state.mi.us/LAFDocSearch/tl41R01.aspx?&amp;lu_id=786&amp;doc_yr=2016&amp;doc_code=AUD" xr:uid="{63C20376-8225-4F93-A180-2FABE25B27EF}"/>
    <hyperlink ref="E472" r:id="rId457" display="https://treas-secure.state.mi.us/LAFDocSearch/tl41R01.aspx?&amp;lu_id=7839&amp;doc_yr=2016&amp;doc_code=AUD" xr:uid="{57C55D07-4B0B-40D0-8FF2-9227042108F1}"/>
    <hyperlink ref="E473" r:id="rId458" display="https://treas-secure.state.mi.us/LAFDocSearch/tl41R01.aspx?&amp;lu_id=781&amp;doc_yr=2016&amp;doc_code=AUD" xr:uid="{93CEDDC1-00FC-4D7E-AA08-E3A3EC222BB7}"/>
    <hyperlink ref="E474" r:id="rId459" display="https://treas-secure.state.mi.us/LAFDocSearch/tl41R01.aspx?&amp;lu_id=752&amp;doc_yr=2016&amp;doc_code=AUD" xr:uid="{6A2963BB-50A4-4324-8CC2-664B804CDFC6}"/>
    <hyperlink ref="E475" r:id="rId460" display="https://treas-secure.state.mi.us/LAFDocSearch/tl41R01.aspx?&amp;lu_id=753&amp;doc_yr=2016&amp;doc_code=AUD" xr:uid="{1F68621F-F52C-42C5-9827-927795F0F135}"/>
    <hyperlink ref="E476" r:id="rId461" display="https://treas-secure.state.mi.us/LAFDocSearch/tl41R01.aspx?&amp;lu_id=755&amp;doc_yr=2016&amp;doc_code=AUD" xr:uid="{9AA0BCB4-F80C-450F-96A2-17B13A5E6765}"/>
    <hyperlink ref="E477" r:id="rId462" display="https://treas-secure.state.mi.us/LAFDocSearch/tl41R01.aspx?&amp;lu_id=754&amp;doc_yr=2016&amp;doc_code=AUD" xr:uid="{A2A88C5F-67F4-4C34-BF36-3F7094291363}"/>
    <hyperlink ref="E478" r:id="rId463" display="https://treas-secure.state.mi.us/LAFDocSearch/tl41R01.aspx?&amp;lu_id=756&amp;doc_yr=2016&amp;doc_code=AUD" xr:uid="{7CD1E82F-36B8-494D-810C-0B5C93F939B1}"/>
    <hyperlink ref="E480" r:id="rId464" display="https://treas-secure.state.mi.us/LAFDocSearch/tl41R01.aspx?&amp;lu_id=790&amp;doc_yr=2016&amp;doc_code=AUD" xr:uid="{D355DAD5-33F5-420F-94A0-20CC65B99646}"/>
    <hyperlink ref="E481" r:id="rId465" display="https://treas-secure.state.mi.us/LAFDocSearch/tl41R01.aspx?&amp;lu_id=791&amp;doc_yr=2016&amp;doc_code=AUD" xr:uid="{8D6A2B6B-959F-48E2-AB0A-DB6D428D419B}"/>
    <hyperlink ref="E482" r:id="rId466" display="https://treas-secure.state.mi.us/LAFDocSearch/tl41R01.aspx?&amp;lu_id=793&amp;doc_yr=2016&amp;doc_code=AUD" xr:uid="{C43EF7AF-974C-4F21-A926-7AC13F481E46}"/>
    <hyperlink ref="E483" r:id="rId467" display="https://treas-secure.state.mi.us/LAFDocSearch/tl41R01.aspx?&amp;lu_id=809&amp;doc_yr=2016&amp;doc_code=AUD" xr:uid="{57A6C826-DCC6-452C-9172-105D78195F3E}"/>
    <hyperlink ref="E484" r:id="rId468" display="https://treas-secure.state.mi.us/LAFDocSearch/tl41R01.aspx?&amp;lu_id=788&amp;doc_yr=2016&amp;doc_code=AUD" xr:uid="{EA0D90DC-6D15-4A54-9E59-3EB61194C5A8}"/>
    <hyperlink ref="E485" r:id="rId469" display="https://treas-secure.state.mi.us/LAFDocSearch/tl41R01.aspx?&amp;lu_id=825&amp;doc_yr=2016&amp;doc_code=AUD" xr:uid="{C470DFA8-F35C-47DF-9B76-EC79B73BED3F}"/>
    <hyperlink ref="E486" r:id="rId470" display="https://treas-secure.state.mi.us/LAFDocSearch/tl41R01.aspx?&amp;lu_id=822&amp;doc_yr=2016&amp;doc_code=AUD" xr:uid="{CD995AF9-8EFC-43A3-B791-5E9ED98EEE10}"/>
    <hyperlink ref="E487" r:id="rId471" display="https://treas-secure.state.mi.us/LAFDocSearch/tl41R01.aspx?&amp;lu_id=789&amp;doc_yr=2016&amp;doc_code=AUD" xr:uid="{99A50F6F-8329-4D6B-A187-C96E0F58F6E0}"/>
    <hyperlink ref="E488" r:id="rId472" display="https://treas-secure.state.mi.us/LAFDocSearch/tl41R01.aspx?&amp;lu_id=794&amp;doc_yr=2016&amp;doc_code=AUD" xr:uid="{53F3715D-96B5-49E7-BD5B-3AF3AC2D04C8}"/>
    <hyperlink ref="E489" r:id="rId473" display="https://treas-secure.state.mi.us/LAFDocSearch/tl41R01.aspx?&amp;lu_id=821&amp;doc_yr=2016&amp;doc_code=AUD" xr:uid="{78137D54-0148-4C23-BDC7-678C8C262EF9}"/>
    <hyperlink ref="E490" r:id="rId474" display="https://treas-secure.state.mi.us/LAFDocSearch/tl41R01.aspx?&amp;lu_id=796&amp;doc_yr=2016&amp;doc_code=AUD" xr:uid="{89D27690-A57E-4F84-B039-0249A3EF411F}"/>
    <hyperlink ref="E491" r:id="rId475" display="https://treas-secure.state.mi.us/LAFDocSearch/tl41R01.aspx?&amp;lu_id=797&amp;doc_yr=2016&amp;doc_code=AUD" xr:uid="{A71C14BA-A1C6-4C82-9F06-5D398A222140}"/>
    <hyperlink ref="E492" r:id="rId476" display="https://treas-secure.state.mi.us/LAFDocSearch/tl41R01.aspx?&amp;lu_id=798&amp;doc_yr=2016&amp;doc_code=AUD" xr:uid="{B184228D-D56B-4EDC-B9EF-49448B25786B}"/>
    <hyperlink ref="E493" r:id="rId477" display="https://treas-secure.state.mi.us/LAFDocSearch/tl41R01.aspx?&amp;lu_id=810&amp;doc_yr=2016&amp;doc_code=AUD" xr:uid="{8288F693-5595-46B3-B9E4-5B651995BE19}"/>
    <hyperlink ref="E494" r:id="rId478" display="https://treas-secure.state.mi.us/LAFDocSearch/tl41R01.aspx?&amp;lu_id=801&amp;doc_yr=2016&amp;doc_code=AUD" xr:uid="{98331F63-0393-4009-A89B-23A85FECD7F4}"/>
    <hyperlink ref="E495" r:id="rId479" display="https://treas-secure.state.mi.us/LAFDocSearch/tl41R01.aspx?&amp;lu_id=802&amp;doc_yr=2016&amp;doc_code=AUD" xr:uid="{27E5CE80-351F-423E-89FB-A942F1DB3101}"/>
    <hyperlink ref="E496" r:id="rId480" display="https://treas-secure.state.mi.us/LAFDocSearch/tl41R01.aspx?&amp;lu_id=803&amp;doc_yr=2016&amp;doc_code=AUD" xr:uid="{9571BE1D-8153-41D4-A3DE-79026FDF8A2C}"/>
    <hyperlink ref="E497" r:id="rId481" display="https://treas-secure.state.mi.us/LAFDocSearch/tl41R01.aspx?&amp;lu_id=804&amp;doc_yr=2016&amp;doc_code=AUD" xr:uid="{238384FE-58F6-41F9-B739-B8C0244C4D95}"/>
    <hyperlink ref="E498" r:id="rId482" display="https://treas-secure.state.mi.us/LAFDocSearch/tl41R01.aspx?&amp;lu_id=824&amp;doc_yr=2016&amp;doc_code=AUD" xr:uid="{33522DBC-43B8-434C-8F0E-4C344E83452D}"/>
    <hyperlink ref="E499" r:id="rId483" display="https://treas-secure.state.mi.us/LAFDocSearch/tl41R01.aspx?&amp;lu_id=805&amp;doc_yr=2016&amp;doc_code=AUD" xr:uid="{3A5C39D8-7557-4677-8B63-08F82201B56C}"/>
    <hyperlink ref="E500" r:id="rId484" display="https://treas-secure.state.mi.us/LAFDocSearch/tl41R01.aspx?&amp;lu_id=806&amp;doc_yr=2016&amp;doc_code=AUD" xr:uid="{D7B73DFE-89E4-41A5-96D3-9EAF82413A40}"/>
    <hyperlink ref="E501" r:id="rId485" display="https://treas-secure.state.mi.us/LAFDocSearch/tl41R01.aspx?&amp;lu_id=807&amp;doc_yr=2016&amp;doc_code=AUD" xr:uid="{2AD65109-E289-4D41-B1A9-3F3C949D002D}"/>
    <hyperlink ref="E502" r:id="rId486" display="https://treas-secure.state.mi.us/LAFDocSearch/tl41R01.aspx?&amp;lu_id=808&amp;doc_yr=2016&amp;doc_code=AUD" xr:uid="{535692F7-12A4-42AC-B93D-FD57436D0C3D}"/>
    <hyperlink ref="E503" r:id="rId487" display="https://treas-secure.state.mi.us/LAFDocSearch/tl41R01.aspx?&amp;lu_id=811&amp;doc_yr=2016&amp;doc_code=AUD" xr:uid="{1F301F71-17A6-40B8-A14D-3A4C5679A45C}"/>
    <hyperlink ref="E504" r:id="rId488" display="https://treas-secure.state.mi.us/LAFDocSearch/tl41R01.aspx?&amp;lu_id=820&amp;doc_yr=2016&amp;doc_code=AUD" xr:uid="{98C6E724-8AD5-40E9-9C41-DFD75E662FED}"/>
    <hyperlink ref="E506" r:id="rId489" display="https://treas-secure.state.mi.us/LAFDocSearch/tl41R01.aspx?&amp;lu_id=830&amp;doc_yr=2016&amp;doc_code=AUD" xr:uid="{97869382-A8FD-48ED-9BBD-333F6B02CFFA}"/>
    <hyperlink ref="E507" r:id="rId490" display="https://treas-secure.state.mi.us/LAFDocSearch/tl41R01.aspx?&amp;lu_id=834&amp;doc_yr=2016&amp;doc_code=AUD" xr:uid="{31AEFB10-2D06-4E5E-808F-3FBC58282242}"/>
    <hyperlink ref="E508" r:id="rId491" display="https://treas-secure.state.mi.us/LAFDocSearch/tl41R01.aspx?&amp;lu_id=831&amp;doc_yr=2016&amp;doc_code=AUD" xr:uid="{26ACAE31-7D59-4C2C-8A15-07C4FD67DA68}"/>
    <hyperlink ref="E509" r:id="rId492" display="https://treas-secure.state.mi.us/LAFDocSearch/tl41R01.aspx?&amp;lu_id=874&amp;doc_yr=2016&amp;doc_code=AUD" xr:uid="{2027A700-C30B-4662-A088-CFED51F24593}"/>
    <hyperlink ref="E510" r:id="rId493" display="https://treas-secure.state.mi.us/LAFDocSearch/tl41R01.aspx?&amp;lu_id=873&amp;doc_yr=2016&amp;doc_code=AUD" xr:uid="{94267C34-D7BC-45D1-A171-7DB22429A64A}"/>
    <hyperlink ref="E511" r:id="rId494" display="https://treas-secure.state.mi.us/LAFDocSearch/tl41R01.aspx?&amp;lu_id=835&amp;doc_yr=2016&amp;doc_code=AUD" xr:uid="{8527F748-3EAA-40B7-93D8-440C535DDA55}"/>
    <hyperlink ref="E512" r:id="rId495" display="https://treas-secure.state.mi.us/LAFDocSearch/tl41R01.aspx?&amp;lu_id=836&amp;doc_yr=2016&amp;doc_code=AUD" xr:uid="{A7C38A9C-19A6-4F16-BB02-56C648E38003}"/>
    <hyperlink ref="E513" r:id="rId496" display="https://treas-secure.state.mi.us/LAFDocSearch/tl41R01.aspx?&amp;lu_id=849&amp;doc_yr=2016&amp;doc_code=AUD" xr:uid="{B2AF3509-2654-4A85-BE73-B358174B5E87}"/>
    <hyperlink ref="E514" r:id="rId497" display="https://treas-secure.state.mi.us/LAFDocSearch/tl41R01.aspx?&amp;lu_id=871&amp;doc_yr=2016&amp;doc_code=AUD" xr:uid="{75527D98-D451-4FF8-8632-2DB8743CE299}"/>
    <hyperlink ref="E515" r:id="rId498" display="https://treas-secure.state.mi.us/LAFDocSearch/tl41R01.aspx?&amp;lu_id=876&amp;doc_yr=2016&amp;doc_code=AUD" xr:uid="{570FD3E7-005E-4944-A9C4-50A58AD86866}"/>
    <hyperlink ref="E516" r:id="rId499" display="https://treas-secure.state.mi.us/LAFDocSearch/tl41R01.aspx?&amp;lu_id=875&amp;doc_yr=2016&amp;doc_code=AUD" xr:uid="{D47F0C46-AC75-424C-A4D5-FAAA98A86AC1}"/>
    <hyperlink ref="E517" r:id="rId500" display="https://treas-secure.state.mi.us/LAFDocSearch/tl41R01.aspx?&amp;lu_id=839&amp;doc_yr=2016&amp;doc_code=AUD" xr:uid="{3CBFE8C4-325F-4E3C-AE8D-B8ADBEC85C87}"/>
    <hyperlink ref="E518" r:id="rId501" display="https://treas-secure.state.mi.us/LAFDocSearch/tl41R01.aspx?&amp;lu_id=840&amp;doc_yr=2016&amp;doc_code=AUD" xr:uid="{4AA26649-4843-4FE2-9AB8-F5F1C0F0557F}"/>
    <hyperlink ref="E519" r:id="rId502" display="https://treas-secure.state.mi.us/LAFDocSearch/tl41R01.aspx?&amp;lu_id=841&amp;doc_yr=2016&amp;doc_code=AUD" xr:uid="{BC86EB7B-3F70-4E4E-8A1E-B1054741F580}"/>
    <hyperlink ref="E520" r:id="rId503" display="https://treas-secure.state.mi.us/LAFDocSearch/tl41R01.aspx?&amp;lu_id=848&amp;doc_yr=2016&amp;doc_code=AUD" xr:uid="{EDB66143-C298-4BA3-BF7B-121A9219B2E4}"/>
    <hyperlink ref="E521" r:id="rId504" display="https://treas-secure.state.mi.us/LAFDocSearch/tl41R01.aspx?&amp;lu_id=872&amp;doc_yr=2016&amp;doc_code=AUD" xr:uid="{819D32A2-57B6-4CA8-B0DD-E050FA87860B}"/>
    <hyperlink ref="E522" r:id="rId505" display="https://treas-secure.state.mi.us/LAFDocSearch/tl41R01.aspx?&amp;lu_id=877&amp;doc_yr=2016&amp;doc_code=AUD" xr:uid="{4615DFCB-70A2-4CDC-939B-919BDD2DC1B9}"/>
    <hyperlink ref="E523" r:id="rId506" display="https://treas-secure.state.mi.us/LAFDocSearch/tl41R01.aspx?&amp;lu_id=843&amp;doc_yr=2016&amp;doc_code=AUD" xr:uid="{DC801FD3-2B44-42A6-BAC2-3424935CA67C}"/>
    <hyperlink ref="E524" r:id="rId507" display="https://treas-secure.state.mi.us/LAFDocSearch/tl41R01.aspx?&amp;lu_id=6162&amp;doc_yr=2016&amp;doc_code=AUD" xr:uid="{D8042345-4C20-4A31-8423-B6877BB408F4}"/>
    <hyperlink ref="E525" r:id="rId508" display="https://treas-secure.state.mi.us/LAFDocSearch/tl41R01.aspx?&amp;lu_id=847&amp;doc_yr=2016&amp;doc_code=AUD" xr:uid="{1EA2A317-6514-4ED9-8991-EF4DBFC59225}"/>
    <hyperlink ref="E527" r:id="rId509" display="https://treas-secure.state.mi.us/LAFDocSearch/tl41R01.aspx?&amp;lu_id=886&amp;doc_yr=2016&amp;doc_code=AUD" xr:uid="{38EF1AB9-0AD4-4C4A-85C3-4B0C42EEFE2D}"/>
    <hyperlink ref="E528" r:id="rId510" display="https://treas-secure.state.mi.us/LAFDocSearch/tl41R01.aspx?&amp;lu_id=902&amp;doc_yr=2016&amp;doc_code=AUD" xr:uid="{BADFED22-1AC3-4BAD-88F9-AE007D9400FA}"/>
    <hyperlink ref="E529" r:id="rId511" display="https://treas-secure.state.mi.us/LAFDocSearch/tl41R01.aspx?&amp;lu_id=884&amp;doc_yr=2016&amp;doc_code=AUD" xr:uid="{7F000DAE-F40A-4B45-B12D-9E1036D38FB8}"/>
    <hyperlink ref="E530" r:id="rId512" display="https://treas-secure.state.mi.us/LAFDocSearch/tl41R01.aspx?&amp;lu_id=885&amp;doc_yr=2016&amp;doc_code=AUD" xr:uid="{4B7692FE-8526-4BC7-93D5-D7EB53511D51}"/>
    <hyperlink ref="E531" r:id="rId513" display="https://treas-secure.state.mi.us/LAFDocSearch/tl41R01.aspx?&amp;lu_id=915&amp;doc_yr=2016&amp;doc_code=AUD" xr:uid="{4AC1CFD7-780E-4D83-9F5B-1EFAA4DA7CE4}"/>
    <hyperlink ref="E532" r:id="rId514" display="https://treas-secure.state.mi.us/LAFDocSearch/tl41R01.aspx?&amp;lu_id=904&amp;doc_yr=2016&amp;doc_code=AUD" xr:uid="{7D66C3BA-B78C-4D91-BDDD-806318E45DF2}"/>
    <hyperlink ref="E533" r:id="rId515" display="https://treas-secure.state.mi.us/LAFDocSearch/tl41R01.aspx?&amp;lu_id=917&amp;doc_yr=2016&amp;doc_code=AUD" xr:uid="{B8C7B28F-606A-49BC-ADFD-09FC70B6030B}"/>
    <hyperlink ref="E534" r:id="rId516" display="https://treas-secure.state.mi.us/LAFDocSearch/tl41R01.aspx?&amp;lu_id=887&amp;doc_yr=2016&amp;doc_code=AUD" xr:uid="{EF2AAE62-FC7B-41C4-8419-425DE684D296}"/>
    <hyperlink ref="E535" r:id="rId517" display="https://treas-secure.state.mi.us/LAFDocSearch/tl41R01.aspx?&amp;lu_id=888&amp;doc_yr=2016&amp;doc_code=AUD" xr:uid="{F5356DF7-FD08-45AF-B155-BA4F69C07C01}"/>
    <hyperlink ref="E536" r:id="rId518" display="https://treas-secure.state.mi.us/LAFDocSearch/tl41R01.aspx?&amp;lu_id=889&amp;doc_yr=2016&amp;doc_code=AUD" xr:uid="{6121DB6A-3AFF-40B7-BA6C-0E9340A1F6D7}"/>
    <hyperlink ref="E537" r:id="rId519" display="https://treas-secure.state.mi.us/LAFDocSearch/tl41R01.aspx?&amp;lu_id=890&amp;doc_yr=2016&amp;doc_code=AUD" xr:uid="{6C6A825F-0478-45A0-A2F1-3C345635BD45}"/>
    <hyperlink ref="E538" r:id="rId520" display="https://treas-secure.state.mi.us/LAFDocSearch/tl41R01.aspx?&amp;lu_id=891&amp;doc_yr=2016&amp;doc_code=AUD" xr:uid="{49F9224B-AEF7-427B-ADEC-0DB199540EDD}"/>
    <hyperlink ref="E539" r:id="rId521" display="https://treas-secure.state.mi.us/LAFDocSearch/tl41R01.aspx?&amp;lu_id=892&amp;doc_yr=2016&amp;doc_code=AUD" xr:uid="{C3C9738B-04B2-4380-970D-17AB8BC54AB2}"/>
    <hyperlink ref="E540" r:id="rId522" display="https://treas-secure.state.mi.us/LAFDocSearch/tl41R01.aspx?&amp;lu_id=903&amp;doc_yr=2016&amp;doc_code=AUD" xr:uid="{8B68AD09-DB4B-4953-878E-18A814F44A1E}"/>
    <hyperlink ref="E541" r:id="rId523" display="https://treas-secure.state.mi.us/LAFDocSearch/tl41R01.aspx?&amp;lu_id=920&amp;doc_yr=2016&amp;doc_code=AUD" xr:uid="{11EC6CE5-4861-4296-86C4-2A366C58E54C}"/>
    <hyperlink ref="E542" r:id="rId524" display="https://treas-secure.state.mi.us/LAFDocSearch/tl41R01.aspx?&amp;lu_id=923&amp;doc_yr=2016&amp;doc_code=AUD" xr:uid="{B2719D47-26B7-43EE-A6AA-52BFC6EAF8FA}"/>
    <hyperlink ref="E543" r:id="rId525" display="https://treas-secure.state.mi.us/LAFDocSearch/tl41R01.aspx?&amp;lu_id=894&amp;doc_yr=2016&amp;doc_code=AUD" xr:uid="{65E79EBB-58FD-4E4E-89B3-6508447D6A6A}"/>
    <hyperlink ref="E544" r:id="rId526" display="https://treas-secure.state.mi.us/LAFDocSearch/tl41R01.aspx?&amp;lu_id=895&amp;doc_yr=2016&amp;doc_code=AUD" xr:uid="{6241DB25-5536-473F-BC82-82BE186BD736}"/>
    <hyperlink ref="E545" r:id="rId527" display="https://treas-secure.state.mi.us/LAFDocSearch/tl41R01.aspx?&amp;lu_id=896&amp;doc_yr=2016&amp;doc_code=AUD" xr:uid="{9EC928A6-FCBD-4C1A-9942-01821AC72F08}"/>
    <hyperlink ref="E546" r:id="rId528" display="https://treas-secure.state.mi.us/LAFDocSearch/tl41R01.aspx?&amp;lu_id=918&amp;doc_yr=2016&amp;doc_code=AUD" xr:uid="{26777A8E-6B77-4326-BA97-182834ECEBDF}"/>
    <hyperlink ref="E547" r:id="rId529" display="https://treas-secure.state.mi.us/LAFDocSearch/tl41R01.aspx?&amp;lu_id=921&amp;doc_yr=2016&amp;doc_code=AUD" xr:uid="{8F802F9A-4D5B-49B7-8CB7-8C01E2CA68B8}"/>
    <hyperlink ref="E548" r:id="rId530" display="https://treas-secure.state.mi.us/LAFDocSearch/tl41R01.aspx?&amp;lu_id=897&amp;doc_yr=2016&amp;doc_code=AUD" xr:uid="{965035CE-F938-4C14-A8F2-CE37382D6D81}"/>
    <hyperlink ref="E549" r:id="rId531" display="https://treas-secure.state.mi.us/LAFDocSearch/tl41R01.aspx?&amp;lu_id=898&amp;doc_yr=2016&amp;doc_code=AUD" xr:uid="{0D69CD4C-116C-497D-B36F-06877E63CE29}"/>
    <hyperlink ref="E550" r:id="rId532" display="https://treas-secure.state.mi.us/LAFDocSearch/tl41R01.aspx?&amp;lu_id=899&amp;doc_yr=2016&amp;doc_code=AUD" xr:uid="{9DCDB74A-6481-425F-BC79-BB08F4896C1F}"/>
    <hyperlink ref="E551" r:id="rId533" display="https://treas-secure.state.mi.us/LAFDocSearch/tl41R01.aspx?&amp;lu_id=900&amp;doc_yr=2016&amp;doc_code=AUD" xr:uid="{0E3BD8C9-CE60-475D-944A-2B56201D96CE}"/>
    <hyperlink ref="E552" r:id="rId534" display="https://treas-secure.state.mi.us/LAFDocSearch/tl41R01.aspx?&amp;lu_id=901&amp;doc_yr=2016&amp;doc_code=AUD" xr:uid="{EEBD7E31-5DB2-4447-84B3-DF2720694612}"/>
    <hyperlink ref="E554" r:id="rId535" display="https://treas-secure.state.mi.us/LAFDocSearch/tl41R01.aspx?&amp;lu_id=927&amp;doc_yr=2016&amp;doc_code=AUD" xr:uid="{A31304F1-1790-4572-8FEA-ADEF3B7DE7AD}"/>
    <hyperlink ref="E555" r:id="rId536" display="https://treas-secure.state.mi.us/LAFDocSearch/tl41R01.aspx?&amp;lu_id=984&amp;doc_yr=2016&amp;doc_code=AUD" xr:uid="{555A77AB-CF90-4E12-8B1E-83675743362D}"/>
    <hyperlink ref="E556" r:id="rId537" display="https://treas-secure.state.mi.us/LAFDocSearch/tl41R01.aspx?&amp;lu_id=928&amp;doc_yr=2016&amp;doc_code=AUD" xr:uid="{DB9C1307-1113-4A6A-9488-D17A8CE1C5CE}"/>
    <hyperlink ref="E557" r:id="rId538" display="https://treas-secure.state.mi.us/LAFDocSearch/tl41R01.aspx?&amp;lu_id=929&amp;doc_yr=2016&amp;doc_code=AUD" xr:uid="{1D1E3827-1C26-4AF8-9924-21875A70C952}"/>
    <hyperlink ref="E558" r:id="rId539" display="https://treas-secure.state.mi.us/LAFDocSearch/tl41R01.aspx?&amp;lu_id=7856&amp;doc_yr=2016&amp;doc_code=AUD" xr:uid="{B6648C01-8322-48A6-B1BF-4F3626817038}"/>
    <hyperlink ref="E559" r:id="rId540" display="https://treas-secure.state.mi.us/LAFDocSearch/tl41R01.aspx?&amp;lu_id=925&amp;doc_yr=2016&amp;doc_code=AUD" xr:uid="{989A8E1D-A7FD-46EC-B083-20414DFC85D5}"/>
    <hyperlink ref="E560" r:id="rId541" display="https://treas-secure.state.mi.us/LAFDocSearch/tl41R01.aspx?&amp;lu_id=986&amp;doc_yr=2016&amp;doc_code=AUD" xr:uid="{832E1EB8-C7EF-4C66-BA5E-A0D1120576EA}"/>
    <hyperlink ref="E561" r:id="rId542" display="https://treas-secure.state.mi.us/LAFDocSearch/tl41R01.aspx?&amp;lu_id=985&amp;doc_yr=2016&amp;doc_code=AUD" xr:uid="{5B4D5763-2403-4B6A-8844-FAA3CEED13A1}"/>
    <hyperlink ref="E562" r:id="rId543" display="https://treas-secure.state.mi.us/LAFDocSearch/tl41R01.aspx?&amp;lu_id=977&amp;doc_yr=2016&amp;doc_code=AUD" xr:uid="{C66941CC-4344-4067-85E8-4B7485CFBC2D}"/>
    <hyperlink ref="E563" r:id="rId544" display="https://treas-secure.state.mi.us/LAFDocSearch/tl41R01.aspx?&amp;lu_id=976&amp;doc_yr=2016&amp;doc_code=AUD" xr:uid="{B8533E2B-8ABF-4F63-9218-6BEC2F237DF2}"/>
    <hyperlink ref="E564" r:id="rId545" display="https://treas-secure.state.mi.us/LAFDocSearch/tl41R01.aspx?&amp;lu_id=926&amp;doc_yr=2016&amp;doc_code=AUD" xr:uid="{78B8AA4F-4757-48F3-9C8A-4F23C1BD3635}"/>
    <hyperlink ref="E565" r:id="rId546" display="https://treas-secure.state.mi.us/LAFDocSearch/tl41R01.aspx?&amp;lu_id=930&amp;doc_yr=2016&amp;doc_code=AUD" xr:uid="{AE35B236-2F97-4DD5-B386-37F36A6372CA}"/>
    <hyperlink ref="E566" r:id="rId547" display="https://treas-secure.state.mi.us/LAFDocSearch/tl41R01.aspx?&amp;lu_id=943&amp;doc_yr=2016&amp;doc_code=AUD" xr:uid="{69D0B944-512B-486E-AB09-71BF85754E94}"/>
    <hyperlink ref="E567" r:id="rId548" display="https://treas-secure.state.mi.us/LAFDocSearch/tl41R01.aspx?&amp;lu_id=975&amp;doc_yr=2016&amp;doc_code=AUD" xr:uid="{0397774E-7373-4B8C-BFE0-1A51B2196E3D}"/>
    <hyperlink ref="E568" r:id="rId549" display="https://treas-secure.state.mi.us/LAFDocSearch/tl41R01.aspx?&amp;lu_id=981&amp;doc_yr=2016&amp;doc_code=AUD" xr:uid="{58BC9279-2447-46C3-B989-3EBB0655FA1E}"/>
    <hyperlink ref="E569" r:id="rId550" display="https://treas-secure.state.mi.us/LAFDocSearch/tl41R01.aspx?&amp;lu_id=931&amp;doc_yr=2016&amp;doc_code=AUD" xr:uid="{80A2F01B-12E6-4E4B-BCC8-EF6D527B3C75}"/>
    <hyperlink ref="E570" r:id="rId551" display="https://treas-secure.state.mi.us/LAFDocSearch/tl41R01.aspx?&amp;lu_id=973&amp;doc_yr=2016&amp;doc_code=AUD" xr:uid="{6C4761CF-5B04-4AE9-809E-7EF5941CB978}"/>
    <hyperlink ref="E571" r:id="rId552" display="https://treas-secure.state.mi.us/LAFDocSearch/tl41R01.aspx?&amp;lu_id=987&amp;doc_yr=2016&amp;doc_code=AUD" xr:uid="{ED34FBF3-2E84-4546-95D5-06FB00B22425}"/>
    <hyperlink ref="E572" r:id="rId553" display="https://treas-secure.state.mi.us/LAFDocSearch/tl41R01.aspx?&amp;lu_id=932&amp;doc_yr=2016&amp;doc_code=AUD" xr:uid="{C90B4C5A-3136-4B4D-9931-141451E3618A}"/>
    <hyperlink ref="E573" r:id="rId554" display="https://treas-secure.state.mi.us/LAFDocSearch/tl41R01.aspx?&amp;lu_id=933&amp;doc_yr=2016&amp;doc_code=AUD" xr:uid="{AC4749C4-E4F7-43D8-B75A-EBF67C45BBFF}"/>
    <hyperlink ref="E574" r:id="rId555" display="https://treas-secure.state.mi.us/LAFDocSearch/tl41R01.aspx?&amp;lu_id=946&amp;doc_yr=2016&amp;doc_code=AUD" xr:uid="{BE61499B-68D8-4C04-BCB6-E42E763771F1}"/>
    <hyperlink ref="E575" r:id="rId556" display="https://treas-secure.state.mi.us/LAFDocSearch/tl41R01.aspx?&amp;lu_id=983&amp;doc_yr=2016&amp;doc_code=AUD" xr:uid="{7E14F6AF-B0F8-4D41-9168-DDF49EAF46BF}"/>
    <hyperlink ref="E576" r:id="rId557" display="https://treas-secure.state.mi.us/LAFDocSearch/tl41R01.aspx?&amp;lu_id=988&amp;doc_yr=2016&amp;doc_code=AUD" xr:uid="{6EAA9731-8AC7-49B5-8CDB-2A09A923283D}"/>
    <hyperlink ref="E577" r:id="rId558" display="https://treas-secure.state.mi.us/LAFDocSearch/tl41R01.aspx?&amp;lu_id=934&amp;doc_yr=2016&amp;doc_code=AUD" xr:uid="{B3E61F96-D37D-4741-84CC-2D2AE68C6465}"/>
    <hyperlink ref="E578" r:id="rId559" display="https://treas-secure.state.mi.us/LAFDocSearch/tl41R01.aspx?&amp;lu_id=935&amp;doc_yr=2016&amp;doc_code=AUD" xr:uid="{529D14EE-1899-4636-A3E7-32B4504ED58B}"/>
    <hyperlink ref="E579" r:id="rId560" display="https://treas-secure.state.mi.us/LAFDocSearch/tl41R01.aspx?&amp;lu_id=936&amp;doc_yr=2016&amp;doc_code=AUD" xr:uid="{0F0A6C9B-4D22-49DB-AB5A-B5F14D2D1D28}"/>
    <hyperlink ref="E580" r:id="rId561" display="https://treas-secure.state.mi.us/LAFDocSearch/tl41R01.aspx?&amp;lu_id=979&amp;doc_yr=2016&amp;doc_code=AUD" xr:uid="{3281BCFD-E1E5-4A9B-8EB2-B8E52E95D9EE}"/>
    <hyperlink ref="E581" r:id="rId562" display="https://treas-secure.state.mi.us/LAFDocSearch/tl41R01.aspx?&amp;lu_id=948&amp;doc_yr=2016&amp;doc_code=AUD" xr:uid="{B01DF763-721C-4CDA-B6AA-BE5F6E6ACD1B}"/>
    <hyperlink ref="E582" r:id="rId563" display="https://treas-secure.state.mi.us/LAFDocSearch/tl41R01.aspx?&amp;lu_id=7630&amp;doc_yr=2016&amp;doc_code=AUD" xr:uid="{F502FCF3-7953-4139-9582-BAE2804E888E}"/>
    <hyperlink ref="E583" r:id="rId564" display="https://treas-secure.state.mi.us/LAFDocSearch/tl41R01.aspx?&amp;lu_id=938&amp;doc_yr=2016&amp;doc_code=AUD" xr:uid="{6BE9A5D8-CA81-475F-B438-3B9A2B1E7618}"/>
    <hyperlink ref="E584" r:id="rId565" display="https://treas-secure.state.mi.us/LAFDocSearch/tl41R01.aspx?&amp;lu_id=989&amp;doc_yr=2016&amp;doc_code=AUD" xr:uid="{F8F189D8-D481-43FC-B1B1-CFA8E9103C42}"/>
    <hyperlink ref="E585" r:id="rId566" display="https://treas-secure.state.mi.us/LAFDocSearch/tl41R01.aspx?&amp;lu_id=982&amp;doc_yr=2016&amp;doc_code=AUD" xr:uid="{8C3B9659-7918-4A2D-BE55-3ABA4F4DE8EB}"/>
    <hyperlink ref="E586" r:id="rId567" display="https://treas-secure.state.mi.us/LAFDocSearch/tl41R01.aspx?&amp;lu_id=974&amp;doc_yr=2016&amp;doc_code=AUD" xr:uid="{FB83A618-C284-44ED-819F-D334DCD29D46}"/>
    <hyperlink ref="E587" r:id="rId568" display="https://treas-secure.state.mi.us/LAFDocSearch/tl41R01.aspx?&amp;lu_id=944&amp;doc_yr=2016&amp;doc_code=AUD" xr:uid="{3DA37151-3900-43DC-A7D3-30E140DC9257}"/>
    <hyperlink ref="E588" r:id="rId569" display="https://treas-secure.state.mi.us/LAFDocSearch/tl41R01.aspx?&amp;lu_id=940&amp;doc_yr=2016&amp;doc_code=AUD" xr:uid="{84E99AED-D7A1-4098-9DEB-A1D8D4882053}"/>
    <hyperlink ref="E589" r:id="rId570" display="https://treas-secure.state.mi.us/LAFDocSearch/tl41R01.aspx?&amp;lu_id=941&amp;doc_yr=2016&amp;doc_code=AUD" xr:uid="{2AB63240-F352-410B-861C-A14E5347C647}"/>
    <hyperlink ref="E590" r:id="rId571" display="https://treas-secure.state.mi.us/LAFDocSearch/tl41R01.aspx?&amp;lu_id=942&amp;doc_yr=2016&amp;doc_code=AUD" xr:uid="{9A089672-20B6-4ADD-87E2-76D9788C9155}"/>
    <hyperlink ref="E591" r:id="rId572" display="https://treas-secure.state.mi.us/LAFDocSearch/tl41R01.aspx?&amp;lu_id=950&amp;doc_yr=2016&amp;doc_code=AUD" xr:uid="{02F11905-667F-4642-B219-0ED601190543}"/>
    <hyperlink ref="E593" r:id="rId573" display="https://treas-secure.state.mi.us/LAFDocSearch/tl41R01.aspx?&amp;lu_id=993&amp;doc_yr=2016&amp;doc_code=AUD" xr:uid="{F975F48E-C52E-47EB-8761-C8A4916AA098}"/>
    <hyperlink ref="E594" r:id="rId574" display="https://treas-secure.state.mi.us/LAFDocSearch/tl41R01.aspx?&amp;lu_id=991&amp;doc_yr=2016&amp;doc_code=AUD" xr:uid="{8D7393C4-CD02-4237-BA92-13121B10F10B}"/>
    <hyperlink ref="E595" r:id="rId575" display="https://treas-secure.state.mi.us/LAFDocSearch/tl41R01.aspx?&amp;lu_id=992&amp;doc_yr=2016&amp;doc_code=AUD" xr:uid="{6F1FCB5B-389F-4448-AB5F-619C3E173AB4}"/>
    <hyperlink ref="E596" r:id="rId576" display="https://treas-secure.state.mi.us/LAFDocSearch/tl41R01.aspx?&amp;lu_id=1005&amp;doc_yr=2016&amp;doc_code=AUD" xr:uid="{9FF2C339-7292-4D3E-82E1-132127E4DE15}"/>
    <hyperlink ref="E597" r:id="rId577" display="https://treas-secure.state.mi.us/LAFDocSearch/tl41R01.aspx?&amp;lu_id=994&amp;doc_yr=2016&amp;doc_code=AUD" xr:uid="{172138E4-B741-4FA5-9843-791C942ADADA}"/>
    <hyperlink ref="E598" r:id="rId578" display="https://treas-secure.state.mi.us/LAFDocSearch/tl41R01.aspx?&amp;lu_id=999&amp;doc_yr=2016&amp;doc_code=AUD" xr:uid="{4BCDE0C2-3177-43DB-BB01-D734DFFBADC7}"/>
    <hyperlink ref="E599" r:id="rId579" display="https://treas-secure.state.mi.us/LAFDocSearch/tl41R01.aspx?&amp;lu_id=995&amp;doc_yr=2016&amp;doc_code=AUD" xr:uid="{2A6BBF40-3DDB-4CB2-8EEA-3C77C8BB7C27}"/>
    <hyperlink ref="E600" r:id="rId580" display="https://treas-secure.state.mi.us/LAFDocSearch/tl41R01.aspx?&amp;lu_id=1003&amp;doc_yr=2016&amp;doc_code=AUD" xr:uid="{7A17BFDA-AF6E-4F60-9818-472ACBFE4A36}"/>
    <hyperlink ref="E601" r:id="rId581" display="https://treas-secure.state.mi.us/LAFDocSearch/tl41R01.aspx?&amp;lu_id=1004&amp;doc_yr=2016&amp;doc_code=AUD" xr:uid="{CA95CF5A-D7F5-40AB-9009-B1AC4FB89F56}"/>
    <hyperlink ref="E602" r:id="rId582" display="https://treas-secure.state.mi.us/LAFDocSearch/tl41R01.aspx?&amp;lu_id=996&amp;doc_yr=2016&amp;doc_code=AUD" xr:uid="{9874E07C-EAA7-4EC5-AA95-7758579E4C95}"/>
    <hyperlink ref="E603" r:id="rId583" display="https://treas-secure.state.mi.us/LAFDocSearch/tl41R01.aspx?&amp;lu_id=997&amp;doc_yr=2016&amp;doc_code=AUD" xr:uid="{A5914BDA-DA0C-42BE-BB2C-2FA4D603ACB1}"/>
    <hyperlink ref="E604" r:id="rId584" display="https://treas-secure.state.mi.us/LAFDocSearch/tl41R01.aspx?&amp;lu_id=998&amp;doc_yr=2016&amp;doc_code=AUD" xr:uid="{44B0C357-4870-4375-B301-4651B320216F}"/>
    <hyperlink ref="E606" r:id="rId585" display="https://treas-secure.state.mi.us/LAFDocSearch/tl41R01.aspx?&amp;lu_id=1009&amp;doc_yr=2016&amp;doc_code=AUD" xr:uid="{4AD683FF-BD16-426C-A6C6-41AD873A9DC5}"/>
    <hyperlink ref="E607" r:id="rId586" display="https://treas-secure.state.mi.us/LAFDocSearch/tl41R01.aspx?&amp;lu_id=1011&amp;doc_yr=2016&amp;doc_code=AUD" xr:uid="{ED12334E-F930-4F50-8499-11A4F908CCE8}"/>
    <hyperlink ref="E608" r:id="rId587" display="https://treas-secure.state.mi.us/LAFDocSearch/tl41R01.aspx?&amp;lu_id=1033&amp;doc_yr=2016&amp;doc_code=AUD" xr:uid="{E8E27BEB-146C-4065-8946-C25E4B7839D2}"/>
    <hyperlink ref="E609" r:id="rId588" display="https://treas-secure.state.mi.us/LAFDocSearch/tl41R01.aspx?&amp;lu_id=1012&amp;doc_yr=2016&amp;doc_code=AUD" xr:uid="{362303C0-9BFA-4E54-BF81-937AC67FD98E}"/>
    <hyperlink ref="E610" r:id="rId589" display="https://treas-secure.state.mi.us/LAFDocSearch/tl41R01.aspx?&amp;lu_id=1013&amp;doc_yr=2016&amp;doc_code=AUD" xr:uid="{BAC22E0A-DCF5-435E-9C75-DA6F330F1698}"/>
    <hyperlink ref="E611" r:id="rId590" display="https://treas-secure.state.mi.us/LAFDocSearch/tl41R01.aspx?&amp;lu_id=1007&amp;doc_yr=2016&amp;doc_code=AUD" xr:uid="{0D6E6540-25F3-497D-B231-E494217D6CAF}"/>
    <hyperlink ref="E612" r:id="rId591" display="https://treas-secure.state.mi.us/LAFDocSearch/tl41R01.aspx?&amp;lu_id=1042&amp;doc_yr=2016&amp;doc_code=AUD" xr:uid="{BF920512-519C-4EB6-B06C-C3896DDE3D16}"/>
    <hyperlink ref="E613" r:id="rId592" display="https://treas-secure.state.mi.us/LAFDocSearch/tl41R01.aspx?&amp;lu_id=1049&amp;doc_yr=2016&amp;doc_code=AUD" xr:uid="{1877791A-A626-422B-A580-6E74B823E468}"/>
    <hyperlink ref="E614" r:id="rId593" display="https://treas-secure.state.mi.us/LAFDocSearch/tl41R01.aspx?&amp;lu_id=1008&amp;doc_yr=2016&amp;doc_code=AUD" xr:uid="{57F38F67-8826-493A-9ADC-4CD9420C94C8}"/>
    <hyperlink ref="E615" r:id="rId594" display="https://treas-secure.state.mi.us/LAFDocSearch/tl41R01.aspx?&amp;lu_id=1036&amp;doc_yr=2016&amp;doc_code=AUD" xr:uid="{A173F1FD-5C34-4A1F-B59C-B4EBE44C6BAD}"/>
    <hyperlink ref="E616" r:id="rId595" display="https://treas-secure.state.mi.us/LAFDocSearch/tl41R01.aspx?&amp;lu_id=1023&amp;doc_yr=2016&amp;doc_code=AUD" xr:uid="{9B7534E4-B1FA-4C1F-8C90-18067D203250}"/>
    <hyperlink ref="E617" r:id="rId596" display="https://treas-secure.state.mi.us/LAFDocSearch/tl41R01.aspx?&amp;lu_id=1043&amp;doc_yr=2016&amp;doc_code=AUD" xr:uid="{CB4C8AC0-8889-45A3-B82E-46A55F6AFAED}"/>
    <hyperlink ref="E618" r:id="rId597" display="https://treas-secure.state.mi.us/LAFDocSearch/tl41R01.aspx?&amp;lu_id=1016&amp;doc_yr=2016&amp;doc_code=AUD" xr:uid="{24D67B15-C843-4C4E-9EA1-1D993FFF0677}"/>
    <hyperlink ref="E619" r:id="rId598" display="https://treas-secure.state.mi.us/LAFDocSearch/tl41R01.aspx?&amp;lu_id=1017&amp;doc_yr=2016&amp;doc_code=AUD" xr:uid="{067B04E0-3095-4FD3-83A3-420EBF3BEE28}"/>
    <hyperlink ref="E620" r:id="rId599" display="https://treas-secure.state.mi.us/LAFDocSearch/tl41R01.aspx?&amp;lu_id=1040&amp;doc_yr=2016&amp;doc_code=AUD" xr:uid="{4F4686B2-7907-48F6-83F4-F3521DF6AF8C}"/>
    <hyperlink ref="E621" r:id="rId600" display="https://treas-secure.state.mi.us/LAFDocSearch/tl41R01.aspx?&amp;lu_id=1018&amp;doc_yr=2016&amp;doc_code=AUD" xr:uid="{0B14A4F1-4D89-4F67-AF7B-7ACA39ED1CCD}"/>
    <hyperlink ref="E622" r:id="rId601" display="https://treas-secure.state.mi.us/LAFDocSearch/tl41R01.aspx?&amp;lu_id=1024&amp;doc_yr=2016&amp;doc_code=AUD" xr:uid="{5C21B109-A725-4281-A961-683C82C6CCC2}"/>
    <hyperlink ref="E623" r:id="rId602" display="https://treas-secure.state.mi.us/LAFDocSearch/tl41R01.aspx?&amp;lu_id=1044&amp;doc_yr=2016&amp;doc_code=AUD" xr:uid="{A10CDC2B-0A16-4840-BE3A-87713E3B69B8}"/>
    <hyperlink ref="E624" r:id="rId603" display="https://treas-secure.state.mi.us/LAFDocSearch/tl41R01.aspx?&amp;lu_id=1020&amp;doc_yr=2016&amp;doc_code=AUD" xr:uid="{A8EAD82E-7AD1-493D-8895-93FBB9EC80B3}"/>
    <hyperlink ref="E625" r:id="rId604" display="https://treas-secure.state.mi.us/LAFDocSearch/tl41R01.aspx?&amp;lu_id=1021&amp;doc_yr=2016&amp;doc_code=AUD" xr:uid="{22D721FD-4D39-4C21-A025-6852C717E3E2}"/>
    <hyperlink ref="E626" r:id="rId605" display="https://treas-secure.state.mi.us/LAFDocSearch/tl41R01.aspx?&amp;lu_id=1041&amp;doc_yr=2016&amp;doc_code=AUD" xr:uid="{FD28F71E-4B91-4826-BF00-E5BE1234F336}"/>
    <hyperlink ref="E627" r:id="rId606" display="https://treas-secure.state.mi.us/LAFDocSearch/tl41R01.aspx?&amp;lu_id=6088&amp;doc_yr=2016&amp;doc_code=AUD" xr:uid="{6248EEBC-DBF1-45C5-91D6-544030265E6F}"/>
    <hyperlink ref="E628" r:id="rId607" display="https://treas-secure.state.mi.us/LAFDocSearch/tl41R01.aspx?&amp;lu_id=1047&amp;doc_yr=2016&amp;doc_code=AUD" xr:uid="{52B51E69-FD39-4C58-8BDF-E568D47788DD}"/>
    <hyperlink ref="E629" r:id="rId608" display="https://treas-secure.state.mi.us/LAFDocSearch/tl41R01.aspx?&amp;lu_id=5994&amp;doc_yr=2016&amp;doc_code=AUD" xr:uid="{64D6E3AB-A57B-4230-8EF6-96860C540C09}"/>
    <hyperlink ref="E630" r:id="rId609" display="https://treas-secure.state.mi.us/LAFDocSearch/tl41R01.aspx?&amp;lu_id=6153&amp;doc_yr=2016&amp;doc_code=AUD" xr:uid="{27D070DB-6C9E-47A4-8AF3-EFEE01CB2994}"/>
    <hyperlink ref="E631" r:id="rId610" display="https://treas-secure.state.mi.us/LAFDocSearch/tl41R01.aspx?&amp;lu_id=1048&amp;doc_yr=2016&amp;doc_code=AUD" xr:uid="{07B5EE06-4CFE-472D-8C18-A606D587D0B1}"/>
    <hyperlink ref="E632" r:id="rId611" display="https://treas-secure.state.mi.us/LAFDocSearch/tl41R01.aspx?&amp;lu_id=1022&amp;doc_yr=2016&amp;doc_code=AUD" xr:uid="{E16D1282-1BF6-4953-8567-AFD171289F25}"/>
    <hyperlink ref="E634" r:id="rId612" display="https://treas-secure.state.mi.us/LAFDocSearch/tl41R01.aspx?&amp;lu_id=1054&amp;doc_yr=2016&amp;doc_code=AUD" xr:uid="{072CB59F-17BD-4E39-9BD5-02EA7BE4124D}"/>
    <hyperlink ref="E635" r:id="rId613" display="https://treas-secure.state.mi.us/LAFDocSearch/tl41R01.aspx?&amp;lu_id=1055&amp;doc_yr=2016&amp;doc_code=AUD" xr:uid="{47B2A700-E80B-44A1-B52D-4D8CDABB52C5}"/>
    <hyperlink ref="E636" r:id="rId614" display="https://treas-secure.state.mi.us/LAFDocSearch/tl41R01.aspx?&amp;lu_id=1075&amp;doc_yr=2016&amp;doc_code=AUD" xr:uid="{F8344E85-BB8C-4470-9919-9C960E348D5C}"/>
    <hyperlink ref="E637" r:id="rId615" display="https://treas-secure.state.mi.us/LAFDocSearch/tl41R01.aspx?&amp;lu_id=1052&amp;doc_yr=2016&amp;doc_code=AUD" xr:uid="{11876C9A-8C8B-4BCC-9B81-1536FCFCC9B9}"/>
    <hyperlink ref="E638" r:id="rId616" display="https://treas-secure.state.mi.us/LAFDocSearch/tl41R01.aspx?&amp;lu_id=1076&amp;doc_yr=2016&amp;doc_code=AUD" xr:uid="{11102275-2FE8-4CF6-B01F-9237DF5959A7}"/>
    <hyperlink ref="E639" r:id="rId617" display="https://treas-secure.state.mi.us/LAFDocSearch/tl41R01.aspx?&amp;lu_id=1080&amp;doc_yr=2016&amp;doc_code=AUD" xr:uid="{63872797-C297-441A-B3F2-38106D221263}"/>
    <hyperlink ref="E640" r:id="rId618" display="https://treas-secure.state.mi.us/LAFDocSearch/tl41R01.aspx?&amp;lu_id=1083&amp;doc_yr=2016&amp;doc_code=AUD" xr:uid="{DFEE2F9E-5B00-47FE-B16B-52997DAFF906}"/>
    <hyperlink ref="E641" r:id="rId619" display="https://treas-secure.state.mi.us/LAFDocSearch/tl41R01.aspx?&amp;lu_id=1053&amp;doc_yr=2016&amp;doc_code=AUD" xr:uid="{3AE9A383-A864-4059-BCD6-E29B467206DD}"/>
    <hyperlink ref="E642" r:id="rId620" display="https://treas-secure.state.mi.us/LAFDocSearch/tl41R01.aspx?&amp;lu_id=1056&amp;doc_yr=2016&amp;doc_code=AUD" xr:uid="{F6B8BBFA-D5F9-45B4-B350-9FDF8078BD62}"/>
    <hyperlink ref="E643" r:id="rId621" display="https://treas-secure.state.mi.us/LAFDocSearch/tl41R01.aspx?&amp;lu_id=1061&amp;doc_yr=2016&amp;doc_code=AUD" xr:uid="{78C7636D-9051-4D6B-B19A-3B63C15A295A}"/>
    <hyperlink ref="E644" r:id="rId622" display="https://treas-secure.state.mi.us/LAFDocSearch/tl41R01.aspx?&amp;lu_id=1081&amp;doc_yr=2016&amp;doc_code=AUD" xr:uid="{7BD66978-0C88-411C-86D4-FDB5BB8D941E}"/>
    <hyperlink ref="E645" r:id="rId623" display="https://treas-secure.state.mi.us/LAFDocSearch/tl41R01.aspx?&amp;lu_id=1078&amp;doc_yr=2016&amp;doc_code=AUD" xr:uid="{B493F5F0-202C-44B9-888B-025562247E80}"/>
    <hyperlink ref="E646" r:id="rId624" display="https://treas-secure.state.mi.us/LAFDocSearch/tl41R01.aspx?&amp;lu_id=1062&amp;doc_yr=2016&amp;doc_code=AUD" xr:uid="{38077714-6AC6-4C9E-A602-060D21472569}"/>
    <hyperlink ref="E647" r:id="rId625" display="https://treas-secure.state.mi.us/LAFDocSearch/tl41R01.aspx?&amp;lu_id=1079&amp;doc_yr=2016&amp;doc_code=AUD" xr:uid="{666F7471-A2E1-4FE4-BDFF-B6EA8765D04D}"/>
    <hyperlink ref="E648" r:id="rId626" display="https://treas-secure.state.mi.us/LAFDocSearch/tl41R01.aspx?&amp;lu_id=1077&amp;doc_yr=2016&amp;doc_code=AUD" xr:uid="{65DAA0CA-DCE7-4427-B91E-130B14A75164}"/>
    <hyperlink ref="E649" r:id="rId627" display="https://treas-secure.state.mi.us/LAFDocSearch/tl41R01.aspx?&amp;lu_id=1063&amp;doc_yr=2016&amp;doc_code=AUD" xr:uid="{C14BE7BA-79BA-4BED-B8BD-7BF6C6338F08}"/>
    <hyperlink ref="E650" r:id="rId628" display="https://treas-secure.state.mi.us/LAFDocSearch/tl41R01.aspx?&amp;lu_id=1057&amp;doc_yr=2016&amp;doc_code=AUD" xr:uid="{DFFE83C0-5D11-4AD0-AD2B-C3C33F0038EF}"/>
    <hyperlink ref="E651" r:id="rId629" display="https://treas-secure.state.mi.us/LAFDocSearch/tl41R01.aspx?&amp;lu_id=1058&amp;doc_yr=2016&amp;doc_code=AUD" xr:uid="{778B21EF-D652-4798-A45F-77420968B5DF}"/>
    <hyperlink ref="E653" r:id="rId630" display="https://treas-secure.state.mi.us/LAFDocSearch/tl41R01.aspx?&amp;lu_id=1256&amp;doc_yr=2016&amp;doc_code=AUD" xr:uid="{8DB3AC9D-5149-4F6F-8E23-FB839B7A373E}"/>
    <hyperlink ref="E654" r:id="rId631" display="https://treas-secure.state.mi.us/LAFDocSearch/tl41R01.aspx?&amp;lu_id=1091&amp;doc_yr=2016&amp;doc_code=AUD" xr:uid="{E4564DB5-CB58-400C-B1FB-BA0A19BF7CF0}"/>
    <hyperlink ref="E655" r:id="rId632" display="https://treas-secure.state.mi.us/LAFDocSearch/tl41R01.aspx?&amp;lu_id=1092&amp;doc_yr=2016&amp;doc_code=AUD" xr:uid="{3491400D-0BD5-447E-A2BB-4E68B4D0FAE9}"/>
    <hyperlink ref="E656" r:id="rId633" display="https://treas-secure.state.mi.us/LAFDocSearch/tl41R01.aspx?&amp;lu_id=1093&amp;doc_yr=2016&amp;doc_code=AUD" xr:uid="{0485083D-71D6-4673-B6A1-CC957156ACD2}"/>
    <hyperlink ref="E657" r:id="rId634" display="https://treas-secure.state.mi.us/LAFDocSearch/tl41R01.aspx?&amp;lu_id=1106&amp;doc_yr=2016&amp;doc_code=AUD" xr:uid="{9C6B8937-A688-4D4C-8FC8-77B5F424AEE2}"/>
    <hyperlink ref="E658" r:id="rId635" display="https://treas-secure.state.mi.us/LAFDocSearch/tl41R01.aspx?&amp;lu_id=1261&amp;doc_yr=2016&amp;doc_code=AUD" xr:uid="{8A8F1C9C-BBA8-4BDC-9F40-8CE87118A89E}"/>
    <hyperlink ref="E659" r:id="rId636" display="https://treas-secure.state.mi.us/LAFDocSearch/tl41R01.aspx?&amp;lu_id=1094&amp;doc_yr=2016&amp;doc_code=AUD" xr:uid="{8C107624-AF50-41E4-BB10-18C849131B10}"/>
    <hyperlink ref="E660" r:id="rId637" display="https://treas-secure.state.mi.us/LAFDocSearch/tl41R01.aspx?&amp;lu_id=1095&amp;doc_yr=2016&amp;doc_code=AUD" xr:uid="{7281F109-6618-4706-A67A-430EF3270AF1}"/>
    <hyperlink ref="E661" r:id="rId638" display="https://treas-secure.state.mi.us/LAFDocSearch/tl41R01.aspx?&amp;lu_id=1262&amp;doc_yr=2016&amp;doc_code=AUD" xr:uid="{7BE51FC4-C7CA-49E2-BE04-BBF3657100C8}"/>
    <hyperlink ref="E662" r:id="rId639" display="https://treas-secure.state.mi.us/LAFDocSearch/tl41R01.aspx?&amp;lu_id=1112&amp;doc_yr=2016&amp;doc_code=AUD" xr:uid="{14D6E367-E668-48F6-A697-9FB836E95C57}"/>
    <hyperlink ref="E663" r:id="rId640" display="https://treas-secure.state.mi.us/LAFDocSearch/tl41R01.aspx?&amp;lu_id=1267&amp;doc_yr=2016&amp;doc_code=AUD" xr:uid="{1B831412-5841-4918-96EC-D13F397CCDDA}"/>
    <hyperlink ref="E664" r:id="rId641" display="https://treas-secure.state.mi.us/LAFDocSearch/tl41R01.aspx?&amp;lu_id=1088&amp;doc_yr=2016&amp;doc_code=AUD" xr:uid="{1C78875B-AF2A-457F-B022-B4B9DC4C27FC}"/>
    <hyperlink ref="E665" r:id="rId642" display="https://treas-secure.state.mi.us/LAFDocSearch/tl41R01.aspx?&amp;lu_id=1096&amp;doc_yr=2016&amp;doc_code=AUD" xr:uid="{0FBA0490-449F-4FDD-9CFA-3061A9702518}"/>
    <hyperlink ref="E666" r:id="rId643" display="https://treas-secure.state.mi.us/LAFDocSearch/tl41R01.aspx?&amp;lu_id=5989&amp;doc_yr=2016&amp;doc_code=AUD" xr:uid="{12F66CBD-B4C5-4EF6-A9A1-14278E7AD77F}"/>
    <hyperlink ref="E667" r:id="rId644" display="https://treas-secure.state.mi.us/LAFDocSearch/tl41R01.aspx?&amp;lu_id=1089&amp;doc_yr=2016&amp;doc_code=AUD" xr:uid="{8293F28F-D031-4328-A7EC-362170711FC6}"/>
    <hyperlink ref="E668" r:id="rId645" display="https://treas-secure.state.mi.us/LAFDocSearch/tl41R01.aspx?&amp;lu_id=1257&amp;doc_yr=2016&amp;doc_code=AUD" xr:uid="{F0A4C4AB-8DB6-420B-A926-4D843A7263E2}"/>
    <hyperlink ref="E669" r:id="rId646" display="https://treas-secure.state.mi.us/LAFDocSearch/tl41R01.aspx?&amp;lu_id=1107&amp;doc_yr=2016&amp;doc_code=AUD" xr:uid="{C05BE53A-3E2D-4BCA-80F9-E35066F2FF51}"/>
    <hyperlink ref="E670" r:id="rId647" display="https://treas-secure.state.mi.us/LAFDocSearch/tl41R01.aspx?&amp;lu_id=1097&amp;doc_yr=2016&amp;doc_code=AUD" xr:uid="{0739BFA6-3E89-45B6-8AA2-3A0D507A7F39}"/>
    <hyperlink ref="E671" r:id="rId648" display="https://treas-secure.state.mi.us/LAFDocSearch/tl41R01.aspx?&amp;lu_id=1108&amp;doc_yr=2016&amp;doc_code=AUD" xr:uid="{9F7AEA9A-2DF0-4FCC-85E7-650F071C938E}"/>
    <hyperlink ref="E672" r:id="rId649" display="https://treas-secure.state.mi.us/LAFDocSearch/tl41R01.aspx?&amp;lu_id=1263&amp;doc_yr=2016&amp;doc_code=AUD" xr:uid="{32D56AB3-55BE-45CA-98C6-4404004C0A17}"/>
    <hyperlink ref="E673" r:id="rId650" display="https://treas-secure.state.mi.us/LAFDocSearch/tl41R01.aspx?&amp;lu_id=1250&amp;doc_yr=2016&amp;doc_code=AUD" xr:uid="{39F5631F-6ED5-44D7-8028-1267278BF0B3}"/>
    <hyperlink ref="E674" r:id="rId651" display="https://treas-secure.state.mi.us/LAFDocSearch/tl41R01.aspx?&amp;lu_id=1098&amp;doc_yr=2016&amp;doc_code=AUD" xr:uid="{5BD44779-64B4-478B-9A2E-5D6E341AC0A6}"/>
    <hyperlink ref="E675" r:id="rId652" display="https://treas-secure.state.mi.us/LAFDocSearch/tl41R01.aspx?&amp;lu_id=1099&amp;doc_yr=2016&amp;doc_code=AUD" xr:uid="{395B21A0-8BD8-4D11-A76E-C9B1D53B3DEE}"/>
    <hyperlink ref="E676" r:id="rId653" display="https://treas-secure.state.mi.us/LAFDocSearch/tl41R01.aspx?&amp;lu_id=1113&amp;doc_yr=2016&amp;doc_code=AUD" xr:uid="{5EDDCDE2-5C02-4E54-9407-4AED633D2F25}"/>
    <hyperlink ref="E677" r:id="rId654" display="https://treas-secure.state.mi.us/LAFDocSearch/tl41R01.aspx?&amp;lu_id=1264&amp;doc_yr=2016&amp;doc_code=AUD" xr:uid="{5E791BCF-572D-43E5-A2AA-A5DB975B2A2B}"/>
    <hyperlink ref="E678" r:id="rId655" display="https://treas-secure.state.mi.us/LAFDocSearch/tl41R01.aspx?&amp;lu_id=1252&amp;doc_yr=2016&amp;doc_code=AUD" xr:uid="{50A35D8A-505B-4954-942D-289F94CE7A46}"/>
    <hyperlink ref="E679" r:id="rId656" display="https://treas-secure.state.mi.us/LAFDocSearch/tl41R01.aspx?&amp;lu_id=1100&amp;doc_yr=2016&amp;doc_code=AUD" xr:uid="{EBD9C672-BE47-4527-9851-24AA39535BC2}"/>
    <hyperlink ref="E680" r:id="rId657" display="https://treas-secure.state.mi.us/LAFDocSearch/tl41R01.aspx?&amp;lu_id=1110&amp;doc_yr=2016&amp;doc_code=AUD" xr:uid="{EC9D8D57-0D5C-47FC-864A-8E22014754E2}"/>
    <hyperlink ref="E681" r:id="rId658" display="https://treas-secure.state.mi.us/LAFDocSearch/tl41R01.aspx?&amp;lu_id=1265&amp;doc_yr=2016&amp;doc_code=AUD" xr:uid="{F0AF4D18-75A2-4366-B9F7-F2A0D0D2CCAD}"/>
    <hyperlink ref="E682" r:id="rId659" display="https://treas-secure.state.mi.us/LAFDocSearch/tl41R01.aspx?&amp;lu_id=1241&amp;doc_yr=2016&amp;doc_code=AUD" xr:uid="{52ACDB9B-7972-4125-A3AB-CEF7F6952D64}"/>
    <hyperlink ref="E683" r:id="rId660" display="https://treas-secure.state.mi.us/LAFDocSearch/tl41R01.aspx?&amp;lu_id=1101&amp;doc_yr=2016&amp;doc_code=AUD" xr:uid="{F6010928-96DD-4339-9D00-09971B4D5E47}"/>
    <hyperlink ref="E684" r:id="rId661" display="https://treas-secure.state.mi.us/LAFDocSearch/tl41R01.aspx?&amp;lu_id=1114&amp;doc_yr=2016&amp;doc_code=AUD" xr:uid="{D04580C0-BFB9-42C6-A1DA-50D1D6BD21E3}"/>
    <hyperlink ref="E685" r:id="rId662" display="https://treas-secure.state.mi.us/LAFDocSearch/tl41R01.aspx?&amp;lu_id=1253&amp;doc_yr=2016&amp;doc_code=AUD" xr:uid="{1BA43F94-0808-4BEE-BF44-B8D03A0B85CA}"/>
    <hyperlink ref="E686" r:id="rId663" display="https://treas-secure.state.mi.us/LAFDocSearch/tl41R01.aspx?&amp;lu_id=1103&amp;doc_yr=2016&amp;doc_code=AUD" xr:uid="{116B4962-E8A4-4E76-A686-E63015E828DA}"/>
    <hyperlink ref="E687" r:id="rId664" display="https://treas-secure.state.mi.us/LAFDocSearch/tl41R01.aspx?&amp;lu_id=1115&amp;doc_yr=2016&amp;doc_code=AUD" xr:uid="{A590A56E-1AC6-4A03-BA74-7C14051A238A}"/>
    <hyperlink ref="E688" r:id="rId665" display="https://treas-secure.state.mi.us/LAFDocSearch/tl41R01.aspx?&amp;lu_id=1104&amp;doc_yr=2016&amp;doc_code=AUD" xr:uid="{2D93D60D-F631-4144-B011-30EE3A6D6942}"/>
    <hyperlink ref="E689" r:id="rId666" display="https://treas-secure.state.mi.us/LAFDocSearch/tl41R01.aspx?&amp;lu_id=1105&amp;doc_yr=2016&amp;doc_code=AUD" xr:uid="{1646E05C-938D-4F8C-AC05-3A0C4045952A}"/>
    <hyperlink ref="E691" r:id="rId667" display="https://treas-secure.state.mi.us/LAFDocSearch/tl41R01.aspx?&amp;lu_id=1294&amp;doc_yr=2016&amp;doc_code=AUD" xr:uid="{3D5C38A4-9E26-4894-B91C-A4FC5AFAA0A0}"/>
    <hyperlink ref="E692" r:id="rId668" display="https://treas-secure.state.mi.us/LAFDocSearch/tl41R01.aspx?&amp;lu_id=1322&amp;doc_yr=2016&amp;doc_code=AUD" xr:uid="{BAD87A71-057D-49A7-8A5C-66F355602396}"/>
    <hyperlink ref="E693" r:id="rId669" display="https://treas-secure.state.mi.us/LAFDocSearch/tl41R01.aspx?&amp;lu_id=1315&amp;doc_yr=2016&amp;doc_code=AUD" xr:uid="{914D8E4E-DF7C-4842-9D36-2CC04FD4090B}"/>
    <hyperlink ref="E694" r:id="rId670" display="https://treas-secure.state.mi.us/LAFDocSearch/tl41R01.aspx?&amp;lu_id=1276&amp;doc_yr=2016&amp;doc_code=AUD" xr:uid="{881381ED-D878-44C2-A6CC-76569F2D802B}"/>
    <hyperlink ref="E695" r:id="rId671" display="https://treas-secure.state.mi.us/LAFDocSearch/tl41R01.aspx?&amp;lu_id=1277&amp;doc_yr=2016&amp;doc_code=AUD" xr:uid="{9A38D8D3-D5B2-43F8-8E1D-7A215A2848B3}"/>
    <hyperlink ref="E696" r:id="rId672" display="https://treas-secure.state.mi.us/LAFDocSearch/tl41R01.aspx?&amp;lu_id=1278&amp;doc_yr=2016&amp;doc_code=AUD" xr:uid="{01163259-6CA6-41BE-A6B0-D7D90829E374}"/>
    <hyperlink ref="E697" r:id="rId673" display="https://treas-secure.state.mi.us/LAFDocSearch/tl41R01.aspx?&amp;lu_id=1279&amp;doc_yr=2016&amp;doc_code=AUD" xr:uid="{7695D875-7223-4404-9222-86A6E64552A9}"/>
    <hyperlink ref="E698" r:id="rId674" display="https://treas-secure.state.mi.us/LAFDocSearch/tl41R01.aspx?&amp;lu_id=1280&amp;doc_yr=2016&amp;doc_code=AUD" xr:uid="{7D644236-0BDA-4DEB-9A01-1194B59B4355}"/>
    <hyperlink ref="E699" r:id="rId675" display="https://treas-secure.state.mi.us/LAFDocSearch/tl41R01.aspx?&amp;lu_id=1274&amp;doc_yr=2016&amp;doc_code=AUD" xr:uid="{ABF8B350-D484-4098-881B-DB3E56ADE453}"/>
    <hyperlink ref="E700" r:id="rId676" display="https://treas-secure.state.mi.us/LAFDocSearch/tl41R01.aspx?&amp;lu_id=1275&amp;doc_yr=2016&amp;doc_code=AUD" xr:uid="{85E4A9D2-07F4-443D-8B9A-AD155DBB9536}"/>
    <hyperlink ref="E701" r:id="rId677" display="https://treas-secure.state.mi.us/LAFDocSearch/tl41R01.aspx?&amp;lu_id=1281&amp;doc_yr=2016&amp;doc_code=AUD" xr:uid="{6A2A14F2-C4AC-42A7-A8A2-2A3CA4DBED01}"/>
    <hyperlink ref="E702" r:id="rId678" display="https://treas-secure.state.mi.us/LAFDocSearch/tl41R01.aspx?&amp;lu_id=1319&amp;doc_yr=2016&amp;doc_code=AUD" xr:uid="{72DAC709-621B-422D-94CA-B491B5D65922}"/>
    <hyperlink ref="E703" r:id="rId679" display="https://treas-secure.state.mi.us/LAFDocSearch/tl41R01.aspx?&amp;lu_id=1292&amp;doc_yr=2016&amp;doc_code=AUD" xr:uid="{4A666065-7B55-4206-B1F9-4A7166A9A87A}"/>
    <hyperlink ref="E704" r:id="rId680" display="https://treas-secure.state.mi.us/LAFDocSearch/tl41R01.aspx?&amp;lu_id=1318&amp;doc_yr=2016&amp;doc_code=AUD" xr:uid="{15224175-940A-4517-A19F-A80D5BC92C1A}"/>
    <hyperlink ref="E705" r:id="rId681" display="https://treas-secure.state.mi.us/LAFDocSearch/tl41R01.aspx?&amp;lu_id=1305&amp;doc_yr=2016&amp;doc_code=AUD" xr:uid="{96CFB00D-DA10-40B8-9033-216F0827E253}"/>
    <hyperlink ref="E706" r:id="rId682" display="https://treas-secure.state.mi.us/LAFDocSearch/tl41R01.aspx?&amp;lu_id=1306&amp;doc_yr=2016&amp;doc_code=AUD" xr:uid="{46DD3CA7-055D-4511-A6E0-E5DF26F59613}"/>
    <hyperlink ref="E707" r:id="rId683" display="https://treas-secure.state.mi.us/LAFDocSearch/tl41R01.aspx?&amp;lu_id=1316&amp;doc_yr=2016&amp;doc_code=AUD" xr:uid="{769F9016-C458-4372-9C14-ED7315CF4373}"/>
    <hyperlink ref="E708" r:id="rId684" display="https://treas-secure.state.mi.us/LAFDocSearch/tl41R01.aspx?&amp;lu_id=1283&amp;doc_yr=2016&amp;doc_code=AUD" xr:uid="{CFABAC43-A46A-4A16-B7F7-8FC2BE0C0308}"/>
    <hyperlink ref="E709" r:id="rId685" display="https://treas-secure.state.mi.us/LAFDocSearch/tl41R01.aspx?&amp;lu_id=1282&amp;doc_yr=2016&amp;doc_code=AUD" xr:uid="{5CBE9E3B-7624-429A-8218-F9E1FE2D06FB}"/>
    <hyperlink ref="E710" r:id="rId686" display="https://treas-secure.state.mi.us/LAFDocSearch/tl41R01.aspx?&amp;lu_id=1323&amp;doc_yr=2016&amp;doc_code=AUD" xr:uid="{DD055CFC-528F-4CCC-981A-2E6A1298C2F3}"/>
    <hyperlink ref="E711" r:id="rId687" display="https://treas-secure.state.mi.us/LAFDocSearch/tl41R01.aspx?&amp;lu_id=1285&amp;doc_yr=2016&amp;doc_code=AUD" xr:uid="{24CD1C6E-2F16-4A93-83E2-1413016FEDB7}"/>
    <hyperlink ref="E712" r:id="rId688" display="https://treas-secure.state.mi.us/LAFDocSearch/tl41R01.aspx?&amp;lu_id=1302&amp;doc_yr=2016&amp;doc_code=AUD" xr:uid="{D5B4980A-1275-446F-90D8-1E477135FD9D}"/>
    <hyperlink ref="E713" r:id="rId689" display="https://treas-secure.state.mi.us/LAFDocSearch/tl41R01.aspx?&amp;lu_id=1313&amp;doc_yr=2016&amp;doc_code=AUD" xr:uid="{312A07C8-7D46-414D-8575-351A98DC3095}"/>
    <hyperlink ref="E714" r:id="rId690" display="https://treas-secure.state.mi.us/LAFDocSearch/tl41R01.aspx?&amp;lu_id=7557&amp;doc_yr=2016&amp;doc_code=AUD" xr:uid="{F971B246-64AA-467A-B851-478ADB71487C}"/>
    <hyperlink ref="E715" r:id="rId691" display="https://treas-secure.state.mi.us/LAFDocSearch/tl41R01.aspx?&amp;lu_id=7008&amp;doc_yr=2016&amp;doc_code=AUD" xr:uid="{8849D0FF-DA9B-4AC7-9197-7A3008D83EDA}"/>
    <hyperlink ref="E716" r:id="rId692" display="https://treas-secure.state.mi.us/LAFDocSearch/tl41R01.aspx?&amp;lu_id=1295&amp;doc_yr=2016&amp;doc_code=AUD" xr:uid="{10BA5876-5F66-41AE-B860-07BDB7A7B858}"/>
    <hyperlink ref="E717" r:id="rId693" display="https://treas-secure.state.mi.us/LAFDocSearch/tl41R01.aspx?&amp;lu_id=1293&amp;doc_yr=2016&amp;doc_code=AUD" xr:uid="{9B37B95C-2FF8-444F-A2F8-2E875CB5EE8A}"/>
    <hyperlink ref="E718" r:id="rId694" display="https://treas-secure.state.mi.us/LAFDocSearch/tl41R01.aspx?&amp;lu_id=1286&amp;doc_yr=2016&amp;doc_code=AUD" xr:uid="{210365D1-7B45-4817-9C23-D44159FAD79F}"/>
    <hyperlink ref="E719" r:id="rId695" display="https://treas-secure.state.mi.us/LAFDocSearch/tl41R01.aspx?&amp;lu_id=1287&amp;doc_yr=2016&amp;doc_code=AUD" xr:uid="{0451994B-7B60-447F-B56A-B17ABB88C397}"/>
    <hyperlink ref="E720" r:id="rId696" display="https://treas-secure.state.mi.us/LAFDocSearch/tl41R01.aspx?&amp;lu_id=1288&amp;doc_yr=2016&amp;doc_code=AUD" xr:uid="{9F95F6D3-64F0-48E5-AA2C-DDECBAE4E071}"/>
    <hyperlink ref="E721" r:id="rId697" display="https://treas-secure.state.mi.us/LAFDocSearch/tl41R01.aspx?&amp;lu_id=1289&amp;doc_yr=2016&amp;doc_code=AUD" xr:uid="{A9C7F0CD-8A5A-476F-A047-244E9ECA5964}"/>
    <hyperlink ref="E722" r:id="rId698" display="https://treas-secure.state.mi.us/LAFDocSearch/tl41R01.aspx?&amp;lu_id=1304&amp;doc_yr=2016&amp;doc_code=AUD" xr:uid="{C2789D00-55B1-4E03-8B14-3D99C69C9ACF}"/>
    <hyperlink ref="E724" r:id="rId699" display="https://treas-secure.state.mi.us/LAFDocSearch/tl41R01.aspx?&amp;lu_id=1328&amp;doc_yr=2016&amp;doc_code=AUD" xr:uid="{3E61B6EE-59A3-4C15-BED9-038BB495B7FF}"/>
    <hyperlink ref="E725" r:id="rId700" display="https://treas-secure.state.mi.us/LAFDocSearch/tl41R01.aspx?&amp;lu_id=1329&amp;doc_yr=2016&amp;doc_code=AUD" xr:uid="{7CEEB763-81ED-4093-A394-10325470A6E3}"/>
    <hyperlink ref="E726" r:id="rId701" display="https://treas-secure.state.mi.us/LAFDocSearch/tl41R01.aspx?&amp;lu_id=1414&amp;doc_yr=2016&amp;doc_code=AUD" xr:uid="{0EA01FAD-8616-4CF3-9C99-907A265AD3F0}"/>
    <hyperlink ref="E727" r:id="rId702" display="https://treas-secure.state.mi.us/LAFDocSearch/tl41R01.aspx?&amp;lu_id=1422&amp;doc_yr=2016&amp;doc_code=AUD" xr:uid="{7F289389-950D-41AC-8592-49E3DE918F24}"/>
    <hyperlink ref="E728" r:id="rId703" display="https://treas-secure.state.mi.us/LAFDocSearch/tl41R01.aspx?&amp;lu_id=1345&amp;doc_yr=2016&amp;doc_code=AUD" xr:uid="{830FA1C5-0A35-42F5-A21D-92C49C7AB6AA}"/>
    <hyperlink ref="E729" r:id="rId704" display="https://treas-secure.state.mi.us/LAFDocSearch/tl41R01.aspx?&amp;lu_id=1330&amp;doc_yr=2016&amp;doc_code=AUD" xr:uid="{81958B16-635B-45D0-AA39-57E8D2188FF0}"/>
    <hyperlink ref="E730" r:id="rId705" display="https://treas-secure.state.mi.us/LAFDocSearch/tl41R01.aspx?&amp;lu_id=1346&amp;doc_yr=2016&amp;doc_code=AUD" xr:uid="{079E6033-BD56-4DAC-8161-B76EFB8C4D7F}"/>
    <hyperlink ref="E731" r:id="rId706" display="https://treas-secure.state.mi.us/LAFDocSearch/tl41R01.aspx?&amp;lu_id=1443&amp;doc_yr=2016&amp;doc_code=AUD" xr:uid="{63C75D08-B8D2-48BC-BAD3-CB4D52B3F74C}"/>
    <hyperlink ref="E732" r:id="rId707" display="https://treas-secure.state.mi.us/LAFDocSearch/tl41R01.aspx?&amp;lu_id=1461&amp;doc_yr=2016&amp;doc_code=AUD" xr:uid="{DAD86F77-7E33-474A-A6C6-80948F28B011}"/>
    <hyperlink ref="E733" r:id="rId708" display="https://treas-secure.state.mi.us/LAFDocSearch/tl41R01.aspx?&amp;lu_id=1347&amp;doc_yr=2016&amp;doc_code=AUD" xr:uid="{A9791AD8-3001-4982-9E24-C6D1A59D4BAA}"/>
    <hyperlink ref="E734" r:id="rId709" display="https://treas-secure.state.mi.us/LAFDocSearch/tl41R01.aspx?&amp;lu_id=1331&amp;doc_yr=2016&amp;doc_code=AUD" xr:uid="{8E460667-6858-474E-A247-378B3ADAF2BF}"/>
    <hyperlink ref="E735" r:id="rId710" display="https://treas-secure.state.mi.us/LAFDocSearch/tl41R01.aspx?&amp;lu_id=1435&amp;doc_yr=2016&amp;doc_code=AUD" xr:uid="{5CF9663C-E8B9-4700-91AB-BF0ED7C34A9D}"/>
    <hyperlink ref="E736" r:id="rId711" display="https://treas-secure.state.mi.us/LAFDocSearch/tl41R01.aspx?&amp;lu_id=1436&amp;doc_yr=2016&amp;doc_code=AUD" xr:uid="{E9170246-E533-4DB3-ACBC-E429D90D849E}"/>
    <hyperlink ref="E737" r:id="rId712" display="https://treas-secure.state.mi.us/LAFDocSearch/tl41R01.aspx?&amp;lu_id=1348&amp;doc_yr=2016&amp;doc_code=AUD" xr:uid="{CAD29CDD-8FF2-4B74-98AF-E81B84DC7CB2}"/>
    <hyperlink ref="E738" r:id="rId713" display="https://treas-secure.state.mi.us/LAFDocSearch/tl41R01.aspx?&amp;lu_id=1332&amp;doc_yr=2016&amp;doc_code=AUD" xr:uid="{AFD0F057-C581-4D50-80B1-E34906A39BBB}"/>
    <hyperlink ref="E739" r:id="rId714" display="https://treas-secure.state.mi.us/LAFDocSearch/tl41R01.aspx?&amp;lu_id=1349&amp;doc_yr=2016&amp;doc_code=AUD" xr:uid="{277293B8-D56A-426D-851B-63BEFECF9645}"/>
    <hyperlink ref="E740" r:id="rId715" display="https://treas-secure.state.mi.us/LAFDocSearch/tl41R01.aspx?&amp;lu_id=7004&amp;doc_yr=2016&amp;doc_code=AUD" xr:uid="{321B78B6-AF5E-4C71-B6E9-4A872201D12A}"/>
    <hyperlink ref="E741" r:id="rId716" display="https://treas-secure.state.mi.us/LAFDocSearch/tl41R01.aspx?&amp;lu_id=1333&amp;doc_yr=2016&amp;doc_code=AUD" xr:uid="{F5F01B2E-543A-42BC-BD4E-197B55969969}"/>
    <hyperlink ref="E742" r:id="rId717" display="https://treas-secure.state.mi.us/LAFDocSearch/tl41R01.aspx?&amp;lu_id=1438&amp;doc_yr=2016&amp;doc_code=AUD" xr:uid="{DA18C5A8-1A78-43C4-9ABF-0F84E4DB7E54}"/>
    <hyperlink ref="E743" r:id="rId718" display="https://treas-secure.state.mi.us/LAFDocSearch/tl41R01.aspx?&amp;lu_id=1444&amp;doc_yr=2016&amp;doc_code=AUD" xr:uid="{AEECE263-A374-481B-A2EC-ED590518DFA4}"/>
    <hyperlink ref="E744" r:id="rId719" display="https://treas-secure.state.mi.us/LAFDocSearch/tl41R01.aspx?&amp;lu_id=1459&amp;doc_yr=2016&amp;doc_code=AUD" xr:uid="{CDA69566-12E0-45E7-926F-689010E3555A}"/>
    <hyperlink ref="E745" r:id="rId720" display="https://treas-secure.state.mi.us/LAFDocSearch/tl41R01.aspx?&amp;lu_id=1350&amp;doc_yr=2016&amp;doc_code=AUD" xr:uid="{7FD135BF-CAEF-4765-8C53-2A66AA828892}"/>
    <hyperlink ref="E746" r:id="rId721" display="https://treas-secure.state.mi.us/LAFDocSearch/tl41R01.aspx?&amp;lu_id=1334&amp;doc_yr=2016&amp;doc_code=AUD" xr:uid="{2CE9590D-6A8B-4163-BA9D-1F09AE918265}"/>
    <hyperlink ref="E747" r:id="rId722" display="https://treas-secure.state.mi.us/LAFDocSearch/tl41R01.aspx?&amp;lu_id=1335&amp;doc_yr=2016&amp;doc_code=AUD" xr:uid="{DA6DFDE4-EFD5-4AF7-93A3-B1FD140F46FF}"/>
    <hyperlink ref="E748" r:id="rId723" display="https://treas-secure.state.mi.us/LAFDocSearch/tl41R01.aspx?&amp;lu_id=1336&amp;doc_yr=2016&amp;doc_code=AUD" xr:uid="{10626152-2A29-4115-BC81-CDD2BA059960}"/>
    <hyperlink ref="E749" r:id="rId724" display="https://treas-secure.state.mi.us/LAFDocSearch/tl41R01.aspx?&amp;lu_id=1326&amp;doc_yr=2016&amp;doc_code=AUD" xr:uid="{C2291025-F7A1-4218-80EE-A2BD9696DC2D}"/>
    <hyperlink ref="E750" r:id="rId725" display="https://treas-secure.state.mi.us/LAFDocSearch/tl41R01.aspx?&amp;lu_id=1337&amp;doc_yr=2016&amp;doc_code=AUD" xr:uid="{8B79A669-48E2-4F8E-924B-E7AA983A16BD}"/>
    <hyperlink ref="E751" r:id="rId726" display="https://treas-secure.state.mi.us/LAFDocSearch/tl41R01.aspx?&amp;lu_id=1440&amp;doc_yr=2016&amp;doc_code=AUD" xr:uid="{C1C8E15E-BDA5-47CD-B099-697D34F151B1}"/>
    <hyperlink ref="E752" r:id="rId727" display="https://treas-secure.state.mi.us/LAFDocSearch/tl41R01.aspx?&amp;lu_id=6040&amp;doc_yr=2016&amp;doc_code=AUD" xr:uid="{C0A4905A-CAD6-4B92-B591-02DE5EB57EFD}"/>
    <hyperlink ref="E753" r:id="rId728" display="https://treas-secure.state.mi.us/LAFDocSearch/tl41R01.aspx?&amp;lu_id=6066&amp;doc_yr=2016&amp;doc_code=AUD" xr:uid="{A4D4C8B7-2139-44FB-A716-3DC66EA7036A}"/>
    <hyperlink ref="E754" r:id="rId729" display="https://treas-secure.state.mi.us/LAFDocSearch/tl41R01.aspx?&amp;lu_id=1450&amp;doc_yr=2016&amp;doc_code=AUD" xr:uid="{F5640400-A2BE-497F-AFD1-9EF6B1980409}"/>
    <hyperlink ref="E755" r:id="rId730" display="https://treas-secure.state.mi.us/LAFDocSearch/tl41R01.aspx?&amp;lu_id=1449&amp;doc_yr=2016&amp;doc_code=AUD" xr:uid="{D6674C45-F69D-4339-8F94-FCF2684958F5}"/>
    <hyperlink ref="E756" r:id="rId731" display="https://treas-secure.state.mi.us/LAFDocSearch/tl41R01.aspx?&amp;lu_id=1327&amp;doc_yr=2016&amp;doc_code=AUD" xr:uid="{619532E8-3D25-4DD8-8F4A-96248AB1B7D8}"/>
    <hyperlink ref="E757" r:id="rId732" display="https://treas-secure.state.mi.us/LAFDocSearch/tl41R01.aspx?&amp;lu_id=1405&amp;doc_yr=2016&amp;doc_code=AUD" xr:uid="{54DA0E59-8FF3-41B1-BB74-0C566FB4A9D3}"/>
    <hyperlink ref="E758" r:id="rId733" display="https://treas-secure.state.mi.us/LAFDocSearch/tl41R01.aspx?&amp;lu_id=1460&amp;doc_yr=2016&amp;doc_code=AUD" xr:uid="{316E7D0B-D030-41C8-839B-E5E5C3D8758E}"/>
    <hyperlink ref="E759" r:id="rId734" display="https://treas-secure.state.mi.us/LAFDocSearch/tl41R01.aspx?&amp;lu_id=7016&amp;doc_yr=2016&amp;doc_code=AUD" xr:uid="{92D5E078-8AB3-4C63-8896-FBF1CB8418C5}"/>
    <hyperlink ref="E760" r:id="rId735" display="https://treas-secure.state.mi.us/LAFDocSearch/tl41R01.aspx?&amp;lu_id=1458&amp;doc_yr=2016&amp;doc_code=AUD" xr:uid="{70892206-7C19-47F0-9444-9E01A847494A}"/>
    <hyperlink ref="E761" r:id="rId736" display="https://treas-secure.state.mi.us/LAFDocSearch/tl41R01.aspx?&amp;lu_id=1357&amp;doc_yr=2016&amp;doc_code=AUD" xr:uid="{275222D1-B052-4E20-B803-CBAA90F88591}"/>
    <hyperlink ref="E762" r:id="rId737" display="https://treas-secure.state.mi.us/LAFDocSearch/tl41R01.aspx?&amp;lu_id=1351&amp;doc_yr=2016&amp;doc_code=AUD" xr:uid="{081D0163-B221-44EF-B947-D435A8C2F5E8}"/>
    <hyperlink ref="E763" r:id="rId738" display="https://treas-secure.state.mi.us/LAFDocSearch/tl41R01.aspx?&amp;lu_id=1338&amp;doc_yr=2016&amp;doc_code=AUD" xr:uid="{85CE2EEC-CF43-4505-9851-C0DD42281F57}"/>
    <hyperlink ref="E764" r:id="rId739" display="https://treas-secure.state.mi.us/LAFDocSearch/tl41R01.aspx?&amp;lu_id=1462&amp;doc_yr=2016&amp;doc_code=AUD" xr:uid="{3E485AE9-B2D6-49F6-A3F6-54F019B8256D}"/>
    <hyperlink ref="E765" r:id="rId740" display="https://treas-secure.state.mi.us/LAFDocSearch/tl41R01.aspx?&amp;lu_id=1447&amp;doc_yr=2016&amp;doc_code=AUD" xr:uid="{83568809-68B8-41E5-B2B8-06E1241FE5DE}"/>
    <hyperlink ref="E766" r:id="rId741" display="https://treas-secure.state.mi.us/LAFDocSearch/tl41R01.aspx?&amp;lu_id=6159&amp;doc_yr=2016&amp;doc_code=AUD" xr:uid="{7141CA12-9EDF-4574-8AA7-7E1D2A03EB5A}"/>
    <hyperlink ref="E767" r:id="rId742" display="https://treas-secure.state.mi.us/LAFDocSearch/tl41R01.aspx?&amp;lu_id=1355&amp;doc_yr=2016&amp;doc_code=AUD" xr:uid="{4BB36C91-7D84-4FD6-BF72-C008414E594D}"/>
    <hyperlink ref="E768" r:id="rId743" display="https://treas-secure.state.mi.us/LAFDocSearch/tl41R01.aspx?&amp;lu_id=1446&amp;doc_yr=2016&amp;doc_code=AUD" xr:uid="{CA4DBC53-E6A0-43A9-8F66-2CA2092A0838}"/>
    <hyperlink ref="E769" r:id="rId744" display="https://treas-secure.state.mi.us/LAFDocSearch/tl41R01.aspx?&amp;lu_id=1463&amp;doc_yr=2016&amp;doc_code=AUD" xr:uid="{94749FA3-CA02-4734-9CBE-02FF2200D4B3}"/>
    <hyperlink ref="E770" r:id="rId745" display="https://treas-secure.state.mi.us/LAFDocSearch/tl41R01.aspx?&amp;lu_id=1352&amp;doc_yr=2016&amp;doc_code=AUD" xr:uid="{100DA8DC-89C1-4CA3-A38E-138A10D132C6}"/>
    <hyperlink ref="E771" r:id="rId746" display="https://treas-secure.state.mi.us/LAFDocSearch/tl41R01.aspx?&amp;lu_id=1339&amp;doc_yr=2016&amp;doc_code=AUD" xr:uid="{2AB22949-E561-4D00-BC7D-A5EC1866CEDA}"/>
    <hyperlink ref="E772" r:id="rId747" display="https://treas-secure.state.mi.us/LAFDocSearch/tl41R01.aspx?&amp;lu_id=1392&amp;doc_yr=2016&amp;doc_code=AUD" xr:uid="{B904E481-C07B-49BF-9771-B3203C3B24E8}"/>
    <hyperlink ref="E773" r:id="rId748" display="https://treas-secure.state.mi.us/LAFDocSearch/tl41R01.aspx?&amp;lu_id=1340&amp;doc_yr=2016&amp;doc_code=AUD" xr:uid="{2DB26E11-EDF9-481D-A524-3DD8D9E29E1D}"/>
    <hyperlink ref="E774" r:id="rId749" display="https://treas-secure.state.mi.us/LAFDocSearch/tl41R01.aspx?&amp;lu_id=1353&amp;doc_yr=2016&amp;doc_code=AUD" xr:uid="{53215243-8A0D-4DA1-9867-ABF5A93F2727}"/>
    <hyperlink ref="E775" r:id="rId750" display="https://treas-secure.state.mi.us/LAFDocSearch/tl41R01.aspx?&amp;lu_id=1341&amp;doc_yr=2016&amp;doc_code=AUD" xr:uid="{99793AF1-0DBB-4296-9A19-05ECC888FA11}"/>
    <hyperlink ref="E776" r:id="rId751" display="https://treas-secure.state.mi.us/LAFDocSearch/tl41R01.aspx?&amp;lu_id=1358&amp;doc_yr=2016&amp;doc_code=AUD" xr:uid="{ED962FE5-048E-44AE-869D-2786CE59BDF8}"/>
    <hyperlink ref="E777" r:id="rId752" display="https://treas-secure.state.mi.us/LAFDocSearch/tl41R01.aspx?&amp;lu_id=1342&amp;doc_yr=2016&amp;doc_code=AUD" xr:uid="{0E9BD0B2-0BCD-47E5-B63E-C6005CA732A0}"/>
    <hyperlink ref="E778" r:id="rId753" display="https://treas-secure.state.mi.us/LAFDocSearch/tl41R01.aspx?&amp;lu_id=1432&amp;doc_yr=2016&amp;doc_code=AUD" xr:uid="{6E2E8C04-D2DC-4C7D-8D60-D3C113F6C151}"/>
    <hyperlink ref="E779" r:id="rId754" display="https://treas-secure.state.mi.us/LAFDocSearch/tl41R01.aspx?&amp;lu_id=1354&amp;doc_yr=2016&amp;doc_code=AUD" xr:uid="{50FA2787-09F9-41CC-A500-FC76BC181A05}"/>
    <hyperlink ref="E780" r:id="rId755" display="https://treas-secure.state.mi.us/LAFDocSearch/tl41R01.aspx?&amp;lu_id=1448&amp;doc_yr=2016&amp;doc_code=AUD" xr:uid="{B9D36DC7-A8F1-4D69-AF4B-5D974D52D73F}"/>
    <hyperlink ref="E781" r:id="rId756" display="https://treas-secure.state.mi.us/LAFDocSearch/tl41R01.aspx?&amp;lu_id=1343&amp;doc_yr=2016&amp;doc_code=AUD" xr:uid="{E8B5C264-FBEB-4ED3-A2DE-3EC2DA2CBA82}"/>
    <hyperlink ref="E782" r:id="rId757" display="https://treas-secure.state.mi.us/LAFDocSearch/tl41R01.aspx?&amp;lu_id=1344&amp;doc_yr=2016&amp;doc_code=AUD" xr:uid="{33F27B67-176D-4E67-BEC5-96E8FDCF694E}"/>
    <hyperlink ref="E784" r:id="rId758" display="https://treas-secure.state.mi.us/LAFDocSearch/tl41R01.aspx?&amp;lu_id=1468&amp;doc_yr=2016&amp;doc_code=AUD" xr:uid="{89504E25-2707-438B-90F7-C54BDE516127}"/>
    <hyperlink ref="E785" r:id="rId759" display="https://treas-secure.state.mi.us/LAFDocSearch/tl41R01.aspx?&amp;lu_id=1495&amp;doc_yr=2016&amp;doc_code=AUD" xr:uid="{FAA004E2-E7A4-4518-81C7-B99FFAA7AFCB}"/>
    <hyperlink ref="E786" r:id="rId760" display="https://treas-secure.state.mi.us/LAFDocSearch/tl41R01.aspx?&amp;lu_id=1469&amp;doc_yr=2016&amp;doc_code=AUD" xr:uid="{20B57A5C-B19E-4F8C-9107-4D32A5262DEF}"/>
    <hyperlink ref="E787" r:id="rId761" display="https://treas-secure.state.mi.us/LAFDocSearch/tl41R01.aspx?&amp;lu_id=1470&amp;doc_yr=2016&amp;doc_code=AUD" xr:uid="{C93CB2EE-89FB-48B0-BF0C-C68E6DDC653F}"/>
    <hyperlink ref="E788" r:id="rId762" display="https://treas-secure.state.mi.us/LAFDocSearch/tl41R01.aspx?&amp;lu_id=1472&amp;doc_yr=2016&amp;doc_code=AUD" xr:uid="{0DB3854B-DC64-4EAD-8CB6-A97564CA19DD}"/>
    <hyperlink ref="E789" r:id="rId763" display="https://treas-secure.state.mi.us/LAFDocSearch/tl41R01.aspx?&amp;lu_id=1473&amp;doc_yr=2016&amp;doc_code=AUD" xr:uid="{FCA35B1C-D040-475A-91CC-0D04C40DDF24}"/>
    <hyperlink ref="E790" r:id="rId764" display="https://treas-secure.state.mi.us/LAFDocSearch/tl41R01.aspx?&amp;lu_id=1498&amp;doc_yr=2016&amp;doc_code=AUD" xr:uid="{96ECCA1B-8137-40FC-86E6-003C6E5AA970}"/>
    <hyperlink ref="E791" r:id="rId765" display="https://treas-secure.state.mi.us/LAFDocSearch/tl41R01.aspx?&amp;lu_id=1484&amp;doc_yr=2016&amp;doc_code=AUD" xr:uid="{2855A544-A1A8-4B80-8E76-019B06E5FA35}"/>
    <hyperlink ref="E792" r:id="rId766" display="https://treas-secure.state.mi.us/LAFDocSearch/tl41R01.aspx?&amp;lu_id=1466&amp;doc_yr=2016&amp;doc_code=AUD" xr:uid="{9B94FEE6-DD88-402A-9CCF-E94010D6D8D0}"/>
    <hyperlink ref="E793" r:id="rId767" display="https://treas-secure.state.mi.us/LAFDocSearch/tl41R01.aspx?&amp;lu_id=1475&amp;doc_yr=2016&amp;doc_code=AUD" xr:uid="{FA56D952-B170-4F9E-8283-5E197D5A117D}"/>
    <hyperlink ref="E794" r:id="rId768" display="https://treas-secure.state.mi.us/LAFDocSearch/tl41R01.aspx?&amp;lu_id=1496&amp;doc_yr=2016&amp;doc_code=AUD" xr:uid="{91D37B4E-D23A-4CE1-AB14-6EDC3B165C6B}"/>
    <hyperlink ref="E795" r:id="rId769" display="https://treas-secure.state.mi.us/LAFDocSearch/tl41R01.aspx?&amp;lu_id=1497&amp;doc_yr=2016&amp;doc_code=AUD" xr:uid="{CA12F8EE-9F86-4161-A0DB-A8DB09D15FC9}"/>
    <hyperlink ref="E796" r:id="rId770" display="https://treas-secure.state.mi.us/LAFDocSearch/tl41R01.aspx?&amp;lu_id=1467&amp;doc_yr=2016&amp;doc_code=AUD" xr:uid="{11D40BDE-D8E2-4B85-B3C1-BF66F13A76EA}"/>
    <hyperlink ref="E797" r:id="rId771" display="https://treas-secure.state.mi.us/LAFDocSearch/tl41R01.aspx?&amp;lu_id=1501&amp;doc_yr=2016&amp;doc_code=AUD" xr:uid="{2B474223-4927-4092-B88C-67E9964076CA}"/>
    <hyperlink ref="E798" r:id="rId772" display="https://treas-secure.state.mi.us/LAFDocSearch/tl41R01.aspx?&amp;lu_id=1500&amp;doc_yr=2016&amp;doc_code=AUD" xr:uid="{9D0B5DB2-33B7-44FC-98D8-FD05860D2DDC}"/>
    <hyperlink ref="E799" r:id="rId773" display="https://treas-secure.state.mi.us/LAFDocSearch/tl41R01.aspx?&amp;lu_id=1491&amp;doc_yr=2016&amp;doc_code=AUD" xr:uid="{9DD52D5D-A91D-4CED-BCC9-1EE5C974BF1D}"/>
    <hyperlink ref="E800" r:id="rId774" display="https://treas-secure.state.mi.us/LAFDocSearch/tl41R01.aspx?&amp;lu_id=1476&amp;doc_yr=2016&amp;doc_code=AUD" xr:uid="{27C7D5D5-6559-4A3C-8DA2-3D5A5D9A13C2}"/>
    <hyperlink ref="E801" r:id="rId775" display="https://treas-secure.state.mi.us/LAFDocSearch/tl41R01.aspx?&amp;lu_id=1477&amp;doc_yr=2016&amp;doc_code=AUD" xr:uid="{7E3B1FA6-61B5-433D-82AD-D0268F295F07}"/>
    <hyperlink ref="E802" r:id="rId776" display="https://treas-secure.state.mi.us/LAFDocSearch/tl41R01.aspx?&amp;lu_id=1478&amp;doc_yr=2016&amp;doc_code=AUD" xr:uid="{BB878727-9D08-4815-B69E-BB9766E62994}"/>
    <hyperlink ref="E803" r:id="rId777" display="https://treas-secure.state.mi.us/LAFDocSearch/tl41R01.aspx?&amp;lu_id=1479&amp;doc_yr=2016&amp;doc_code=AUD" xr:uid="{B817A8A1-C369-4998-B181-025197FF465D}"/>
    <hyperlink ref="E804" r:id="rId778" display="https://treas-secure.state.mi.us/LAFDocSearch/tl41R01.aspx?&amp;lu_id=1480&amp;doc_yr=2016&amp;doc_code=AUD" xr:uid="{261C7700-C123-43F6-9682-EE72B6F18A44}"/>
    <hyperlink ref="E805" r:id="rId779" display="https://treas-secure.state.mi.us/LAFDocSearch/tl41R01.aspx?&amp;lu_id=1481&amp;doc_yr=2016&amp;doc_code=AUD" xr:uid="{4861F489-E712-4D44-B3A4-549043426551}"/>
    <hyperlink ref="E806" r:id="rId780" display="https://treas-secure.state.mi.us/LAFDocSearch/tl41R01.aspx?&amp;lu_id=1482&amp;doc_yr=2016&amp;doc_code=AUD" xr:uid="{E6C54050-CC46-454C-87A0-E914B514467D}"/>
    <hyperlink ref="E808" r:id="rId781" display="https://treas-secure.state.mi.us/LAFDocSearch/tl41R01.aspx?&amp;lu_id=1510&amp;doc_yr=2016&amp;doc_code=AUD" xr:uid="{B5D8C883-8D95-48A7-8F00-4F7EFF411F23}"/>
    <hyperlink ref="E809" r:id="rId782" display="https://treas-secure.state.mi.us/LAFDocSearch/tl41R01.aspx?&amp;lu_id=1504&amp;doc_yr=2016&amp;doc_code=AUD" xr:uid="{AEE8D8F2-FBCF-4F3D-BFE3-550B89B707B7}"/>
    <hyperlink ref="E810" r:id="rId783" display="https://treas-secure.state.mi.us/LAFDocSearch/tl41R01.aspx?&amp;lu_id=1525&amp;doc_yr=2016&amp;doc_code=AUD" xr:uid="{017AAF6B-632D-4BDB-B046-B6BB23D21703}"/>
    <hyperlink ref="E811" r:id="rId784" display="https://treas-secure.state.mi.us/LAFDocSearch/tl41R01.aspx?&amp;lu_id=1531&amp;doc_yr=2016&amp;doc_code=AUD" xr:uid="{3C3C2A2F-1085-4653-AB5E-C5A4166EC6F7}"/>
    <hyperlink ref="E812" r:id="rId785" display="https://treas-secure.state.mi.us/LAFDocSearch/tl41R01.aspx?&amp;lu_id=1528&amp;doc_yr=2016&amp;doc_code=AUD" xr:uid="{362512BA-167A-4ACD-887B-A711249F21CC}"/>
    <hyperlink ref="E813" r:id="rId786" display="https://treas-secure.state.mi.us/LAFDocSearch/tl41R01.aspx?&amp;lu_id=1502&amp;doc_yr=2016&amp;doc_code=AUD" xr:uid="{A272EC70-F7B7-465D-9599-138F8FE36A43}"/>
    <hyperlink ref="E814" r:id="rId787" display="https://treas-secure.state.mi.us/LAFDocSearch/tl41R01.aspx?&amp;lu_id=1519&amp;doc_yr=2016&amp;doc_code=AUD" xr:uid="{925F770C-8F61-426A-8954-5621E25695D8}"/>
    <hyperlink ref="E815" r:id="rId788" display="https://treas-secure.state.mi.us/LAFDocSearch/tl41R01.aspx?&amp;lu_id=1530&amp;doc_yr=2016&amp;doc_code=AUD" xr:uid="{8CDACE15-21EB-4E8C-90CD-66F98CF1FC70}"/>
    <hyperlink ref="E816" r:id="rId789" display="https://treas-secure.state.mi.us/LAFDocSearch/tl41R01.aspx?&amp;lu_id=7917&amp;doc_yr=2016&amp;doc_code=AUD" xr:uid="{ED20D927-D784-43A9-9AC4-C79C0C88AA1F}"/>
    <hyperlink ref="E817" r:id="rId790" display="https://treas-secure.state.mi.us/LAFDocSearch/tl41R01.aspx?&amp;lu_id=1524&amp;doc_yr=2016&amp;doc_code=AUD" xr:uid="{2CE005E3-3CB9-4117-A57D-5BB235473C05}"/>
    <hyperlink ref="E818" r:id="rId791" display="https://treas-secure.state.mi.us/LAFDocSearch/tl41R01.aspx?&amp;lu_id=1522&amp;doc_yr=2016&amp;doc_code=AUD" xr:uid="{19FD71BF-93C3-4D56-A270-48BBFA217BF1}"/>
    <hyperlink ref="E819" r:id="rId792" display="https://treas-secure.state.mi.us/LAFDocSearch/tl41R01.aspx?&amp;lu_id=1523&amp;doc_yr=2016&amp;doc_code=AUD" xr:uid="{29542B89-81C7-444C-A75D-BE5F9324E896}"/>
    <hyperlink ref="E820" r:id="rId793" display="https://treas-secure.state.mi.us/LAFDocSearch/tl41R01.aspx?&amp;lu_id=1511&amp;doc_yr=2016&amp;doc_code=AUD" xr:uid="{9E86BFA2-E098-4FC3-A359-215BEB6446A8}"/>
    <hyperlink ref="E821" r:id="rId794" display="https://treas-secure.state.mi.us/LAFDocSearch/tl41R01.aspx?&amp;lu_id=1532&amp;doc_yr=2016&amp;doc_code=AUD" xr:uid="{7688936C-E3D4-46F5-B464-57DA0D37B4BC}"/>
    <hyperlink ref="E822" r:id="rId795" display="https://treas-secure.state.mi.us/LAFDocSearch/tl41R01.aspx?&amp;lu_id=1507&amp;doc_yr=2016&amp;doc_code=AUD" xr:uid="{1A917809-0FA1-4955-9A51-0DF5398C8B61}"/>
    <hyperlink ref="E823" r:id="rId796" display="https://treas-secure.state.mi.us/LAFDocSearch/tl41R01.aspx?&amp;lu_id=1527&amp;doc_yr=2016&amp;doc_code=AUD" xr:uid="{A5F58C95-8EFE-4FF2-8536-95DCD5B3426E}"/>
    <hyperlink ref="E824" r:id="rId797" display="https://treas-secure.state.mi.us/LAFDocSearch/tl41R01.aspx?&amp;lu_id=1526&amp;doc_yr=2016&amp;doc_code=AUD" xr:uid="{35A4C3AE-238F-425F-BF6A-45B08AA095C9}"/>
    <hyperlink ref="E825" r:id="rId798" display="https://treas-secure.state.mi.us/LAFDocSearch/tl41R01.aspx?&amp;lu_id=1512&amp;doc_yr=2016&amp;doc_code=AUD" xr:uid="{E02F7AAD-E0FB-43AC-BF3D-E06290CE1094}"/>
    <hyperlink ref="E826" r:id="rId799" display="https://treas-secure.state.mi.us/LAFDocSearch/tl41R01.aspx?&amp;lu_id=1508&amp;doc_yr=2016&amp;doc_code=AUD" xr:uid="{C8376BD6-045E-4AF4-AEF2-8420B9803AB5}"/>
    <hyperlink ref="E827" r:id="rId800" display="https://treas-secure.state.mi.us/LAFDocSearch/tl41R01.aspx?&amp;lu_id=1533&amp;doc_yr=2016&amp;doc_code=AUD" xr:uid="{34C78132-8590-473E-96FF-E5E224C62F42}"/>
    <hyperlink ref="E828" r:id="rId801" display="https://treas-secure.state.mi.us/LAFDocSearch/tl41R01.aspx?&amp;lu_id=1509&amp;doc_yr=2016&amp;doc_code=AUD" xr:uid="{5ABC9F6C-5896-4E40-B429-6B45E91B248A}"/>
    <hyperlink ref="E829" r:id="rId802" display="https://treas-secure.state.mi.us/LAFDocSearch/tl41R01.aspx?&amp;lu_id=1529&amp;doc_yr=2016&amp;doc_code=AUD" xr:uid="{EAC3E261-16D2-4F33-9B41-8455035CF03E}"/>
    <hyperlink ref="E831" r:id="rId803" display="https://treas-secure.state.mi.us/LAFDocSearch/tl41R01.aspx?&amp;lu_id=1541&amp;doc_yr=2016&amp;doc_code=AUD" xr:uid="{2AAE71CE-E281-4FF8-988C-FF8ABBDE7F81}"/>
    <hyperlink ref="E832" r:id="rId804" display="https://treas-secure.state.mi.us/LAFDocSearch/tl41R01.aspx?&amp;lu_id=1569&amp;doc_yr=2016&amp;doc_code=AUD" xr:uid="{9FFF1E1A-9D37-466E-8466-61A37B6800A7}"/>
    <hyperlink ref="E833" r:id="rId805" display="https://treas-secure.state.mi.us/LAFDocSearch/tl41R01.aspx?&amp;lu_id=1542&amp;doc_yr=2016&amp;doc_code=AUD" xr:uid="{C2EA4AA4-EDBD-42BB-B87A-42285EDB9A49}"/>
    <hyperlink ref="E834" r:id="rId806" display="https://treas-secure.state.mi.us/LAFDocSearch/tl41R01.aspx?&amp;lu_id=1579&amp;doc_yr=2016&amp;doc_code=AUD" xr:uid="{8C8CF35F-F7BA-4924-AF2F-E6E2CFA3578A}"/>
    <hyperlink ref="E835" r:id="rId807" display="https://treas-secure.state.mi.us/LAFDocSearch/tl41R01.aspx?&amp;lu_id=6099&amp;doc_yr=2016&amp;doc_code=AUD" xr:uid="{92BC9A5D-6C22-4066-946E-CC376935B366}"/>
    <hyperlink ref="E836" r:id="rId808" display="https://treas-secure.state.mi.us/LAFDocSearch/tl41R01.aspx?&amp;lu_id=1543&amp;doc_yr=2016&amp;doc_code=AUD" xr:uid="{10C1EF4E-5099-4CF0-87BB-1692E717DE49}"/>
    <hyperlink ref="E837" r:id="rId809" display="https://treas-secure.state.mi.us/LAFDocSearch/tl41R01.aspx?&amp;lu_id=1544&amp;doc_yr=2016&amp;doc_code=AUD" xr:uid="{34A54EB1-1F47-449B-9D5B-FEDC049CA261}"/>
    <hyperlink ref="E838" r:id="rId810" display="https://treas-secure.state.mi.us/LAFDocSearch/tl41R01.aspx?&amp;lu_id=1555&amp;doc_yr=2016&amp;doc_code=AUD" xr:uid="{D5F49D65-AF36-4F1E-8D56-847FB3BD6229}"/>
    <hyperlink ref="E839" r:id="rId811" display="https://treas-secure.state.mi.us/LAFDocSearch/tl41R01.aspx?&amp;lu_id=5965&amp;doc_yr=2016&amp;doc_code=AUD" xr:uid="{426EC020-86B4-479C-9035-76BDBF094F0C}"/>
    <hyperlink ref="E840" r:id="rId812" display="https://treas-secure.state.mi.us/LAFDocSearch/tl41R01.aspx?&amp;lu_id=1567&amp;doc_yr=2016&amp;doc_code=AUD" xr:uid="{09084C84-86DB-41E4-A8CE-7EC109109EFF}"/>
    <hyperlink ref="E841" r:id="rId813" display="https://treas-secure.state.mi.us/LAFDocSearch/tl41R01.aspx?&amp;lu_id=1545&amp;doc_yr=2016&amp;doc_code=AUD" xr:uid="{B76BD279-7204-46DB-AD08-C8B761E36A48}"/>
    <hyperlink ref="E842" r:id="rId814" display="https://treas-secure.state.mi.us/LAFDocSearch/tl41R01.aspx?&amp;lu_id=1539&amp;doc_yr=2016&amp;doc_code=AUD" xr:uid="{6B1341A5-0338-400B-A6B1-1B2B2586CCF0}"/>
    <hyperlink ref="E843" r:id="rId815" display="https://treas-secure.state.mi.us/LAFDocSearch/tl41R01.aspx?&amp;lu_id=1540&amp;doc_yr=2016&amp;doc_code=AUD" xr:uid="{4C0A7C7F-A6F0-42D6-B86F-97F020AAE773}"/>
    <hyperlink ref="E844" r:id="rId816" display="https://treas-secure.state.mi.us/LAFDocSearch/tl41R01.aspx?&amp;lu_id=1574&amp;doc_yr=2016&amp;doc_code=AUD" xr:uid="{DB4C1943-5D44-4DDA-90EC-29326DB7A980}"/>
    <hyperlink ref="E845" r:id="rId817" display="https://treas-secure.state.mi.us/LAFDocSearch/tl41R01.aspx?&amp;lu_id=1575&amp;doc_yr=2016&amp;doc_code=AUD" xr:uid="{38EA2648-2532-4971-ACEC-9E85017DD7E6}"/>
    <hyperlink ref="E846" r:id="rId818" display="https://treas-secure.state.mi.us/LAFDocSearch/tl41R01.aspx?&amp;lu_id=1546&amp;doc_yr=2016&amp;doc_code=AUD" xr:uid="{AAE0489A-9094-45DF-91CD-EAC713EF7309}"/>
    <hyperlink ref="E847" r:id="rId819" display="https://treas-secure.state.mi.us/LAFDocSearch/tl41R01.aspx?&amp;lu_id=1547&amp;doc_yr=2016&amp;doc_code=AUD" xr:uid="{E1CACF42-5E0D-43B0-955A-1AC5D3151506}"/>
    <hyperlink ref="E848" r:id="rId820" display="https://treas-secure.state.mi.us/LAFDocSearch/tl41R01.aspx?&amp;lu_id=1589&amp;doc_yr=2016&amp;doc_code=AUD" xr:uid="{DACFA96B-EF67-4E30-8FF7-4AC4FE0F6B15}"/>
    <hyperlink ref="E849" r:id="rId821" display="https://treas-secure.state.mi.us/LAFDocSearch/tl41R01.aspx?&amp;lu_id=1556&amp;doc_yr=2016&amp;doc_code=AUD" xr:uid="{16A3C00B-4032-4B52-8FE3-705DE5D312BE}"/>
    <hyperlink ref="E850" r:id="rId822" display="https://treas-secure.state.mi.us/LAFDocSearch/tl41R01.aspx?&amp;lu_id=1548&amp;doc_yr=2016&amp;doc_code=AUD" xr:uid="{A2EA50C1-9295-4CE3-BE39-2DE91033E5D5}"/>
    <hyperlink ref="E851" r:id="rId823" display="https://treas-secure.state.mi.us/LAFDocSearch/tl41R01.aspx?&amp;lu_id=1549&amp;doc_yr=2016&amp;doc_code=AUD" xr:uid="{24203951-304A-4DE9-81B3-E7932316FE9A}"/>
    <hyperlink ref="E852" r:id="rId824" display="https://treas-secure.state.mi.us/LAFDocSearch/tl41R01.aspx?&amp;lu_id=1578&amp;doc_yr=2016&amp;doc_code=AUD" xr:uid="{D463DA40-66E2-499B-8B88-64E614965079}"/>
    <hyperlink ref="E853" r:id="rId825" display="https://treas-secure.state.mi.us/LAFDocSearch/tl41R01.aspx?&amp;lu_id=1583&amp;doc_yr=2016&amp;doc_code=AUD" xr:uid="{459B465A-9FA1-4C9B-BE20-FB596E2FECD4}"/>
    <hyperlink ref="E854" r:id="rId826" display="https://treas-secure.state.mi.us/LAFDocSearch/tl41R01.aspx?&amp;lu_id=1573&amp;doc_yr=2016&amp;doc_code=AUD" xr:uid="{91D78411-C8B5-450B-864F-4165B288B729}"/>
    <hyperlink ref="E855" r:id="rId827" display="https://treas-secure.state.mi.us/LAFDocSearch/tl41R01.aspx?&amp;lu_id=1564&amp;doc_yr=2016&amp;doc_code=AUD" xr:uid="{E4DAF100-17E1-45C7-BA30-2E4198830019}"/>
    <hyperlink ref="E856" r:id="rId828" display="https://treas-secure.state.mi.us/LAFDocSearch/tl41R01.aspx?&amp;lu_id=1570&amp;doc_yr=2016&amp;doc_code=AUD" xr:uid="{EB4D6135-D7CE-4B7A-A389-5C0EFE80BBAD}"/>
    <hyperlink ref="E857" r:id="rId829" display="https://treas-secure.state.mi.us/LAFDocSearch/tl41R01.aspx?&amp;lu_id=1550&amp;doc_yr=2016&amp;doc_code=AUD" xr:uid="{BA8DA7F4-DCD4-4CF1-8217-53EB7E570AC3}"/>
    <hyperlink ref="E858" r:id="rId830" display="https://treas-secure.state.mi.us/LAFDocSearch/tl41R01.aspx?&amp;lu_id=1551&amp;doc_yr=2016&amp;doc_code=AUD" xr:uid="{E3388FA9-6B1D-41A5-8916-B35A879E1293}"/>
    <hyperlink ref="E859" r:id="rId831" display="https://treas-secure.state.mi.us/LAFDocSearch/tl41R01.aspx?&amp;lu_id=1590&amp;doc_yr=2016&amp;doc_code=AUD" xr:uid="{99562E12-C9E9-466B-9584-34C518B2CD30}"/>
    <hyperlink ref="E860" r:id="rId832" display="https://treas-secure.state.mi.us/LAFDocSearch/tl41R01.aspx?&amp;lu_id=1588&amp;doc_yr=2016&amp;doc_code=AUD" xr:uid="{44C5711D-009E-4E59-8E7E-27950EC6D9F3}"/>
    <hyperlink ref="E861" r:id="rId833" display="https://treas-secure.state.mi.us/LAFDocSearch/tl41R01.aspx?&amp;lu_id=1554&amp;doc_yr=2016&amp;doc_code=AUD" xr:uid="{B5497171-3E6C-4B13-A9AC-94F7815885A6}"/>
    <hyperlink ref="E862" r:id="rId834" display="https://treas-secure.state.mi.us/LAFDocSearch/tl41R01.aspx?&amp;lu_id=1571&amp;doc_yr=2016&amp;doc_code=AUD" xr:uid="{837E658E-EC68-4357-A30A-4A4B25379271}"/>
    <hyperlink ref="E863" r:id="rId835" display="https://treas-secure.state.mi.us/LAFDocSearch/tl41R01.aspx?&amp;lu_id=1580&amp;doc_yr=2016&amp;doc_code=AUD" xr:uid="{1DE66A85-9186-43AE-9CDF-8E1DC6E67EE8}"/>
    <hyperlink ref="E864" r:id="rId836" display="https://treas-secure.state.mi.us/LAFDocSearch/tl41R01.aspx?&amp;lu_id=1581&amp;doc_yr=2016&amp;doc_code=AUD" xr:uid="{E8DABCC9-F2F1-4F78-90DF-C0963C519B6A}"/>
    <hyperlink ref="E865" r:id="rId837" display="https://treas-secure.state.mi.us/LAFDocSearch/tl41R01.aspx?&amp;lu_id=1552&amp;doc_yr=2016&amp;doc_code=AUD" xr:uid="{AA777538-D77D-46A8-81C7-C7C1F7E4616E}"/>
    <hyperlink ref="E866" r:id="rId838" display="https://treas-secure.state.mi.us/LAFDocSearch/tl41R01.aspx?&amp;lu_id=1553&amp;doc_yr=2016&amp;doc_code=AUD" xr:uid="{A9DC144F-42B8-4C13-B757-5B45CF39036A}"/>
    <hyperlink ref="E868" r:id="rId839" display="https://treas-secure.state.mi.us/LAFDocSearch/tl41R01.aspx?&amp;lu_id=1611&amp;doc_yr=2016&amp;doc_code=AUD" xr:uid="{428C1033-75AB-4348-ADC2-0700F0A92843}"/>
    <hyperlink ref="E869" r:id="rId840" display="https://treas-secure.state.mi.us/LAFDocSearch/tl41R01.aspx?&amp;lu_id=1642&amp;doc_yr=2016&amp;doc_code=AUD" xr:uid="{ABCB2FB0-6803-408D-854D-83F1474E9060}"/>
    <hyperlink ref="E870" r:id="rId841" display="https://treas-secure.state.mi.us/LAFDocSearch/tl41R01.aspx?&amp;lu_id=1595&amp;doc_yr=2016&amp;doc_code=AUD" xr:uid="{6C119838-25C9-457A-BE49-B9BE07B8D4A7}"/>
    <hyperlink ref="E871" r:id="rId842" display="https://treas-secure.state.mi.us/LAFDocSearch/tl41R01.aspx?&amp;lu_id=1614&amp;doc_yr=2016&amp;doc_code=AUD" xr:uid="{FBDAA7A7-D7D2-40A5-873D-263E82ED74F4}"/>
    <hyperlink ref="E872" r:id="rId843" display="https://treas-secure.state.mi.us/LAFDocSearch/tl41R01.aspx?&amp;lu_id=1598&amp;doc_yr=2016&amp;doc_code=AUD" xr:uid="{F0D4FBE6-45C6-444D-B0DA-509B714A270E}"/>
    <hyperlink ref="E873" r:id="rId844" display="https://treas-secure.state.mi.us/LAFDocSearch/tl41R01.aspx?&amp;lu_id=1599&amp;doc_yr=2016&amp;doc_code=AUD" xr:uid="{27259E9B-46C6-4B04-AC39-EDC3C83DC5EC}"/>
    <hyperlink ref="E874" r:id="rId845" display="https://treas-secure.state.mi.us/LAFDocSearch/tl41R01.aspx?&amp;lu_id=1593&amp;doc_yr=2016&amp;doc_code=AUD" xr:uid="{ED89E306-033D-4394-B0FF-397F485C7BA2}"/>
    <hyperlink ref="E875" r:id="rId846" display="https://treas-secure.state.mi.us/LAFDocSearch/tl41R01.aspx?&amp;lu_id=1641&amp;doc_yr=2016&amp;doc_code=AUD" xr:uid="{0B5E3CD6-8395-4718-AC24-37B95639438B}"/>
    <hyperlink ref="E876" r:id="rId847" display="https://treas-secure.state.mi.us/LAFDocSearch/tl41R01.aspx?&amp;lu_id=1594&amp;doc_yr=2016&amp;doc_code=AUD" xr:uid="{9B40C80F-2DD6-446E-B9E5-83503EF7FE59}"/>
    <hyperlink ref="E877" r:id="rId848" display="https://treas-secure.state.mi.us/LAFDocSearch/tl41R01.aspx?&amp;lu_id=1600&amp;doc_yr=2016&amp;doc_code=AUD" xr:uid="{932AED0E-CDDB-469A-9E8E-2AF657F21976}"/>
    <hyperlink ref="E878" r:id="rId849" display="https://treas-secure.state.mi.us/LAFDocSearch/tl41R01.aspx?&amp;lu_id=1612&amp;doc_yr=2016&amp;doc_code=AUD" xr:uid="{10B11A4E-0EE9-4AC2-B69C-C29A51774B29}"/>
    <hyperlink ref="E879" r:id="rId850" display="https://treas-secure.state.mi.us/LAFDocSearch/tl41R01.aspx?&amp;lu_id=1601&amp;doc_yr=2016&amp;doc_code=AUD" xr:uid="{3BD3B2DD-98CA-4082-AB90-B29CC58A718D}"/>
    <hyperlink ref="E880" r:id="rId851" display="https://treas-secure.state.mi.us/LAFDocSearch/tl41R01.aspx?&amp;lu_id=6156&amp;doc_yr=2016&amp;doc_code=AUD" xr:uid="{B8FB57A0-3149-4C6C-9084-E5D19DF294FE}"/>
    <hyperlink ref="E881" r:id="rId852" display="https://treas-secure.state.mi.us/LAFDocSearch/tl41R01.aspx?&amp;lu_id=1638&amp;doc_yr=2016&amp;doc_code=AUD" xr:uid="{3C4417A8-3887-4525-A7F6-8F1B2540837E}"/>
    <hyperlink ref="E882" r:id="rId853" display="https://treas-secure.state.mi.us/LAFDocSearch/tl41R01.aspx?&amp;lu_id=1603&amp;doc_yr=2016&amp;doc_code=AUD" xr:uid="{E4F0FFC4-491C-4FE8-9C68-4842045DF3E0}"/>
    <hyperlink ref="E883" r:id="rId854" display="https://treas-secure.state.mi.us/LAFDocSearch/tl41R01.aspx?&amp;lu_id=1602&amp;doc_yr=2016&amp;doc_code=AUD" xr:uid="{A5A02B33-54A6-4920-9DA0-2F32EBAA8CA0}"/>
    <hyperlink ref="E884" r:id="rId855" display="https://treas-secure.state.mi.us/LAFDocSearch/tl41R01.aspx?&amp;lu_id=1604&amp;doc_yr=2016&amp;doc_code=AUD" xr:uid="{7BF05712-203B-428E-80A4-DB4388999056}"/>
    <hyperlink ref="E885" r:id="rId856" display="https://treas-secure.state.mi.us/LAFDocSearch/tl41R01.aspx?&amp;lu_id=1605&amp;doc_yr=2016&amp;doc_code=AUD" xr:uid="{0FB4AB6F-CE28-487D-8671-116F2C8AEC1F}"/>
    <hyperlink ref="E886" r:id="rId857" display="https://treas-secure.state.mi.us/LAFDocSearch/tl41R01.aspx?&amp;lu_id=1616&amp;doc_yr=2016&amp;doc_code=AUD" xr:uid="{530873FF-39F8-4728-B603-B774BCBDDC19}"/>
    <hyperlink ref="E887" r:id="rId858" display="https://treas-secure.state.mi.us/LAFDocSearch/tl41R01.aspx?&amp;lu_id=1607&amp;doc_yr=2016&amp;doc_code=AUD" xr:uid="{AC3CE815-BF60-49CF-9A39-EBDD240FF4B7}"/>
    <hyperlink ref="E888" r:id="rId859" display="https://treas-secure.state.mi.us/LAFDocSearch/tl41R01.aspx?&amp;lu_id=1613&amp;doc_yr=2016&amp;doc_code=AUD" xr:uid="{03884186-888A-42A9-AC7C-E324D2091988}"/>
    <hyperlink ref="E889" r:id="rId860" display="https://treas-secure.state.mi.us/LAFDocSearch/tl41R01.aspx?&amp;lu_id=1639&amp;doc_yr=2016&amp;doc_code=AUD" xr:uid="{FD27C965-7F50-42B6-B80E-A3662FD9C939}"/>
    <hyperlink ref="E890" r:id="rId861" display="https://treas-secure.state.mi.us/LAFDocSearch/tl41R01.aspx?&amp;lu_id=1608&amp;doc_yr=2016&amp;doc_code=AUD" xr:uid="{166996D0-DF8D-407D-9936-691CD76A20B3}"/>
    <hyperlink ref="E891" r:id="rId862" display="https://treas-secure.state.mi.us/LAFDocSearch/tl41R01.aspx?&amp;lu_id=1640&amp;doc_yr=2016&amp;doc_code=AUD" xr:uid="{07732D17-E51A-4812-A2DE-FF9F88687EA0}"/>
    <hyperlink ref="E892" r:id="rId863" display="https://treas-secure.state.mi.us/LAFDocSearch/tl41R01.aspx?&amp;lu_id=1609&amp;doc_yr=2016&amp;doc_code=AUD" xr:uid="{4B74B62E-A841-4F0A-A8FD-2F29E1E94622}"/>
    <hyperlink ref="E893" r:id="rId864" display="https://treas-secure.state.mi.us/LAFDocSearch/tl41R01.aspx?&amp;lu_id=1610&amp;doc_yr=2016&amp;doc_code=AUD" xr:uid="{78853804-9A3B-449B-9757-1BC2F702006E}"/>
    <hyperlink ref="E895" r:id="rId865" display="https://treas-secure.state.mi.us/LAFDocSearch/tl41R01.aspx?&amp;lu_id=1653&amp;doc_yr=2016&amp;doc_code=AUD" xr:uid="{1BF141FA-058B-4F90-B8D3-D57A8BEDF2C2}"/>
    <hyperlink ref="E896" r:id="rId866" display="https://treas-secure.state.mi.us/LAFDocSearch/tl41R01.aspx?&amp;lu_id=1654&amp;doc_yr=2016&amp;doc_code=AUD" xr:uid="{84D6312D-E3A4-4161-B060-FCFC3CD726B0}"/>
    <hyperlink ref="E897" r:id="rId867" display="https://treas-secure.state.mi.us/LAFDocSearch/tl41R01.aspx?&amp;lu_id=1674&amp;doc_yr=2016&amp;doc_code=AUD" xr:uid="{6E48D6EB-61D7-4D61-A4E9-BB7CA3D3E322}"/>
    <hyperlink ref="E898" r:id="rId868" display="https://treas-secure.state.mi.us/LAFDocSearch/tl41R01.aspx?&amp;lu_id=1655&amp;doc_yr=2016&amp;doc_code=AUD" xr:uid="{D8EE39C6-2597-448E-A690-BFC6FCE51659}"/>
    <hyperlink ref="E899" r:id="rId869" display="https://treas-secure.state.mi.us/LAFDocSearch/tl41R01.aspx?&amp;lu_id=1656&amp;doc_yr=2016&amp;doc_code=AUD" xr:uid="{B3A1FD1E-A58C-45AF-B80B-8616D2A42A93}"/>
    <hyperlink ref="E900" r:id="rId870" display="https://treas-secure.state.mi.us/LAFDocSearch/tl41R01.aspx?&amp;lu_id=1675&amp;doc_yr=2016&amp;doc_code=AUD" xr:uid="{C4F30354-5AE7-42F0-B6E6-C479B279B220}"/>
    <hyperlink ref="E901" r:id="rId871" display="https://treas-secure.state.mi.us/LAFDocSearch/tl41R01.aspx?&amp;lu_id=1671&amp;doc_yr=2016&amp;doc_code=AUD" xr:uid="{AC9003B0-EAB4-45AA-A260-8E7F7CBAE33C}"/>
    <hyperlink ref="E902" r:id="rId872" display="https://treas-secure.state.mi.us/LAFDocSearch/tl41R01.aspx?&amp;lu_id=1651&amp;doc_yr=2016&amp;doc_code=AUD" xr:uid="{67723A34-1C99-4F40-92A5-6A6118969138}"/>
    <hyperlink ref="E903" r:id="rId873" display="https://treas-secure.state.mi.us/LAFDocSearch/tl41R01.aspx?&amp;lu_id=1659&amp;doc_yr=2016&amp;doc_code=AUD" xr:uid="{2F475C56-B1A5-4ADF-B96C-9518252197F2}"/>
    <hyperlink ref="E904" r:id="rId874" display="https://treas-secure.state.mi.us/LAFDocSearch/tl41R01.aspx?&amp;lu_id=1703&amp;doc_yr=2016&amp;doc_code=AUD" xr:uid="{027BA4C3-5DDB-4A1F-9A85-ACF27B1FE571}"/>
    <hyperlink ref="E905" r:id="rId875" display="https://treas-secure.state.mi.us/LAFDocSearch/tl41R01.aspx?&amp;lu_id=1704&amp;doc_yr=2016&amp;doc_code=AUD" xr:uid="{6B716B9B-70DC-4C3B-8795-911890AA7FDC}"/>
    <hyperlink ref="E906" r:id="rId876" display="https://treas-secure.state.mi.us/LAFDocSearch/tl41R01.aspx?&amp;lu_id=1652&amp;doc_yr=2016&amp;doc_code=AUD" xr:uid="{2C770A50-AAB3-4D3F-A02E-0C8A28B796AE}"/>
    <hyperlink ref="E907" r:id="rId877" display="https://treas-secure.state.mi.us/LAFDocSearch/tl41R01.aspx?&amp;lu_id=1700&amp;doc_yr=2016&amp;doc_code=AUD" xr:uid="{0A3B12DF-64A4-4018-BC26-8631E3911FCE}"/>
    <hyperlink ref="E908" r:id="rId878" display="https://treas-secure.state.mi.us/LAFDocSearch/tl41R01.aspx?&amp;lu_id=1705&amp;doc_yr=2016&amp;doc_code=AUD" xr:uid="{1F4FB297-323F-4E13-B0E4-0EE6B8914CE9}"/>
    <hyperlink ref="E909" r:id="rId879" display="https://treas-secure.state.mi.us/LAFDocSearch/tl41R01.aspx?&amp;lu_id=1660&amp;doc_yr=2016&amp;doc_code=AUD" xr:uid="{48D5344A-020E-4AAB-9CA5-CFE7315DA828}"/>
    <hyperlink ref="E910" r:id="rId880" display="https://treas-secure.state.mi.us/LAFDocSearch/tl41R01.aspx?&amp;lu_id=7097&amp;doc_yr=2016&amp;doc_code=AUD" xr:uid="{8ED63515-796C-408D-8FC7-94A1477250DF}"/>
    <hyperlink ref="E911" r:id="rId881" display="https://treas-secure.state.mi.us/LAFDocSearch/tl41R01.aspx?&amp;lu_id=1672&amp;doc_yr=2016&amp;doc_code=AUD" xr:uid="{29454899-ED5B-4647-BC91-FA3CFA71ECCB}"/>
    <hyperlink ref="E912" r:id="rId882" display="https://treas-secure.state.mi.us/LAFDocSearch/tl41R01.aspx?&amp;lu_id=1661&amp;doc_yr=2016&amp;doc_code=AUD" xr:uid="{B7D6F141-4800-429F-A438-50F7AD167170}"/>
    <hyperlink ref="E913" r:id="rId883" display="https://treas-secure.state.mi.us/LAFDocSearch/tl41R01.aspx?&amp;lu_id=1702&amp;doc_yr=2016&amp;doc_code=AUD" xr:uid="{656A3C67-5BC7-465A-AE81-EEF5C9EA6C82}"/>
    <hyperlink ref="E914" r:id="rId884" display="https://treas-secure.state.mi.us/LAFDocSearch/tl41R01.aspx?&amp;lu_id=1709&amp;doc_yr=2016&amp;doc_code=AUD" xr:uid="{41AF817B-9DCB-4CE8-951A-7FAC802F7507}"/>
    <hyperlink ref="E915" r:id="rId885" display="https://treas-secure.state.mi.us/LAFDocSearch/tl41R01.aspx?&amp;lu_id=1699&amp;doc_yr=2016&amp;doc_code=AUD" xr:uid="{A280A922-A603-4D0A-BCF0-A0B600B29FBF}"/>
    <hyperlink ref="E916" r:id="rId886" display="https://treas-secure.state.mi.us/LAFDocSearch/tl41R01.aspx?&amp;lu_id=1698&amp;doc_yr=2016&amp;doc_code=AUD" xr:uid="{307E4D56-C097-4ACF-84B0-6C073840DD14}"/>
    <hyperlink ref="E917" r:id="rId887" display="https://treas-secure.state.mi.us/LAFDocSearch/tl41R01.aspx?&amp;lu_id=1677&amp;doc_yr=2016&amp;doc_code=AUD" xr:uid="{EE0C60EA-0A98-4534-8446-6C3B3F09A004}"/>
    <hyperlink ref="E918" r:id="rId888" display="https://treas-secure.state.mi.us/LAFDocSearch/tl41R01.aspx?&amp;lu_id=1662&amp;doc_yr=2016&amp;doc_code=AUD" xr:uid="{C8E28364-46D0-482D-A415-69D2438FC0C8}"/>
    <hyperlink ref="E919" r:id="rId889" display="https://treas-secure.state.mi.us/LAFDocSearch/tl41R01.aspx?&amp;lu_id=1678&amp;doc_yr=2016&amp;doc_code=AUD" xr:uid="{66098876-6582-44EC-A1D1-6EE0DBC12094}"/>
    <hyperlink ref="E920" r:id="rId890" display="https://treas-secure.state.mi.us/LAFDocSearch/tl41R01.aspx?&amp;lu_id=1663&amp;doc_yr=2016&amp;doc_code=AUD" xr:uid="{6DDED09C-5EE3-456A-AD37-0A35A1F9AA5F}"/>
    <hyperlink ref="E921" r:id="rId891" display="https://treas-secure.state.mi.us/LAFDocSearch/tl41R01.aspx?&amp;lu_id=1664&amp;doc_yr=2016&amp;doc_code=AUD" xr:uid="{8B48C3D3-781F-4BDA-954E-D359EE7A6A67}"/>
    <hyperlink ref="E922" r:id="rId892" display="https://treas-secure.state.mi.us/LAFDocSearch/tl41R01.aspx?&amp;lu_id=1673&amp;doc_yr=2016&amp;doc_code=AUD" xr:uid="{266B7D9A-0E27-44C1-8029-DBA3F185E6C0}"/>
    <hyperlink ref="E923" r:id="rId893" display="https://treas-secure.state.mi.us/LAFDocSearch/tl41R01.aspx?&amp;lu_id=1665&amp;doc_yr=2016&amp;doc_code=AUD" xr:uid="{9CD0596D-ABBD-4B06-A9FB-08C58F03C608}"/>
    <hyperlink ref="E924" r:id="rId894" display="https://treas-secure.state.mi.us/LAFDocSearch/tl41R01.aspx?&amp;lu_id=1711&amp;doc_yr=2016&amp;doc_code=AUD" xr:uid="{9AB2BC10-8490-4631-8DB0-1BEA56E774CC}"/>
    <hyperlink ref="E925" r:id="rId895" display="https://treas-secure.state.mi.us/LAFDocSearch/tl41R01.aspx?&amp;lu_id=1667&amp;doc_yr=2016&amp;doc_code=AUD" xr:uid="{E3BC10A5-4E07-47A0-B184-51E0F00E9E2A}"/>
    <hyperlink ref="E926" r:id="rId896" display="https://treas-secure.state.mi.us/LAFDocSearch/tl41R01.aspx?&amp;lu_id=1701&amp;doc_yr=2016&amp;doc_code=AUD" xr:uid="{DE140E33-3736-4B89-BD2F-CEC9B36AFA35}"/>
    <hyperlink ref="E927" r:id="rId897" display="https://treas-secure.state.mi.us/LAFDocSearch/tl41R01.aspx?&amp;lu_id=1679&amp;doc_yr=2016&amp;doc_code=AUD" xr:uid="{1C6F7FC4-E5BC-42B9-9923-58F4A5E727D4}"/>
    <hyperlink ref="E928" r:id="rId898" display="https://treas-secure.state.mi.us/LAFDocSearch/tl41R01.aspx?&amp;lu_id=1712&amp;doc_yr=2016&amp;doc_code=AUD" xr:uid="{CEF9A0F7-08F0-4663-BE7C-AC54A87B24E5}"/>
    <hyperlink ref="E929" r:id="rId899" display="https://treas-secure.state.mi.us/LAFDocSearch/tl41R01.aspx?&amp;lu_id=1668&amp;doc_yr=2016&amp;doc_code=AUD" xr:uid="{01F78DEB-FA92-45AA-804D-7873093911FE}"/>
    <hyperlink ref="E930" r:id="rId900" display="https://treas-secure.state.mi.us/LAFDocSearch/tl41R01.aspx?&amp;lu_id=1670&amp;doc_yr=2016&amp;doc_code=AUD" xr:uid="{7962E6A5-A6F0-417C-9528-E8C8ACC4DF71}"/>
    <hyperlink ref="E932" r:id="rId901" display="https://treas-secure.state.mi.us/LAFDocSearch/tl41R01.aspx?&amp;lu_id=1720&amp;doc_yr=2016&amp;doc_code=AUD" xr:uid="{7E441ED8-EB70-404F-BDCD-936CC1B497ED}"/>
    <hyperlink ref="E933" r:id="rId902" display="https://treas-secure.state.mi.us/LAFDocSearch/tl41R01.aspx?&amp;lu_id=1736&amp;doc_yr=2016&amp;doc_code=AUD" xr:uid="{F797AF2B-4056-406A-9CD7-5A71AFB719C4}"/>
    <hyperlink ref="E934" r:id="rId903" display="https://treas-secure.state.mi.us/LAFDocSearch/tl41R01.aspx?&amp;lu_id=1721&amp;doc_yr=2016&amp;doc_code=AUD" xr:uid="{58CDC4A2-0976-40F5-AB52-0E4D8231868A}"/>
    <hyperlink ref="E935" r:id="rId904" display="https://treas-secure.state.mi.us/LAFDocSearch/tl41R01.aspx?&amp;lu_id=1773&amp;doc_yr=2016&amp;doc_code=AUD" xr:uid="{824CCCAB-3ABF-43F3-9E17-414CA3BB1DDE}"/>
    <hyperlink ref="E936" r:id="rId905" display="https://treas-secure.state.mi.us/LAFDocSearch/tl41R01.aspx?&amp;lu_id=1722&amp;doc_yr=2016&amp;doc_code=AUD" xr:uid="{94CABA60-8BDC-44F1-AF3C-7D78F68E5165}"/>
    <hyperlink ref="E937" r:id="rId906" display="https://treas-secure.state.mi.us/LAFDocSearch/tl41R01.aspx?&amp;lu_id=1724&amp;doc_yr=2016&amp;doc_code=AUD" xr:uid="{BF964D08-0127-4B6E-836C-DCD238C7BC27}"/>
    <hyperlink ref="E938" r:id="rId907" display="https://treas-secure.state.mi.us/LAFDocSearch/tl41R01.aspx?&amp;lu_id=1725&amp;doc_yr=2016&amp;doc_code=AUD" xr:uid="{7AB0846F-D703-4A5D-A21A-72559FAE07F2}"/>
    <hyperlink ref="E939" r:id="rId908" display="https://treas-secure.state.mi.us/LAFDocSearch/tl41R01.aspx?&amp;lu_id=1757&amp;doc_yr=2016&amp;doc_code=AUD" xr:uid="{C1125D84-0241-408F-91EA-3ACDADAA4F05}"/>
    <hyperlink ref="E940" r:id="rId909" display="https://treas-secure.state.mi.us/LAFDocSearch/tl41R01.aspx?&amp;lu_id=1734&amp;doc_yr=2016&amp;doc_code=AUD" xr:uid="{D538DFD8-8449-4ACE-A45F-FC9CE5BEEB22}"/>
    <hyperlink ref="E941" r:id="rId910" display="https://treas-secure.state.mi.us/LAFDocSearch/tl41R01.aspx?&amp;lu_id=1726&amp;doc_yr=2016&amp;doc_code=AUD" xr:uid="{FA602656-B977-4C8D-979C-D874C9C14BCD}"/>
    <hyperlink ref="E942" r:id="rId911" display="https://treas-secure.state.mi.us/LAFDocSearch/tl41R01.aspx?&amp;lu_id=1766&amp;doc_yr=2016&amp;doc_code=AUD" xr:uid="{8869CA6A-53EB-4F7F-B1CE-C69BCF33FFA8}"/>
    <hyperlink ref="E943" r:id="rId912" display="https://treas-secure.state.mi.us/LAFDocSearch/tl41R01.aspx?&amp;lu_id=1735&amp;doc_yr=2016&amp;doc_code=AUD" xr:uid="{1F9D7F38-B9DC-4720-9B9A-6B1438300531}"/>
    <hyperlink ref="E944" r:id="rId913" display="https://treas-secure.state.mi.us/LAFDocSearch/tl41R01.aspx?&amp;lu_id=1718&amp;doc_yr=2016&amp;doc_code=AUD" xr:uid="{A15B215D-9D44-41EE-AD6A-6F671CDDD48E}"/>
    <hyperlink ref="E945" r:id="rId914" display="https://treas-secure.state.mi.us/LAFDocSearch/tl41R01.aspx?&amp;lu_id=1765&amp;doc_yr=2016&amp;doc_code=AUD" xr:uid="{00769C77-2B7D-4881-AE59-DAAF63DCEBA0}"/>
    <hyperlink ref="E946" r:id="rId915" display="https://treas-secure.state.mi.us/LAFDocSearch/tl41R01.aspx?&amp;lu_id=1761&amp;doc_yr=2016&amp;doc_code=AUD" xr:uid="{D498E88B-0A0E-444D-BB5D-B15C52A34103}"/>
    <hyperlink ref="E947" r:id="rId916" display="https://treas-secure.state.mi.us/LAFDocSearch/tl41R01.aspx?&amp;lu_id=1762&amp;doc_yr=2016&amp;doc_code=AUD" xr:uid="{0F999561-985F-433F-803F-5569EF542072}"/>
    <hyperlink ref="E948" r:id="rId917" display="https://treas-secure.state.mi.us/LAFDocSearch/tl41R01.aspx?&amp;lu_id=1719&amp;doc_yr=2016&amp;doc_code=AUD" xr:uid="{1903F2F5-817A-404D-9F08-7521318568BD}"/>
    <hyperlink ref="E949" r:id="rId918" display="https://treas-secure.state.mi.us/LAFDocSearch/tl41R01.aspx?&amp;lu_id=1738&amp;doc_yr=2016&amp;doc_code=AUD" xr:uid="{DB8B12F6-0584-4719-B9BF-B62B6043A038}"/>
    <hyperlink ref="E950" r:id="rId919" display="https://treas-secure.state.mi.us/LAFDocSearch/tl41R01.aspx?&amp;lu_id=1739&amp;doc_yr=2016&amp;doc_code=AUD" xr:uid="{B991A4AC-90F7-4710-964A-7E77CE7725FA}"/>
    <hyperlink ref="E951" r:id="rId920" display="https://treas-secure.state.mi.us/LAFDocSearch/tl41R01.aspx?&amp;lu_id=1771&amp;doc_yr=2016&amp;doc_code=AUD" xr:uid="{6175036F-D580-4CD5-A281-84E59C6085B3}"/>
    <hyperlink ref="E952" r:id="rId921" display="https://treas-secure.state.mi.us/LAFDocSearch/tl41R01.aspx?&amp;lu_id=1754&amp;doc_yr=2016&amp;doc_code=AUD" xr:uid="{FB934910-3E64-40AA-BCDC-003CC4201F86}"/>
    <hyperlink ref="E953" r:id="rId922" display="https://treas-secure.state.mi.us/LAFDocSearch/tl41R01.aspx?&amp;lu_id=1728&amp;doc_yr=2016&amp;doc_code=AUD" xr:uid="{CADB2096-FE54-421E-B038-B275E6B1C606}"/>
    <hyperlink ref="E954" r:id="rId923" display="https://treas-secure.state.mi.us/LAFDocSearch/tl41R01.aspx?&amp;lu_id=1729&amp;doc_yr=2016&amp;doc_code=AUD" xr:uid="{75FB6E09-B5D7-400E-A336-4C775EBE3B47}"/>
    <hyperlink ref="E955" r:id="rId924" display="https://treas-secure.state.mi.us/LAFDocSearch/tl41R01.aspx?&amp;lu_id=1775&amp;doc_yr=2016&amp;doc_code=AUD" xr:uid="{3D1D4A46-E46F-468A-B842-EB4E52FE36AA}"/>
    <hyperlink ref="E956" r:id="rId925" display="https://treas-secure.state.mi.us/LAFDocSearch/tl41R01.aspx?&amp;lu_id=1751&amp;doc_yr=2016&amp;doc_code=AUD" xr:uid="{5F6E6C0A-3E85-4C99-AC3C-D6E15AE0D483}"/>
    <hyperlink ref="E957" r:id="rId926" display="https://treas-secure.state.mi.us/LAFDocSearch/tl41R01.aspx?&amp;lu_id=1730&amp;doc_yr=2016&amp;doc_code=AUD" xr:uid="{BBFB25EB-63C6-4979-8E48-329BD3A6A017}"/>
    <hyperlink ref="E958" r:id="rId927" display="https://treas-secure.state.mi.us/LAFDocSearch/tl41R01.aspx?&amp;lu_id=1731&amp;doc_yr=2016&amp;doc_code=AUD" xr:uid="{46CA66AE-8AF9-4414-8017-A0C97584A769}"/>
    <hyperlink ref="E959" r:id="rId928" display="https://treas-secure.state.mi.us/LAFDocSearch/tl41R01.aspx?&amp;lu_id=1740&amp;doc_yr=2016&amp;doc_code=AUD" xr:uid="{0130CFDD-CB5D-4DB4-8A41-D05C80F6A0FC}"/>
    <hyperlink ref="E960" r:id="rId929" display="https://treas-secure.state.mi.us/LAFDocSearch/tl41R01.aspx?&amp;lu_id=1732&amp;doc_yr=2016&amp;doc_code=AUD" xr:uid="{D0612F03-5DDE-4E16-9BF9-B8D59B61818A}"/>
    <hyperlink ref="E961" r:id="rId930" display="https://treas-secure.state.mi.us/LAFDocSearch/tl41R01.aspx?&amp;lu_id=1769&amp;doc_yr=2016&amp;doc_code=AUD" xr:uid="{2716DEF6-0A1F-4CF8-B87F-E45A3F70E89E}"/>
    <hyperlink ref="E962" r:id="rId931" display="https://treas-secure.state.mi.us/LAFDocSearch/tl41R01.aspx?&amp;lu_id=1763&amp;doc_yr=2016&amp;doc_code=AUD" xr:uid="{B7FECD0B-12C2-425D-AADA-C1F2BEA92931}"/>
    <hyperlink ref="E963" r:id="rId932" display="https://treas-secure.state.mi.us/LAFDocSearch/tl41R01.aspx?&amp;lu_id=1764&amp;doc_yr=2016&amp;doc_code=AUD" xr:uid="{2972D31F-1A02-47AE-9C13-5725587C9A31}"/>
    <hyperlink ref="E965" r:id="rId933" display="https://treas-secure.state.mi.us/LAFDocSearch/tl41R01.aspx?&amp;lu_id=1812&amp;doc_yr=2016&amp;doc_code=AUD" xr:uid="{103C3CD2-8798-415E-A21E-4E77FA88DD73}"/>
    <hyperlink ref="E966" r:id="rId934" display="https://treas-secure.state.mi.us/LAFDocSearch/tl41R01.aspx?&amp;lu_id=1898&amp;doc_yr=2016&amp;doc_code=AUD" xr:uid="{80F17936-3AC1-476E-A913-A1379E18C59A}"/>
    <hyperlink ref="E967" r:id="rId935" display="https://treas-secure.state.mi.us/LAFDocSearch/tl41R01.aspx?&amp;lu_id=1880&amp;doc_yr=2016&amp;doc_code=AUD" xr:uid="{F66AED0D-BEE7-41E2-9A2B-63CFBB1C31C3}"/>
    <hyperlink ref="E968" r:id="rId936" display="https://treas-secure.state.mi.us/LAFDocSearch/tl41R01.aspx?&amp;lu_id=1786&amp;doc_yr=2016&amp;doc_code=AUD" xr:uid="{9E0B846B-1AFB-4CA6-897A-7E292C8E636D}"/>
    <hyperlink ref="E969" r:id="rId937" display="https://treas-secure.state.mi.us/LAFDocSearch/tl41R01.aspx?&amp;lu_id=1813&amp;doc_yr=2016&amp;doc_code=AUD" xr:uid="{B520205B-F330-48C0-82EF-4D5B82A9CF45}"/>
    <hyperlink ref="E970" r:id="rId938" display="https://treas-secure.state.mi.us/LAFDocSearch/tl41R01.aspx?&amp;lu_id=1787&amp;doc_yr=2016&amp;doc_code=AUD" xr:uid="{B9C4EB77-2A5B-4721-BAA4-765D35250B88}"/>
    <hyperlink ref="E971" r:id="rId939" display="https://treas-secure.state.mi.us/LAFDocSearch/tl41R01.aspx?&amp;lu_id=1888&amp;doc_yr=2016&amp;doc_code=AUD" xr:uid="{0F032E6C-6943-4202-9F79-7B17DFAF9894}"/>
    <hyperlink ref="E972" r:id="rId940" display="https://treas-secure.state.mi.us/LAFDocSearch/tl41R01.aspx?&amp;lu_id=1887&amp;doc_yr=2016&amp;doc_code=AUD" xr:uid="{E6458943-52A3-4AB6-A2CA-7E0D8357DFBE}"/>
    <hyperlink ref="E973" r:id="rId941" display="https://treas-secure.state.mi.us/LAFDocSearch/tl41R01.aspx?&amp;lu_id=1890&amp;doc_yr=2016&amp;doc_code=AUD" xr:uid="{A3050E8B-01E8-4057-836C-6C11243F4486}"/>
    <hyperlink ref="E974" r:id="rId942" display="https://treas-secure.state.mi.us/LAFDocSearch/tl41R01.aspx?&amp;lu_id=1889&amp;doc_yr=2016&amp;doc_code=AUD" xr:uid="{28C28F62-4512-4439-B550-1999AE8B0B7A}"/>
    <hyperlink ref="E975" r:id="rId943" display="https://treas-secure.state.mi.us/LAFDocSearch/tl41R01.aspx?&amp;lu_id=1788&amp;doc_yr=2016&amp;doc_code=AUD" xr:uid="{DE1FC737-629E-4B9F-A73A-B49D2BEE69A0}"/>
    <hyperlink ref="E976" r:id="rId944" display="https://treas-secure.state.mi.us/LAFDocSearch/tl41R01.aspx?&amp;lu_id=1789&amp;doc_yr=2016&amp;doc_code=AUD" xr:uid="{3B3C5AF3-198E-4501-924D-08040E39500C}"/>
    <hyperlink ref="E977" r:id="rId945" display="https://treas-secure.state.mi.us/LAFDocSearch/tl41R01.aspx?&amp;lu_id=1879&amp;doc_yr=2016&amp;doc_code=AUD" xr:uid="{1E279284-46BF-4E8D-8AAB-5F63E6D00635}"/>
    <hyperlink ref="E978" r:id="rId946" display="https://treas-secure.state.mi.us/LAFDocSearch/tl41R01.aspx?&amp;lu_id=1815&amp;doc_yr=2016&amp;doc_code=AUD" xr:uid="{DFBFCEB2-D922-48E3-BA23-B9AE347D9F67}"/>
    <hyperlink ref="E979" r:id="rId947" display="https://treas-secure.state.mi.us/LAFDocSearch/tl41R01.aspx?&amp;lu_id=1791&amp;doc_yr=2016&amp;doc_code=AUD" xr:uid="{FC26671A-44FF-4368-9994-29E64B2D0F04}"/>
    <hyperlink ref="E980" r:id="rId948" display="https://treas-secure.state.mi.us/LAFDocSearch/tl41R01.aspx?&amp;lu_id=1792&amp;doc_yr=2016&amp;doc_code=AUD" xr:uid="{9237BA24-9205-446F-A924-8103C4A6257B}"/>
    <hyperlink ref="E981" r:id="rId949" display="https://treas-secure.state.mi.us/LAFDocSearch/tl41R01.aspx?&amp;lu_id=1793&amp;doc_yr=2016&amp;doc_code=AUD" xr:uid="{0CC5281E-E788-4EF7-88E7-240ACF4F8D59}"/>
    <hyperlink ref="E982" r:id="rId950" display="https://treas-secure.state.mi.us/LAFDocSearch/tl41R01.aspx?&amp;lu_id=1814&amp;doc_yr=2016&amp;doc_code=AUD" xr:uid="{BDE146B6-942B-4B26-B5DD-72D040498687}"/>
    <hyperlink ref="E983" r:id="rId951" display="https://treas-secure.state.mi.us/LAFDocSearch/tl41R01.aspx?&amp;lu_id=1896&amp;doc_yr=2016&amp;doc_code=AUD" xr:uid="{37636861-4A71-4BA4-8CBE-60182014A952}"/>
    <hyperlink ref="E984" r:id="rId952" display="https://treas-secure.state.mi.us/LAFDocSearch/tl41R01.aspx?&amp;lu_id=1881&amp;doc_yr=2016&amp;doc_code=AUD" xr:uid="{50746113-302A-40EC-9FF8-CC6F27F563CB}"/>
    <hyperlink ref="E985" r:id="rId953" display="https://treas-secure.state.mi.us/LAFDocSearch/tl41R01.aspx?&amp;lu_id=1782&amp;doc_yr=2016&amp;doc_code=AUD" xr:uid="{77A1BFEE-E1F6-4D7D-B9EB-97EEE16A1A15}"/>
    <hyperlink ref="E986" r:id="rId954" display="https://treas-secure.state.mi.us/LAFDocSearch/tl41R01.aspx?&amp;lu_id=1884&amp;doc_yr=2016&amp;doc_code=AUD" xr:uid="{836102C5-005C-4A70-A55E-8657A15985CB}"/>
    <hyperlink ref="E987" r:id="rId955" display="https://treas-secure.state.mi.us/LAFDocSearch/tl41R01.aspx?&amp;lu_id=7554&amp;doc_yr=2016&amp;doc_code=AUD" xr:uid="{7B420CA2-8EDA-4C17-93D7-00A7B7649BC9}"/>
    <hyperlink ref="E988" r:id="rId956" display="https://treas-secure.state.mi.us/LAFDocSearch/tl41R01.aspx?&amp;lu_id=1885&amp;doc_yr=2016&amp;doc_code=AUD" xr:uid="{8F82C0BC-5069-4946-B7F2-6FAA76B09354}"/>
    <hyperlink ref="E989" r:id="rId957" display="https://treas-secure.state.mi.us/LAFDocSearch/tl41R01.aspx?&amp;lu_id=1864&amp;doc_yr=2016&amp;doc_code=AUD" xr:uid="{CFD0DB05-11EF-4848-BF55-DBA9E010EF3E}"/>
    <hyperlink ref="E990" r:id="rId958" display="https://treas-secure.state.mi.us/LAFDocSearch/tl41R01.aspx?&amp;lu_id=1886&amp;doc_yr=2016&amp;doc_code=AUD" xr:uid="{AB6D9635-902B-470A-8A70-A1730222997A}"/>
    <hyperlink ref="E991" r:id="rId959" display="https://treas-secure.state.mi.us/LAFDocSearch/tl41R01.aspx?&amp;lu_id=1783&amp;doc_yr=2016&amp;doc_code=AUD" xr:uid="{C876C78E-9748-4D3F-A9FF-79B5282C6D76}"/>
    <hyperlink ref="E992" r:id="rId960" display="https://treas-secure.state.mi.us/LAFDocSearch/tl41R01.aspx?&amp;lu_id=1892&amp;doc_yr=2016&amp;doc_code=AUD" xr:uid="{0A3637F9-E851-4714-9F19-3D5F2DD0C009}"/>
    <hyperlink ref="E993" r:id="rId961" display="https://treas-secure.state.mi.us/LAFDocSearch/tl41R01.aspx?&amp;lu_id=1895&amp;doc_yr=2016&amp;doc_code=AUD" xr:uid="{905189F4-8B02-48C5-AB0A-E4683E2CAC93}"/>
    <hyperlink ref="E994" r:id="rId962" display="https://treas-secure.state.mi.us/LAFDocSearch/tl41R01.aspx?&amp;lu_id=1816&amp;doc_yr=2016&amp;doc_code=AUD" xr:uid="{CD49F6E1-98AD-4CEA-B23C-A8B45D3B6E89}"/>
    <hyperlink ref="E995" r:id="rId963" display="https://treas-secure.state.mi.us/LAFDocSearch/tl41R01.aspx?&amp;lu_id=1882&amp;doc_yr=2016&amp;doc_code=AUD" xr:uid="{F8070379-FAB2-4C73-9862-B62D7E859D88}"/>
    <hyperlink ref="E996" r:id="rId964" display="https://treas-secure.state.mi.us/LAFDocSearch/tl41R01.aspx?&amp;lu_id=1796&amp;doc_yr=2016&amp;doc_code=AUD" xr:uid="{64481745-4EAE-4510-B5BA-5627FE5F51AB}"/>
    <hyperlink ref="E997" r:id="rId965" display="https://treas-secure.state.mi.us/LAFDocSearch/tl41R01.aspx?&amp;lu_id=1797&amp;doc_yr=2016&amp;doc_code=AUD" xr:uid="{E1B6C417-81D1-4A3B-BD72-E0C93A1C5476}"/>
    <hyperlink ref="E998" r:id="rId966" display="https://treas-secure.state.mi.us/LAFDocSearch/tl41R01.aspx?&amp;lu_id=1801&amp;doc_yr=2016&amp;doc_code=AUD" xr:uid="{7B5437C8-9868-4944-AAD1-9D4CB9BFFAC4}"/>
    <hyperlink ref="E999" r:id="rId967" display="https://treas-secure.state.mi.us/LAFDocSearch/tl41R01.aspx?&amp;lu_id=1818&amp;doc_yr=2016&amp;doc_code=AUD" xr:uid="{C13D415E-9FE0-4331-8EDD-F7111D483BA8}"/>
    <hyperlink ref="E1000" r:id="rId968" display="https://treas-secure.state.mi.us/LAFDocSearch/tl41R01.aspx?&amp;lu_id=1897&amp;doc_yr=2016&amp;doc_code=AUD" xr:uid="{C1E639B3-D7FD-4299-A165-1422A6A915CE}"/>
    <hyperlink ref="E1001" r:id="rId969" display="https://treas-secure.state.mi.us/LAFDocSearch/tl41R01.aspx?&amp;lu_id=1819&amp;doc_yr=2016&amp;doc_code=AUD" xr:uid="{362560B1-CB62-4124-BCF3-A46587BBB1EC}"/>
    <hyperlink ref="E1002" r:id="rId970" display="https://treas-secure.state.mi.us/LAFDocSearch/tl41R01.aspx?&amp;lu_id=1876&amp;doc_yr=2016&amp;doc_code=AUD" xr:uid="{243A1782-1526-49FB-AABE-E4F4E5AC2F1F}"/>
    <hyperlink ref="E1003" r:id="rId971" display="https://treas-secure.state.mi.us/LAFDocSearch/tl41R01.aspx?&amp;lu_id=1820&amp;doc_yr=2016&amp;doc_code=AUD" xr:uid="{65FC9803-5B86-4F97-8A37-CE7DE9673C7E}"/>
    <hyperlink ref="E1004" r:id="rId972" display="https://treas-secure.state.mi.us/LAFDocSearch/tl41R01.aspx?&amp;lu_id=1877&amp;doc_yr=2016&amp;doc_code=AUD" xr:uid="{35D97609-F97B-415E-9E71-DD4C2869EAB3}"/>
    <hyperlink ref="E1005" r:id="rId973" display="https://treas-secure.state.mi.us/LAFDocSearch/tl41R01.aspx?&amp;lu_id=1804&amp;doc_yr=2016&amp;doc_code=AUD" xr:uid="{998FE5E0-75DC-4628-A21E-59C877EED2AA}"/>
    <hyperlink ref="E1006" r:id="rId974" display="https://treas-secure.state.mi.us/LAFDocSearch/tl41R01.aspx?&amp;lu_id=1805&amp;doc_yr=2016&amp;doc_code=AUD" xr:uid="{E9442CA3-BDBC-4DE1-828B-28259AE6CCFC}"/>
    <hyperlink ref="E1007" r:id="rId975" display="https://treas-secure.state.mi.us/LAFDocSearch/tl41R01.aspx?&amp;lu_id=1806&amp;doc_yr=2016&amp;doc_code=AUD" xr:uid="{3279981D-F273-422F-AD16-7C85C6E5EAAE}"/>
    <hyperlink ref="E1008" r:id="rId976" display="https://treas-secure.state.mi.us/LAFDocSearch/tl41R01.aspx?&amp;lu_id=1821&amp;doc_yr=2016&amp;doc_code=AUD" xr:uid="{FAB94605-7EBA-4DF5-8EE5-D02E60B75778}"/>
    <hyperlink ref="E1009" r:id="rId977" display="https://treas-secure.state.mi.us/LAFDocSearch/tl41R01.aspx?&amp;lu_id=1891&amp;doc_yr=2016&amp;doc_code=AUD" xr:uid="{F36157A5-5212-4FBA-BABA-9D3786D49BD0}"/>
    <hyperlink ref="E1010" r:id="rId978" display="https://treas-secure.state.mi.us/LAFDocSearch/tl41R01.aspx?&amp;lu_id=1893&amp;doc_yr=2016&amp;doc_code=AUD" xr:uid="{7A91A810-F951-4E6A-BA60-68D4AD39AB69}"/>
    <hyperlink ref="E1011" r:id="rId979" display="https://treas-secure.state.mi.us/LAFDocSearch/tl41R01.aspx?&amp;lu_id=1807&amp;doc_yr=2016&amp;doc_code=AUD" xr:uid="{17C451AE-8EE7-4AEA-BB8F-C31F5D657722}"/>
    <hyperlink ref="E1012" r:id="rId980" display="https://treas-secure.state.mi.us/LAFDocSearch/tl41R01.aspx?&amp;lu_id=1808&amp;doc_yr=2016&amp;doc_code=AUD" xr:uid="{2A54E5F0-97D3-409C-86DD-515EC29AC7F7}"/>
    <hyperlink ref="E1013" r:id="rId981" display="https://treas-secure.state.mi.us/LAFDocSearch/tl41R01.aspx?&amp;lu_id=1809&amp;doc_yr=2016&amp;doc_code=AUD" xr:uid="{50CD956B-397C-4FC0-AF8C-5B604B656145}"/>
    <hyperlink ref="E1014" r:id="rId982" display="https://treas-secure.state.mi.us/LAFDocSearch/tl41R01.aspx?&amp;lu_id=1822&amp;doc_yr=2016&amp;doc_code=AUD" xr:uid="{3BF6CE6E-BEB2-426C-AC03-4882F8CB76DA}"/>
    <hyperlink ref="E1015" r:id="rId983" display="https://treas-secure.state.mi.us/LAFDocSearch/tl41R01.aspx?&amp;lu_id=1810&amp;doc_yr=2016&amp;doc_code=AUD" xr:uid="{CC61CDC4-5DB5-419F-A8B6-E12DEA045D59}"/>
    <hyperlink ref="E1016" r:id="rId984" display="https://treas-secure.state.mi.us/LAFDocSearch/tl41R01.aspx?&amp;lu_id=1811&amp;doc_yr=2016&amp;doc_code=AUD" xr:uid="{7C6B5F1A-A761-49EF-B6EB-A4730C73F591}"/>
    <hyperlink ref="E1018" r:id="rId985" display="https://treas-secure.state.mi.us/LAFDocSearch/tl41R01.aspx?&amp;lu_id=1905&amp;doc_yr=2016&amp;doc_code=AUD" xr:uid="{DEDB2D43-3440-4F5D-A604-C7A4CBAC49C6}"/>
    <hyperlink ref="E1019" r:id="rId986" display="https://treas-secure.state.mi.us/LAFDocSearch/tl41R01.aspx?&amp;lu_id=1906&amp;doc_yr=2016&amp;doc_code=AUD" xr:uid="{2F57957A-5BE1-4692-BFE1-7B2353D79C79}"/>
    <hyperlink ref="E1020" r:id="rId987" display="https://treas-secure.state.mi.us/LAFDocSearch/tl41R01.aspx?&amp;lu_id=2043&amp;doc_yr=2016&amp;doc_code=AUD" xr:uid="{E3DE415B-3DBC-488B-86C2-66E54A82D69B}"/>
    <hyperlink ref="E1021" r:id="rId988" display="https://treas-secure.state.mi.us/LAFDocSearch/tl41R01.aspx?&amp;lu_id=2027&amp;doc_yr=2016&amp;doc_code=AUD" xr:uid="{D5B705BB-E066-463E-8A54-2ADA95AEABBC}"/>
    <hyperlink ref="E1022" r:id="rId989" display="https://treas-secure.state.mi.us/LAFDocSearch/tl41R01.aspx?&amp;lu_id=1992&amp;doc_yr=2016&amp;doc_code=AUD" xr:uid="{DBD67096-2AB8-476C-80DD-F9F9F724DA22}"/>
    <hyperlink ref="E1023" r:id="rId990" display="https://treas-secure.state.mi.us/LAFDocSearch/tl41R01.aspx?&amp;lu_id=1983&amp;doc_yr=2016&amp;doc_code=AUD" xr:uid="{7F04AC41-5259-4FED-ADFA-51705D534756}"/>
    <hyperlink ref="E1024" r:id="rId991" display="https://treas-secure.state.mi.us/LAFDocSearch/tl41R01.aspx?&amp;lu_id=1984&amp;doc_yr=2016&amp;doc_code=AUD" xr:uid="{6E74651B-6B8A-41B3-8E82-F473E5C5418D}"/>
    <hyperlink ref="E1025" r:id="rId992" display="https://treas-secure.state.mi.us/LAFDocSearch/tl41R01.aspx?&amp;lu_id=1907&amp;doc_yr=2016&amp;doc_code=AUD" xr:uid="{E67A49A6-5E88-4E36-BE0B-80E7262CAD60}"/>
    <hyperlink ref="E1026" r:id="rId993" display="https://treas-secure.state.mi.us/LAFDocSearch/tl41R01.aspx?&amp;lu_id=1920&amp;doc_yr=2016&amp;doc_code=AUD" xr:uid="{C9EA5164-D868-4324-B3C4-1B66618A58E8}"/>
    <hyperlink ref="E1027" r:id="rId994" display="https://treas-secure.state.mi.us/LAFDocSearch/tl41R01.aspx?&amp;lu_id=1989&amp;doc_yr=2016&amp;doc_code=AUD" xr:uid="{0A6909C3-7699-4A9B-A9E5-2E9F331EE8CE}"/>
    <hyperlink ref="E1028" r:id="rId995" display="https://treas-secure.state.mi.us/LAFDocSearch/tl41R01.aspx?&amp;lu_id=1902&amp;doc_yr=2016&amp;doc_code=AUD" xr:uid="{B9F50CBE-EF3A-4458-B553-84B94760C86E}"/>
    <hyperlink ref="E1029" r:id="rId996" display="https://treas-secure.state.mi.us/LAFDocSearch/tl41R01.aspx?&amp;lu_id=2021&amp;doc_yr=2016&amp;doc_code=AUD" xr:uid="{5D22EF62-5D6C-416F-B51B-E6165EDFD59B}"/>
    <hyperlink ref="E1030" r:id="rId997" display="https://treas-secure.state.mi.us/LAFDocSearch/tl41R01.aspx?&amp;lu_id=2024&amp;doc_yr=2016&amp;doc_code=AUD" xr:uid="{5C4D6C8D-F884-49C8-A507-C98045D8CD4B}"/>
    <hyperlink ref="E1031" r:id="rId998" display="https://treas-secure.state.mi.us/LAFDocSearch/tl41R01.aspx?&amp;lu_id=2010&amp;doc_yr=2016&amp;doc_code=AUD" xr:uid="{C894E99E-3E04-445B-8615-0129D17849A2}"/>
    <hyperlink ref="E1032" r:id="rId999" display="https://treas-secure.state.mi.us/LAFDocSearch/tl41R01.aspx?&amp;lu_id=1921&amp;doc_yr=2016&amp;doc_code=AUD" xr:uid="{38AE0DCA-9E58-42B5-8B66-09C26C030D24}"/>
    <hyperlink ref="E1033" r:id="rId1000" display="https://treas-secure.state.mi.us/LAFDocSearch/tl41R01.aspx?&amp;lu_id=2001&amp;doc_yr=2016&amp;doc_code=AUD" xr:uid="{37991146-3082-4C6D-889E-AD79D1E6984C}"/>
    <hyperlink ref="E1034" r:id="rId1001" display="https://treas-secure.state.mi.us/LAFDocSearch/tl41R01.aspx?&amp;lu_id=2031&amp;doc_yr=2016&amp;doc_code=AUD" xr:uid="{3ACF97E8-3275-43C1-A872-09DE7C80ECA6}"/>
    <hyperlink ref="E1035" r:id="rId1002" display="https://treas-secure.state.mi.us/LAFDocSearch/tl41R01.aspx?&amp;lu_id=2030&amp;doc_yr=2016&amp;doc_code=AUD" xr:uid="{1DBC570D-9C36-4390-B41C-507D0A570721}"/>
    <hyperlink ref="E1036" r:id="rId1003" display="https://treas-secure.state.mi.us/LAFDocSearch/tl41R01.aspx?&amp;lu_id=2032&amp;doc_yr=2016&amp;doc_code=AUD" xr:uid="{8EFDCB34-41B4-4437-AF7D-0D3C834A1549}"/>
    <hyperlink ref="E1037" r:id="rId1004" display="https://treas-secure.state.mi.us/LAFDocSearch/tl41R01.aspx?&amp;lu_id=2029&amp;doc_yr=2016&amp;doc_code=AUD" xr:uid="{AF621E87-25C7-4B10-BD84-4FF226C0D42F}"/>
    <hyperlink ref="E1038" r:id="rId1005" display="https://treas-secure.state.mi.us/LAFDocSearch/tl41R01.aspx?&amp;lu_id=1909&amp;doc_yr=2016&amp;doc_code=AUD" xr:uid="{C9F6B395-1D34-4509-8FAB-046D96A9BB4E}"/>
    <hyperlink ref="E1039" r:id="rId1006" display="https://treas-secure.state.mi.us/LAFDocSearch/tl41R01.aspx?&amp;lu_id=2016&amp;doc_yr=2016&amp;doc_code=AUD" xr:uid="{5F201839-086F-455F-9868-D0CE55E1C563}"/>
    <hyperlink ref="E1040" r:id="rId1007" display="https://treas-secure.state.mi.us/LAFDocSearch/tl41R01.aspx?&amp;lu_id=2014&amp;doc_yr=2016&amp;doc_code=AUD" xr:uid="{CB618E67-6E21-4FDA-B26A-4DFA0A689921}"/>
    <hyperlink ref="E1041" r:id="rId1008" display="https://treas-secure.state.mi.us/LAFDocSearch/tl41R01.aspx?&amp;lu_id=1999&amp;doc_yr=2016&amp;doc_code=AUD" xr:uid="{23E8A6C1-B2A1-467E-B7F6-66570714B0A7}"/>
    <hyperlink ref="E1042" r:id="rId1009" display="https://treas-secure.state.mi.us/LAFDocSearch/tl41R01.aspx?&amp;lu_id=1951&amp;doc_yr=2016&amp;doc_code=AUD" xr:uid="{5ABC8631-B0FA-408C-91EA-B78897EA3D6F}"/>
    <hyperlink ref="E1043" r:id="rId1010" display="https://treas-secure.state.mi.us/LAFDocSearch/tl41R01.aspx?&amp;lu_id=2013&amp;doc_yr=2016&amp;doc_code=AUD" xr:uid="{6D943472-B88F-4013-A254-FA1358B8F23C}"/>
    <hyperlink ref="E1044" r:id="rId1011" display="https://treas-secure.state.mi.us/LAFDocSearch/tl41R01.aspx?&amp;lu_id=7618&amp;doc_yr=2016&amp;doc_code=AUD" xr:uid="{864B6F31-6D07-49F2-AE37-611DE998FD25}"/>
    <hyperlink ref="E1045" r:id="rId1012" display="https://treas-secure.state.mi.us/LAFDocSearch/tl41R01.aspx?&amp;lu_id=1991&amp;doc_yr=2016&amp;doc_code=AUD" xr:uid="{AB95ED4E-EB98-4314-8366-9B4810510DEF}"/>
    <hyperlink ref="E1046" r:id="rId1013" display="https://treas-secure.state.mi.us/LAFDocSearch/tl41R01.aspx?&amp;lu_id=1910&amp;doc_yr=2016&amp;doc_code=AUD" xr:uid="{5FE8003E-DC9F-4542-AC8F-61666538D75D}"/>
    <hyperlink ref="E1047" r:id="rId1014" display="https://treas-secure.state.mi.us/LAFDocSearch/tl41R01.aspx?&amp;lu_id=1922&amp;doc_yr=2016&amp;doc_code=AUD" xr:uid="{2D62A617-AB29-4D05-8864-5E5373133D36}"/>
    <hyperlink ref="E1048" r:id="rId1015" display="https://treas-secure.state.mi.us/LAFDocSearch/tl41R01.aspx?&amp;lu_id=1911&amp;doc_yr=2016&amp;doc_code=AUD" xr:uid="{CF146C8D-BC9E-429B-BFD1-DE89E4CC9AC2}"/>
    <hyperlink ref="E1049" r:id="rId1016" display="https://treas-secure.state.mi.us/LAFDocSearch/tl41R01.aspx?&amp;lu_id=1912&amp;doc_yr=2016&amp;doc_code=AUD" xr:uid="{4961CCDF-3C22-4066-A884-9DCB668ECB9E}"/>
    <hyperlink ref="E1050" r:id="rId1017" display="https://treas-secure.state.mi.us/LAFDocSearch/tl41R01.aspx?&amp;lu_id=1923&amp;doc_yr=2016&amp;doc_code=AUD" xr:uid="{8683E49B-AE80-4368-959C-D24F62AFF7AE}"/>
    <hyperlink ref="E1051" r:id="rId1018" display="https://treas-secure.state.mi.us/LAFDocSearch/tl41R01.aspx?&amp;lu_id=1913&amp;doc_yr=2016&amp;doc_code=AUD" xr:uid="{E824E2CA-1F4F-48D0-921B-3FED46386936}"/>
    <hyperlink ref="E1052" r:id="rId1019" display="https://treas-secure.state.mi.us/LAFDocSearch/tl41R01.aspx?&amp;lu_id=2028&amp;doc_yr=2016&amp;doc_code=AUD" xr:uid="{4276A01C-1610-4D20-8EBD-43C4CAA4D6AE}"/>
    <hyperlink ref="E1053" r:id="rId1020" display="https://treas-secure.state.mi.us/LAFDocSearch/tl41R01.aspx?&amp;lu_id=2012&amp;doc_yr=2016&amp;doc_code=AUD" xr:uid="{8D2BB520-DA0F-4BB9-97A1-6256981126D1}"/>
    <hyperlink ref="E1054" r:id="rId1021" display="https://treas-secure.state.mi.us/LAFDocSearch/tl41R01.aspx?&amp;lu_id=7055&amp;doc_yr=2016&amp;doc_code=AUD" xr:uid="{C12A79C8-CA09-4314-96B7-42B5C20FE251}"/>
    <hyperlink ref="E1055" r:id="rId1022" display="https://treas-secure.state.mi.us/LAFDocSearch/tl41R01.aspx?&amp;lu_id=7059&amp;doc_yr=2016&amp;doc_code=AUD" xr:uid="{07F36791-3DE8-4576-A08F-9167EF1BC43D}"/>
    <hyperlink ref="E1056" r:id="rId1023" display="https://treas-secure.state.mi.us/LAFDocSearch/tl41R01.aspx?&amp;lu_id=2002&amp;doc_yr=2016&amp;doc_code=AUD" xr:uid="{DDF52408-38E6-4D4E-8887-F718B99EF7D3}"/>
    <hyperlink ref="E1057" r:id="rId1024" display="https://treas-secure.state.mi.us/LAFDocSearch/tl41R01.aspx?&amp;lu_id=1914&amp;doc_yr=2016&amp;doc_code=AUD" xr:uid="{9C6A3768-88EE-43D7-940F-227067C49797}"/>
    <hyperlink ref="E1058" r:id="rId1025" display="https://treas-secure.state.mi.us/LAFDocSearch/tl41R01.aspx?&amp;lu_id=1915&amp;doc_yr=2016&amp;doc_code=AUD" xr:uid="{9313231B-DA94-4A6F-8634-473EEB8AD926}"/>
    <hyperlink ref="E1059" r:id="rId1026" display="https://treas-secure.state.mi.us/LAFDocSearch/tl41R01.aspx?&amp;lu_id=1926&amp;doc_yr=2016&amp;doc_code=AUD" xr:uid="{805B4343-3DA0-49C9-B6D8-289CE278C490}"/>
    <hyperlink ref="E1060" r:id="rId1027" display="https://treas-secure.state.mi.us/LAFDocSearch/tl41R01.aspx?&amp;lu_id=2026&amp;doc_yr=2016&amp;doc_code=AUD" xr:uid="{C6F39427-5C0D-4460-BD1E-07A8D62E8B67}"/>
    <hyperlink ref="E1061" r:id="rId1028" display="https://treas-secure.state.mi.us/LAFDocSearch/tl41R01.aspx?&amp;lu_id=2018&amp;doc_yr=2016&amp;doc_code=AUD" xr:uid="{8C97827B-FA81-4B85-9997-3F5D8EDEAA52}"/>
    <hyperlink ref="E1062" r:id="rId1029" display="https://treas-secure.state.mi.us/LAFDocSearch/tl41R01.aspx?&amp;lu_id=2017&amp;doc_yr=2016&amp;doc_code=AUD" xr:uid="{1B54CB26-FBE0-4D0C-9FCC-E55C0D9AB45A}"/>
    <hyperlink ref="E1063" r:id="rId1030" display="https://treas-secure.state.mi.us/LAFDocSearch/tl41R01.aspx?&amp;lu_id=1916&amp;doc_yr=2016&amp;doc_code=AUD" xr:uid="{DE24ED01-6D7A-490E-AF99-85774255C82B}"/>
    <hyperlink ref="E1064" r:id="rId1031" display="https://treas-secure.state.mi.us/LAFDocSearch/tl41R01.aspx?&amp;lu_id=1917&amp;doc_yr=2016&amp;doc_code=AUD" xr:uid="{7BD6CE61-7DA2-464C-9802-0953012EE599}"/>
    <hyperlink ref="E1065" r:id="rId1032" display="https://treas-secure.state.mi.us/LAFDocSearch/tl41R01.aspx?&amp;lu_id=1918&amp;doc_yr=2016&amp;doc_code=AUD" xr:uid="{838C0642-9B3A-481F-9188-F23D17A6DF94}"/>
    <hyperlink ref="E1066" r:id="rId1033" display="https://treas-secure.state.mi.us/LAFDocSearch/tl41R01.aspx?&amp;lu_id=1924&amp;doc_yr=2016&amp;doc_code=AUD" xr:uid="{6C8E7C1B-078D-421B-904D-A6C6A034A82B}"/>
    <hyperlink ref="E1067" r:id="rId1034" display="https://treas-secure.state.mi.us/LAFDocSearch/tl41R01.aspx?&amp;lu_id=1919&amp;doc_yr=2016&amp;doc_code=AUD" xr:uid="{04E584E7-0457-4CE2-8B1B-6BF679E624C8}"/>
    <hyperlink ref="E1069" r:id="rId1035" display="https://treas-secure.state.mi.us/LAFDocSearch/tl41R01.aspx?&amp;lu_id=2066&amp;doc_yr=2016&amp;doc_code=AUD" xr:uid="{29B71226-65AA-4FF1-81C5-D42F920D00F6}"/>
    <hyperlink ref="E1070" r:id="rId1036" display="https://treas-secure.state.mi.us/LAFDocSearch/tl41R01.aspx?&amp;lu_id=2106&amp;doc_yr=2016&amp;doc_code=AUD" xr:uid="{9FD0BB0B-A717-463E-B0B7-4A85EDFA2461}"/>
    <hyperlink ref="E1071" r:id="rId1037" display="https://treas-secure.state.mi.us/LAFDocSearch/tl41R01.aspx?&amp;lu_id=2050&amp;doc_yr=2016&amp;doc_code=AUD" xr:uid="{653D2E5C-A619-463E-AAFA-56E1A26C0038}"/>
    <hyperlink ref="E1072" r:id="rId1038" display="https://treas-secure.state.mi.us/LAFDocSearch/tl41R01.aspx?&amp;lu_id=2103&amp;doc_yr=2016&amp;doc_code=AUD" xr:uid="{A3DF1FB2-A792-4FA1-A819-D42141D5A1EE}"/>
    <hyperlink ref="E1073" r:id="rId1039" display="https://treas-secure.state.mi.us/LAFDocSearch/tl41R01.aspx?&amp;lu_id=2051&amp;doc_yr=2016&amp;doc_code=AUD" xr:uid="{A4E13899-3695-4F69-9E24-136FD95AA8F2}"/>
    <hyperlink ref="E1074" r:id="rId1040" display="https://treas-secure.state.mi.us/LAFDocSearch/tl41R01.aspx?&amp;lu_id=2052&amp;doc_yr=2016&amp;doc_code=AUD" xr:uid="{0A112E8E-EC20-4209-9C23-90A253D2B974}"/>
    <hyperlink ref="E1075" r:id="rId1041" display="https://treas-secure.state.mi.us/LAFDocSearch/tl41R01.aspx?&amp;lu_id=2069&amp;doc_yr=2016&amp;doc_code=AUD" xr:uid="{277ED2E7-3268-4E5B-9716-6B8E8DC41A0C}"/>
    <hyperlink ref="E1076" r:id="rId1042" display="https://treas-secure.state.mi.us/LAFDocSearch/tl41R01.aspx?&amp;lu_id=2112&amp;doc_yr=2016&amp;doc_code=AUD" xr:uid="{430D65AD-4FB3-4E0B-B019-E8520D3E3D6A}"/>
    <hyperlink ref="E1077" r:id="rId1043" display="https://treas-secure.state.mi.us/LAFDocSearch/tl41R01.aspx?&amp;lu_id=2053&amp;doc_yr=2016&amp;doc_code=AUD" xr:uid="{1E226C3A-ED60-46FE-8004-AC5836ADE9F9}"/>
    <hyperlink ref="E1078" r:id="rId1044" display="https://treas-secure.state.mi.us/LAFDocSearch/tl41R01.aspx?&amp;lu_id=2054&amp;doc_yr=2016&amp;doc_code=AUD" xr:uid="{63EF3DB4-AE09-4DFF-83C3-EADE5BC645BF}"/>
    <hyperlink ref="E1079" r:id="rId1045" display="https://treas-secure.state.mi.us/LAFDocSearch/tl41R01.aspx?&amp;lu_id=2067&amp;doc_yr=2016&amp;doc_code=AUD" xr:uid="{B437A15F-BAB6-4896-A1E2-5ECB70A84901}"/>
    <hyperlink ref="E1080" r:id="rId1046" display="https://treas-secure.state.mi.us/LAFDocSearch/tl41R01.aspx?&amp;lu_id=2048&amp;doc_yr=2016&amp;doc_code=AUD" xr:uid="{5B8C717F-2C6B-4C82-B4BA-BE6E67734CD8}"/>
    <hyperlink ref="E1081" r:id="rId1047" display="https://treas-secure.state.mi.us/LAFDocSearch/tl41R01.aspx?&amp;lu_id=2055&amp;doc_yr=2016&amp;doc_code=AUD" xr:uid="{31A1644D-6430-49E6-9E79-64B98BFCB0A3}"/>
    <hyperlink ref="E1082" r:id="rId1048" display="https://treas-secure.state.mi.us/LAFDocSearch/tl41R01.aspx?&amp;lu_id=2111&amp;doc_yr=2016&amp;doc_code=AUD" xr:uid="{925CFEA3-7DF8-4A9E-B9B5-D4B37B52C4C0}"/>
    <hyperlink ref="E1083" r:id="rId1049" display="https://treas-secure.state.mi.us/LAFDocSearch/tl41R01.aspx?&amp;lu_id=2120&amp;doc_yr=2016&amp;doc_code=AUD" xr:uid="{D35EFA4A-DA3A-4409-8151-BD3558508DC1}"/>
    <hyperlink ref="E1084" r:id="rId1050" display="https://treas-secure.state.mi.us/LAFDocSearch/tl41R01.aspx?&amp;lu_id=2108&amp;doc_yr=2016&amp;doc_code=AUD" xr:uid="{A77BA3C2-6DD3-431C-B665-8CF4474C4FD9}"/>
    <hyperlink ref="E1085" r:id="rId1051" display="https://treas-secure.state.mi.us/LAFDocSearch/tl41R01.aspx?&amp;lu_id=2049&amp;doc_yr=2016&amp;doc_code=AUD" xr:uid="{6C530C5E-E46B-409B-8530-4862AA77F48A}"/>
    <hyperlink ref="E1086" r:id="rId1052" display="https://treas-secure.state.mi.us/LAFDocSearch/tl41R01.aspx?&amp;lu_id=2105&amp;doc_yr=2016&amp;doc_code=AUD" xr:uid="{E5FA704E-2CBA-4B5F-8F1C-4DB32A3C760A}"/>
    <hyperlink ref="E1087" r:id="rId1053" display="https://treas-secure.state.mi.us/LAFDocSearch/tl41R01.aspx?&amp;lu_id=2056&amp;doc_yr=2016&amp;doc_code=AUD" xr:uid="{CAD9AE49-E6DD-4EAA-8FD2-60DC7C17B7E8}"/>
    <hyperlink ref="E1088" r:id="rId1054" display="https://treas-secure.state.mi.us/LAFDocSearch/tl41R01.aspx?&amp;lu_id=2071&amp;doc_yr=2016&amp;doc_code=AUD" xr:uid="{B3DC6E7D-5934-4B8A-A477-6BF78B012D91}"/>
    <hyperlink ref="E1089" r:id="rId1055" display="https://treas-secure.state.mi.us/LAFDocSearch/tl41R01.aspx?&amp;lu_id=2116&amp;doc_yr=2016&amp;doc_code=AUD" xr:uid="{517BE78E-CB03-4632-BDF3-667B920DFD0B}"/>
    <hyperlink ref="E1090" r:id="rId1056" display="https://treas-secure.state.mi.us/LAFDocSearch/tl41R01.aspx?&amp;lu_id=2102&amp;doc_yr=2016&amp;doc_code=AUD" xr:uid="{24930FB4-19C5-41BC-92D8-CA092F3F427F}"/>
    <hyperlink ref="E1091" r:id="rId1057" display="https://treas-secure.state.mi.us/LAFDocSearch/tl41R01.aspx?&amp;lu_id=2093&amp;doc_yr=2016&amp;doc_code=AUD" xr:uid="{621CD5F4-E9CF-48BF-BB4D-5DCA79173063}"/>
    <hyperlink ref="E1092" r:id="rId1058" display="https://treas-secure.state.mi.us/LAFDocSearch/tl41R01.aspx?&amp;lu_id=2057&amp;doc_yr=2016&amp;doc_code=AUD" xr:uid="{8E25E6AF-3F47-474F-85DD-6C6659D79D56}"/>
    <hyperlink ref="E1093" r:id="rId1059" display="https://treas-secure.state.mi.us/LAFDocSearch/tl41R01.aspx?&amp;lu_id=2072&amp;doc_yr=2016&amp;doc_code=AUD" xr:uid="{23FB3E16-13CD-496C-A6A9-824F87D9E5BA}"/>
    <hyperlink ref="E1094" r:id="rId1060" display="https://treas-secure.state.mi.us/LAFDocSearch/tl41R01.aspx?&amp;lu_id=2118&amp;doc_yr=2016&amp;doc_code=AUD" xr:uid="{06BA941A-AD08-4CB2-9CCC-50910123A2CD}"/>
    <hyperlink ref="E1095" r:id="rId1061" display="https://treas-secure.state.mi.us/LAFDocSearch/tl41R01.aspx?&amp;lu_id=2073&amp;doc_yr=2016&amp;doc_code=AUD" xr:uid="{09B38D62-703B-47C3-BF0D-892F6BD92D65}"/>
    <hyperlink ref="E1096" r:id="rId1062" display="https://treas-secure.state.mi.us/LAFDocSearch/tl41R01.aspx?&amp;lu_id=2059&amp;doc_yr=2016&amp;doc_code=AUD" xr:uid="{C811D183-AD3A-480E-AE3C-276FDDA02AA0}"/>
    <hyperlink ref="E1097" r:id="rId1063" display="https://treas-secure.state.mi.us/LAFDocSearch/tl41R01.aspx?&amp;lu_id=2060&amp;doc_yr=2016&amp;doc_code=AUD" xr:uid="{5137341B-9279-49BB-8147-A6D4287230BF}"/>
    <hyperlink ref="E1098" r:id="rId1064" display="https://treas-secure.state.mi.us/LAFDocSearch/tl41R01.aspx?&amp;lu_id=2061&amp;doc_yr=2016&amp;doc_code=AUD" xr:uid="{552F02F7-2C0F-489E-9F00-3784AF18AE90}"/>
    <hyperlink ref="E1099" r:id="rId1065" display="https://treas-secure.state.mi.us/LAFDocSearch/tl41R01.aspx?&amp;lu_id=2062&amp;doc_yr=2016&amp;doc_code=AUD" xr:uid="{B6EB10FA-0459-484A-8165-24E596BEDB4C}"/>
    <hyperlink ref="E1100" r:id="rId1066" display="https://treas-secure.state.mi.us/LAFDocSearch/tl41R01.aspx?&amp;lu_id=2074&amp;doc_yr=2016&amp;doc_code=AUD" xr:uid="{AAACE876-4047-4C8B-9E34-DB4B8A647296}"/>
    <hyperlink ref="E1101" r:id="rId1067" display="https://treas-secure.state.mi.us/LAFDocSearch/tl41R01.aspx?&amp;lu_id=2068&amp;doc_yr=2016&amp;doc_code=AUD" xr:uid="{398AA875-04BE-4489-892B-02B01A5FF49F}"/>
    <hyperlink ref="E1102" r:id="rId1068" display="https://treas-secure.state.mi.us/LAFDocSearch/tl41R01.aspx?&amp;lu_id=2063&amp;doc_yr=2016&amp;doc_code=AUD" xr:uid="{A7274C4F-F61F-4CDA-8B81-B26F4BBC2E5E}"/>
    <hyperlink ref="E1103" r:id="rId1069" display="https://treas-secure.state.mi.us/LAFDocSearch/tl41R01.aspx?&amp;lu_id=7007&amp;doc_yr=2016&amp;doc_code=AUD" xr:uid="{0D0452C9-F096-4A15-A16D-364F05A03437}"/>
    <hyperlink ref="E1104" r:id="rId1070" display="https://treas-secure.state.mi.us/LAFDocSearch/tl41R01.aspx?&amp;lu_id=2100&amp;doc_yr=2016&amp;doc_code=AUD" xr:uid="{2640FF94-54D3-40B3-BCC5-F69E8D908F55}"/>
    <hyperlink ref="E1105" r:id="rId1071" display="https://treas-secure.state.mi.us/LAFDocSearch/tl41R01.aspx?&amp;lu_id=2117&amp;doc_yr=2016&amp;doc_code=AUD" xr:uid="{93D152A1-CC37-440A-90AC-61CEDDF4A973}"/>
    <hyperlink ref="E1106" r:id="rId1072" display="https://treas-secure.state.mi.us/LAFDocSearch/tl41R01.aspx?&amp;lu_id=2064&amp;doc_yr=2016&amp;doc_code=AUD" xr:uid="{CF4C95BF-17C6-491C-83A3-B1D10789FBE4}"/>
    <hyperlink ref="E1107" r:id="rId1073" display="https://treas-secure.state.mi.us/LAFDocSearch/tl41R01.aspx?&amp;lu_id=2075&amp;doc_yr=2016&amp;doc_code=AUD" xr:uid="{5823A7E9-77A9-45BC-A7AC-4958A1E033A6}"/>
    <hyperlink ref="E1108" r:id="rId1074" display="https://treas-secure.state.mi.us/LAFDocSearch/tl41R01.aspx?&amp;lu_id=2119&amp;doc_yr=2016&amp;doc_code=AUD" xr:uid="{826C8893-FEE8-4428-808D-B5ED8E8ABD99}"/>
    <hyperlink ref="E1109" r:id="rId1075" display="https://treas-secure.state.mi.us/LAFDocSearch/tl41R01.aspx?&amp;lu_id=2101&amp;doc_yr=2016&amp;doc_code=AUD" xr:uid="{C664A123-8383-48CA-B851-69A405AF43FA}"/>
    <hyperlink ref="E1110" r:id="rId1076" display="https://treas-secure.state.mi.us/LAFDocSearch/tl41R01.aspx?&amp;lu_id=2065&amp;doc_yr=2016&amp;doc_code=AUD" xr:uid="{20DCECEC-E2DC-4CEE-BAAB-6C56E3D8688B}"/>
    <hyperlink ref="E1112" r:id="rId1077" display="https://treas-secure.state.mi.us/LAFDocSearch/tl41R01.aspx?&amp;lu_id=2126&amp;doc_yr=2016&amp;doc_code=AUD" xr:uid="{19094700-CD17-401B-9CBE-7CEA2ACD4350}"/>
    <hyperlink ref="E1113" r:id="rId1078" display="https://treas-secure.state.mi.us/LAFDocSearch/tl41R01.aspx?&amp;lu_id=2127&amp;doc_yr=2016&amp;doc_code=AUD" xr:uid="{4A17244A-A6CC-407C-993A-BEDDF4D5F24F}"/>
    <hyperlink ref="E1114" r:id="rId1079" display="https://treas-secure.state.mi.us/LAFDocSearch/tl41R01.aspx?&amp;lu_id=2160&amp;doc_yr=2016&amp;doc_code=AUD" xr:uid="{E50FE315-C173-4EBB-8DB1-88AABFC4229C}"/>
    <hyperlink ref="E1115" r:id="rId1080" display="https://treas-secure.state.mi.us/LAFDocSearch/tl41R01.aspx?&amp;lu_id=2128&amp;doc_yr=2016&amp;doc_code=AUD" xr:uid="{C7F5A8C2-1A25-4848-9068-66A4EA29083F}"/>
    <hyperlink ref="E1116" r:id="rId1081" display="https://treas-secure.state.mi.us/LAFDocSearch/tl41R01.aspx?&amp;lu_id=2129&amp;doc_yr=2016&amp;doc_code=AUD" xr:uid="{B605FB2D-51A3-44C2-9D63-2CB06D9A4636}"/>
    <hyperlink ref="E1117" r:id="rId1082" display="https://treas-secure.state.mi.us/LAFDocSearch/tl41R01.aspx?&amp;lu_id=2137&amp;doc_yr=2016&amp;doc_code=AUD" xr:uid="{3F69FB06-870C-48AC-B2E7-6AC4CB3BD9A8}"/>
    <hyperlink ref="E1118" r:id="rId1083" display="https://treas-secure.state.mi.us/LAFDocSearch/tl41R01.aspx?&amp;lu_id=2168&amp;doc_yr=2016&amp;doc_code=AUD" xr:uid="{D7CFAE14-9873-4E66-AF06-8EB8E63B3BB2}"/>
    <hyperlink ref="E1119" r:id="rId1084" display="https://treas-secure.state.mi.us/LAFDocSearch/tl41R01.aspx?&amp;lu_id=2162&amp;doc_yr=2016&amp;doc_code=AUD" xr:uid="{824DB60C-2192-467E-A026-0B53D3120451}"/>
    <hyperlink ref="E1120" r:id="rId1085" display="https://treas-secure.state.mi.us/LAFDocSearch/tl41R01.aspx?&amp;lu_id=2157&amp;doc_yr=2016&amp;doc_code=AUD" xr:uid="{3FC179D7-5060-471D-A16A-00CE39A66113}"/>
    <hyperlink ref="E1121" r:id="rId1086" display="https://treas-secure.state.mi.us/LAFDocSearch/tl41R01.aspx?&amp;lu_id=2124&amp;doc_yr=2016&amp;doc_code=AUD" xr:uid="{7B58E553-C4ED-4410-B76C-2F39CC5525A2}"/>
    <hyperlink ref="E1122" r:id="rId1087" display="https://treas-secure.state.mi.us/LAFDocSearch/tl41R01.aspx?&amp;lu_id=2161&amp;doc_yr=2016&amp;doc_code=AUD" xr:uid="{C369CB7B-D9F4-4664-8454-B59BDA8DF1EF}"/>
    <hyperlink ref="E1123" r:id="rId1088" display="https://treas-secure.state.mi.us/LAFDocSearch/tl41R01.aspx?&amp;lu_id=2125&amp;doc_yr=2016&amp;doc_code=AUD" xr:uid="{81406D1B-9104-4CF4-BD51-F12BBC8BECCF}"/>
    <hyperlink ref="E1124" r:id="rId1089" display="https://treas-secure.state.mi.us/LAFDocSearch/tl41R01.aspx?&amp;lu_id=2167&amp;doc_yr=2016&amp;doc_code=AUD" xr:uid="{661B002C-9C70-46CF-BA8E-8FB91C853892}"/>
    <hyperlink ref="E1125" r:id="rId1090" display="https://treas-secure.state.mi.us/LAFDocSearch/tl41R01.aspx?&amp;lu_id=2172&amp;doc_yr=2016&amp;doc_code=AUD" xr:uid="{E138D212-06A8-4B89-B9BF-585DF38229A5}"/>
    <hyperlink ref="E1126" r:id="rId1091" display="https://treas-secure.state.mi.us/LAFDocSearch/tl41R01.aspx?&amp;lu_id=2131&amp;doc_yr=2016&amp;doc_code=AUD" xr:uid="{008FEF76-BF59-4FB4-B398-376A4C0D9A46}"/>
    <hyperlink ref="E1127" r:id="rId1092" display="https://treas-secure.state.mi.us/LAFDocSearch/tl41R01.aspx?&amp;lu_id=2171&amp;doc_yr=2016&amp;doc_code=AUD" xr:uid="{D6D1EF39-C575-486C-B364-8B003B36C6A9}"/>
    <hyperlink ref="E1128" r:id="rId1093" display="https://treas-secure.state.mi.us/LAFDocSearch/tl41R01.aspx?&amp;lu_id=2166&amp;doc_yr=2016&amp;doc_code=AUD" xr:uid="{FC42B954-36F9-42DB-9DA2-3DCE86742800}"/>
    <hyperlink ref="E1129" r:id="rId1094" display="https://treas-secure.state.mi.us/LAFDocSearch/tl41R01.aspx?&amp;lu_id=2132&amp;doc_yr=2016&amp;doc_code=AUD" xr:uid="{2B5F8B5B-A4E9-441B-AECB-8D66BB6A363E}"/>
    <hyperlink ref="E1130" r:id="rId1095" display="https://treas-secure.state.mi.us/LAFDocSearch/tl41R01.aspx?&amp;lu_id=2133&amp;doc_yr=2016&amp;doc_code=AUD" xr:uid="{FDCF1D85-9DAF-484C-9DBA-807EAF427C26}"/>
    <hyperlink ref="E1131" r:id="rId1096" display="https://treas-secure.state.mi.us/LAFDocSearch/tl41R01.aspx?&amp;lu_id=2134&amp;doc_yr=2016&amp;doc_code=AUD" xr:uid="{478B1F6F-D00A-46BE-AC50-F484A364E72C}"/>
    <hyperlink ref="E1132" r:id="rId1097" display="https://treas-secure.state.mi.us/LAFDocSearch/tl41R01.aspx?&amp;lu_id=2135&amp;doc_yr=2016&amp;doc_code=AUD" xr:uid="{4AD2E61D-2611-4671-BB4F-37FA36EABDE9}"/>
    <hyperlink ref="E1133" r:id="rId1098" display="https://treas-secure.state.mi.us/LAFDocSearch/tl41R01.aspx?&amp;lu_id=2138&amp;doc_yr=2016&amp;doc_code=AUD" xr:uid="{44A85555-26D2-4FF1-9B84-EF34DDA84F04}"/>
    <hyperlink ref="E1134" r:id="rId1099" display="https://treas-secure.state.mi.us/LAFDocSearch/tl41R01.aspx?&amp;lu_id=2164&amp;doc_yr=2016&amp;doc_code=AUD" xr:uid="{18E91AA4-C213-4566-B044-577DC7EC272F}"/>
    <hyperlink ref="E1135" r:id="rId1100" display="https://treas-secure.state.mi.us/LAFDocSearch/tl41R01.aspx?&amp;lu_id=2154&amp;doc_yr=2016&amp;doc_code=AUD" xr:uid="{5B3BA406-C81C-44B6-8E2F-E3C8E95B0B2E}"/>
    <hyperlink ref="E1136" r:id="rId1101" display="https://treas-secure.state.mi.us/LAFDocSearch/tl41R01.aspx?&amp;lu_id=2139&amp;doc_yr=2016&amp;doc_code=AUD" xr:uid="{2BBC7614-8363-4830-ABB5-607F90ACCB85}"/>
    <hyperlink ref="E1137" r:id="rId1102" display="https://treas-secure.state.mi.us/LAFDocSearch/tl41R01.aspx?&amp;lu_id=2136&amp;doc_yr=2016&amp;doc_code=AUD" xr:uid="{D8005791-152D-4D63-8D3C-A51F557FAE3D}"/>
    <hyperlink ref="E1139" r:id="rId1103" display="https://treas-secure.state.mi.us/LAFDocSearch/tl41R01.aspx?&amp;lu_id=2188&amp;doc_yr=2016&amp;doc_code=AUD" xr:uid="{F6AD179F-6C42-451D-B09E-88216C3FC51E}"/>
    <hyperlink ref="E1140" r:id="rId1104" display="https://treas-secure.state.mi.us/LAFDocSearch/tl41R01.aspx?&amp;lu_id=2176&amp;doc_yr=2016&amp;doc_code=AUD" xr:uid="{FD08058C-EA73-40BD-82D2-939022FB5ABF}"/>
    <hyperlink ref="E1141" r:id="rId1105" display="https://treas-secure.state.mi.us/LAFDocSearch/tl41R01.aspx?&amp;lu_id=2183&amp;doc_yr=2016&amp;doc_code=AUD" xr:uid="{5AE2EF37-D798-4BCF-825F-85EF4FDAEAF9}"/>
    <hyperlink ref="E1142" r:id="rId1106" display="https://treas-secure.state.mi.us/LAFDocSearch/tl41R01.aspx?&amp;lu_id=2197&amp;doc_yr=2016&amp;doc_code=AUD" xr:uid="{18B4E7EE-1EA9-4C62-B48C-8FED4A8C9797}"/>
    <hyperlink ref="E1143" r:id="rId1107" display="https://treas-secure.state.mi.us/LAFDocSearch/tl41R01.aspx?&amp;lu_id=2184&amp;doc_yr=2016&amp;doc_code=AUD" xr:uid="{BBEA2342-6FDA-4D07-909B-4B226A9FD281}"/>
    <hyperlink ref="E1144" r:id="rId1108" display="https://treas-secure.state.mi.us/LAFDocSearch/tl41R01.aspx?&amp;lu_id=2177&amp;doc_yr=2016&amp;doc_code=AUD" xr:uid="{58BE91E9-0BC8-40F0-8120-F92DA279B2A1}"/>
    <hyperlink ref="E1145" r:id="rId1109" display="https://treas-secure.state.mi.us/LAFDocSearch/tl41R01.aspx?&amp;lu_id=2208&amp;doc_yr=2016&amp;doc_code=AUD" xr:uid="{D257EA28-8D4A-4E27-99C8-7FCCAC03BBA0}"/>
    <hyperlink ref="E1146" r:id="rId1110" display="https://treas-secure.state.mi.us/LAFDocSearch/tl41R01.aspx?&amp;lu_id=2185&amp;doc_yr=2016&amp;doc_code=AUD" xr:uid="{AE6A24F3-1C12-405F-A72B-0997931BEBD4}"/>
    <hyperlink ref="E1147" r:id="rId1111" display="https://treas-secure.state.mi.us/LAFDocSearch/tl41R01.aspx?&amp;lu_id=2178&amp;doc_yr=2016&amp;doc_code=AUD" xr:uid="{4DF76485-6B3C-4E57-A741-CE001D57373A}"/>
    <hyperlink ref="E1148" r:id="rId1112" display="https://treas-secure.state.mi.us/LAFDocSearch/tl41R01.aspx?&amp;lu_id=2174&amp;doc_yr=2016&amp;doc_code=AUD" xr:uid="{FEA681E1-A8B9-4DD2-83B7-F4EDE7B36BC0}"/>
    <hyperlink ref="E1149" r:id="rId1113" display="https://treas-secure.state.mi.us/LAFDocSearch/tl41R01.aspx?&amp;lu_id=2204&amp;doc_yr=2016&amp;doc_code=AUD" xr:uid="{B613E1F9-EE1A-4E70-85F7-EA4E06CFD4D3}"/>
    <hyperlink ref="E1150" r:id="rId1114" display="https://treas-secure.state.mi.us/LAFDocSearch/tl41R01.aspx?&amp;lu_id=2201&amp;doc_yr=2016&amp;doc_code=AUD" xr:uid="{7D582ADE-BEA5-468C-8809-B6033363F220}"/>
    <hyperlink ref="E1151" r:id="rId1115" display="https://treas-secure.state.mi.us/LAFDocSearch/tl41R01.aspx?&amp;lu_id=2175&amp;doc_yr=2016&amp;doc_code=AUD" xr:uid="{AE2EAE52-4C0D-46AD-8D20-D4B7CE585D96}"/>
    <hyperlink ref="E1152" r:id="rId1116" display="https://treas-secure.state.mi.us/LAFDocSearch/tl41R01.aspx?&amp;lu_id=2186&amp;doc_yr=2016&amp;doc_code=AUD" xr:uid="{FE08B008-170C-4A89-A4EE-067D08A12B5F}"/>
    <hyperlink ref="E1153" r:id="rId1117" display="https://treas-secure.state.mi.us/LAFDocSearch/tl41R01.aspx?&amp;lu_id=2179&amp;doc_yr=2016&amp;doc_code=AUD" xr:uid="{D34F8887-773D-46A7-8793-9B8A56F66971}"/>
    <hyperlink ref="E1154" r:id="rId1118" display="https://treas-secure.state.mi.us/LAFDocSearch/tl41R01.aspx?&amp;lu_id=2199&amp;doc_yr=2016&amp;doc_code=AUD" xr:uid="{E07E2E48-D6F9-400D-A1FD-08761C853518}"/>
    <hyperlink ref="E1155" r:id="rId1119" display="https://treas-secure.state.mi.us/LAFDocSearch/tl41R01.aspx?&amp;lu_id=6028&amp;doc_yr=2016&amp;doc_code=AUD" xr:uid="{07225B50-4F00-4B1A-A6C0-BF307EF7D608}"/>
    <hyperlink ref="E1156" r:id="rId1120" display="https://treas-secure.state.mi.us/LAFDocSearch/tl41R01.aspx?&amp;lu_id=2180&amp;doc_yr=2016&amp;doc_code=AUD" xr:uid="{5336E1D0-D967-41C8-A8E7-6989B181373D}"/>
    <hyperlink ref="E1157" r:id="rId1121" display="https://treas-secure.state.mi.us/LAFDocSearch/tl41R01.aspx?&amp;lu_id=2181&amp;doc_yr=2016&amp;doc_code=AUD" xr:uid="{6CB114E9-37B3-4C17-A8E8-385992DB4A75}"/>
    <hyperlink ref="E1158" r:id="rId1122" display="https://treas-secure.state.mi.us/LAFDocSearch/tl41R01.aspx?&amp;lu_id=2198&amp;doc_yr=2016&amp;doc_code=AUD" xr:uid="{3DF538BC-A179-4611-9F28-44B778C9C018}"/>
    <hyperlink ref="E1159" r:id="rId1123" display="https://treas-secure.state.mi.us/LAFDocSearch/tl41R01.aspx?&amp;lu_id=2200&amp;doc_yr=2016&amp;doc_code=AUD" xr:uid="{83D1FAC4-2737-4E39-9DC8-CD5F395462BA}"/>
    <hyperlink ref="E1160" r:id="rId1124" display="https://treas-secure.state.mi.us/LAFDocSearch/tl41R01.aspx?&amp;lu_id=2193&amp;doc_yr=2016&amp;doc_code=AUD" xr:uid="{AA4C7E79-6334-441E-BF4B-56097CC0E038}"/>
    <hyperlink ref="E1161" r:id="rId1125" display="https://treas-secure.state.mi.us/LAFDocSearch/tl41R01.aspx?&amp;lu_id=2207&amp;doc_yr=2016&amp;doc_code=AUD" xr:uid="{9E5C45DD-2A9E-423B-9BC2-2D11B74D251B}"/>
    <hyperlink ref="E1162" r:id="rId1126" display="https://treas-secure.state.mi.us/LAFDocSearch/tl41R01.aspx?&amp;lu_id=6027&amp;doc_yr=2016&amp;doc_code=AUD" xr:uid="{CF16BF90-64F4-40A9-9C15-9FAFF2E1F254}"/>
    <hyperlink ref="E1164" r:id="rId1127" display="https://treas-secure.state.mi.us/LAFDocSearch/tl41R01.aspx?&amp;lu_id=2213&amp;doc_yr=2016&amp;doc_code=AUD" xr:uid="{1DCD9772-7357-41FC-846A-A9E5F035BA71}"/>
    <hyperlink ref="E1165" r:id="rId1128" display="https://treas-secure.state.mi.us/LAFDocSearch/tl41R01.aspx?&amp;lu_id=2267&amp;doc_yr=2016&amp;doc_code=AUD" xr:uid="{57734379-2D3E-4F30-8846-AF46F2BBD4FD}"/>
    <hyperlink ref="E1166" r:id="rId1129" display="https://treas-secure.state.mi.us/LAFDocSearch/tl41R01.aspx?&amp;lu_id=2214&amp;doc_yr=2016&amp;doc_code=AUD" xr:uid="{6FC6DA88-DE8D-49B9-B59D-DEAE346903B3}"/>
    <hyperlink ref="E1167" r:id="rId1130" display="https://treas-secure.state.mi.us/LAFDocSearch/tl41R01.aspx?&amp;lu_id=2268&amp;doc_yr=2016&amp;doc_code=AUD" xr:uid="{085B75AC-F63A-45B9-9D46-BE6246D76EF7}"/>
    <hyperlink ref="E1168" r:id="rId1131" display="https://treas-secure.state.mi.us/LAFDocSearch/tl41R01.aspx?&amp;lu_id=2215&amp;doc_yr=2016&amp;doc_code=AUD" xr:uid="{11AD74C0-E485-4DC6-B74E-385EC32DDAB4}"/>
    <hyperlink ref="E1169" r:id="rId1132" display="https://treas-secure.state.mi.us/LAFDocSearch/tl41R01.aspx?&amp;lu_id=2216&amp;doc_yr=2016&amp;doc_code=AUD" xr:uid="{3F242690-9A2F-44C7-9DEE-30F5946BE819}"/>
    <hyperlink ref="E1170" r:id="rId1133" display="https://treas-secure.state.mi.us/LAFDocSearch/tl41R01.aspx?&amp;lu_id=2258&amp;doc_yr=2016&amp;doc_code=AUD" xr:uid="{27CA5575-1699-42F1-B47F-486C377EC0CC}"/>
    <hyperlink ref="E1171" r:id="rId1134" display="https://treas-secure.state.mi.us/LAFDocSearch/tl41R01.aspx?&amp;lu_id=2217&amp;doc_yr=2016&amp;doc_code=AUD" xr:uid="{82FED6AA-F60F-4997-97E1-DF9B0C85F129}"/>
    <hyperlink ref="E1172" r:id="rId1135" display="https://treas-secure.state.mi.us/LAFDocSearch/tl41R01.aspx?&amp;lu_id=2218&amp;doc_yr=2016&amp;doc_code=AUD" xr:uid="{402FE925-2736-47E5-9718-AFF242089FB7}"/>
    <hyperlink ref="E1173" r:id="rId1136" display="https://treas-secure.state.mi.us/LAFDocSearch/tl41R01.aspx?&amp;lu_id=2220&amp;doc_yr=2016&amp;doc_code=AUD" xr:uid="{4B2350A6-FD7A-40A4-A3AD-58F0CCA1BD0B}"/>
    <hyperlink ref="E1174" r:id="rId1137" display="https://treas-secure.state.mi.us/LAFDocSearch/tl41R01.aspx?&amp;lu_id=2211&amp;doc_yr=2016&amp;doc_code=AUD" xr:uid="{8DE6893C-57E8-4F02-8C5B-FC23630DE8FD}"/>
    <hyperlink ref="E1175" r:id="rId1138" display="https://treas-secure.state.mi.us/LAFDocSearch/tl41R01.aspx?&amp;lu_id=2221&amp;doc_yr=2016&amp;doc_code=AUD" xr:uid="{1990036F-99C5-4956-BB28-32316C186F57}"/>
    <hyperlink ref="E1176" r:id="rId1139" display="https://treas-secure.state.mi.us/LAFDocSearch/tl41R01.aspx?&amp;lu_id=2259&amp;doc_yr=2016&amp;doc_code=AUD" xr:uid="{9D4B7D44-F4B9-4E3F-B1A3-94DF47CE0773}"/>
    <hyperlink ref="E1177" r:id="rId1140" display="https://treas-secure.state.mi.us/LAFDocSearch/tl41R01.aspx?&amp;lu_id=2212&amp;doc_yr=2016&amp;doc_code=AUD" xr:uid="{18E323F2-8CE9-4EE0-9FF4-E173F47AF80E}"/>
    <hyperlink ref="E1178" r:id="rId1141" display="https://treas-secure.state.mi.us/LAFDocSearch/tl41R01.aspx?&amp;lu_id=2262&amp;doc_yr=2016&amp;doc_code=AUD" xr:uid="{F6B4E512-1E43-48AB-AB7C-023E4FBBB068}"/>
    <hyperlink ref="E1179" r:id="rId1142" display="https://treas-secure.state.mi.us/LAFDocSearch/tl41R01.aspx?&amp;lu_id=2264&amp;doc_yr=2016&amp;doc_code=AUD" xr:uid="{1D44C416-1E28-48ED-BACC-170BCF92F225}"/>
    <hyperlink ref="E1180" r:id="rId1143" display="https://treas-secure.state.mi.us/LAFDocSearch/tl41R01.aspx?&amp;lu_id=2261&amp;doc_yr=2016&amp;doc_code=AUD" xr:uid="{403F165E-826C-4D3D-A7C2-1817C36C34E0}"/>
    <hyperlink ref="E1181" r:id="rId1144" display="https://treas-secure.state.mi.us/LAFDocSearch/tl41R01.aspx?&amp;lu_id=2230&amp;doc_yr=2016&amp;doc_code=AUD" xr:uid="{34AFD3FC-5155-400C-BA71-208E354567A3}"/>
    <hyperlink ref="E1182" r:id="rId1145" display="https://treas-secure.state.mi.us/LAFDocSearch/tl41R01.aspx?&amp;lu_id=2222&amp;doc_yr=2016&amp;doc_code=AUD" xr:uid="{D2B813DA-8704-46A9-832F-50D1E376BB00}"/>
    <hyperlink ref="E1183" r:id="rId1146" display="https://treas-secure.state.mi.us/LAFDocSearch/tl41R01.aspx?&amp;lu_id=2229&amp;doc_yr=2016&amp;doc_code=AUD" xr:uid="{610A8AA9-60F3-42E9-B794-5CDAAF00AA8C}"/>
    <hyperlink ref="E1184" r:id="rId1147" display="https://treas-secure.state.mi.us/LAFDocSearch/tl41R01.aspx?&amp;lu_id=2260&amp;doc_yr=2016&amp;doc_code=AUD" xr:uid="{EAC6C04D-7799-4844-AE62-CE47362764E8}"/>
    <hyperlink ref="E1185" r:id="rId1148" display="https://treas-secure.state.mi.us/LAFDocSearch/tl41R01.aspx?&amp;lu_id=2223&amp;doc_yr=2016&amp;doc_code=AUD" xr:uid="{7727B311-D8E7-42D5-BB54-919C82A49550}"/>
    <hyperlink ref="E1186" r:id="rId1149" display="https://treas-secure.state.mi.us/LAFDocSearch/tl41R01.aspx?&amp;lu_id=2266&amp;doc_yr=2016&amp;doc_code=AUD" xr:uid="{664BF624-43C4-48D7-9CF0-CED0FFDD89A9}"/>
    <hyperlink ref="E1187" r:id="rId1150" display="https://treas-secure.state.mi.us/LAFDocSearch/tl41R01.aspx?&amp;lu_id=2224&amp;doc_yr=2016&amp;doc_code=AUD" xr:uid="{FAB65A19-1813-494D-A805-0B5545786F36}"/>
    <hyperlink ref="E1188" r:id="rId1151" display="https://treas-secure.state.mi.us/LAFDocSearch/tl41R01.aspx?&amp;lu_id=2231&amp;doc_yr=2016&amp;doc_code=AUD" xr:uid="{970D6409-95C0-4E64-9260-4824CCC32A14}"/>
    <hyperlink ref="E1189" r:id="rId1152" display="https://treas-secure.state.mi.us/LAFDocSearch/tl41R01.aspx?&amp;lu_id=2232&amp;doc_yr=2016&amp;doc_code=AUD" xr:uid="{1793334B-C314-4CC1-843A-9A790FCE2764}"/>
    <hyperlink ref="E1190" r:id="rId1153" display="https://treas-secure.state.mi.us/LAFDocSearch/tl41R01.aspx?&amp;lu_id=2263&amp;doc_yr=2016&amp;doc_code=AUD" xr:uid="{7AB8AADA-3753-4494-A21F-14154896E9F9}"/>
    <hyperlink ref="E1191" r:id="rId1154" display="https://treas-secure.state.mi.us/LAFDocSearch/tl41R01.aspx?&amp;lu_id=2225&amp;doc_yr=2016&amp;doc_code=AUD" xr:uid="{E8F3E18E-9373-4661-80EA-01ECFB0BE264}"/>
    <hyperlink ref="E1192" r:id="rId1155" display="https://treas-secure.state.mi.us/LAFDocSearch/tl41R01.aspx?&amp;lu_id=2226&amp;doc_yr=2016&amp;doc_code=AUD" xr:uid="{ADF52EE2-D3DD-47C8-A530-BA5926A6BD79}"/>
    <hyperlink ref="E1193" r:id="rId1156" display="https://treas-secure.state.mi.us/LAFDocSearch/tl41R01.aspx?&amp;lu_id=2227&amp;doc_yr=2016&amp;doc_code=AUD" xr:uid="{B7471DE6-9C8D-456B-AA67-3C84ED6DB3D3}"/>
    <hyperlink ref="E1194" r:id="rId1157" display="https://treas-secure.state.mi.us/LAFDocSearch/tl41R01.aspx?&amp;lu_id=2228&amp;doc_yr=2016&amp;doc_code=AUD" xr:uid="{45D83D95-163E-4C7B-A3A4-66A76AA136B1}"/>
    <hyperlink ref="E1196" r:id="rId1158" display="https://treas-secure.state.mi.us/LAFDocSearch/tl41R01.aspx?&amp;lu_id=2271&amp;doc_yr=2016&amp;doc_code=AUD" xr:uid="{DD9BF75F-BD17-45E4-ADB1-DFB64733EEE8}"/>
    <hyperlink ref="E1197" r:id="rId1159" display="https://treas-secure.state.mi.us/LAFDocSearch/tl41R01.aspx?&amp;lu_id=2291&amp;doc_yr=2016&amp;doc_code=AUD" xr:uid="{79E213F9-667D-4A31-9315-C533714A04B3}"/>
    <hyperlink ref="E1198" r:id="rId1160" display="https://treas-secure.state.mi.us/LAFDocSearch/tl41R01.aspx?&amp;lu_id=2272&amp;doc_yr=2016&amp;doc_code=AUD" xr:uid="{71EB5B4D-3771-486D-94D0-8F84AC2E852F}"/>
    <hyperlink ref="E1199" r:id="rId1161" display="https://treas-secure.state.mi.us/LAFDocSearch/tl41R01.aspx?&amp;lu_id=2292&amp;doc_yr=2016&amp;doc_code=AUD" xr:uid="{9BF9CD1D-1DFB-4B04-9430-21BF447742C8}"/>
    <hyperlink ref="E1200" r:id="rId1162" display="https://treas-secure.state.mi.us/LAFDocSearch/tl41R01.aspx?&amp;lu_id=2293&amp;doc_yr=2016&amp;doc_code=AUD" xr:uid="{692165A1-C4BE-471C-825D-912A2C94B419}"/>
    <hyperlink ref="E1201" r:id="rId1163" display="https://treas-secure.state.mi.us/LAFDocSearch/tl41R01.aspx?&amp;lu_id=2274&amp;doc_yr=2016&amp;doc_code=AUD" xr:uid="{A9A0D886-5583-4C8A-AEDB-D30DC9099B1B}"/>
    <hyperlink ref="E1202" r:id="rId1164" display="https://treas-secure.state.mi.us/LAFDocSearch/tl41R01.aspx?&amp;lu_id=2275&amp;doc_yr=2016&amp;doc_code=AUD" xr:uid="{BDEF3C96-88FC-4B63-9780-8DB845F7B5C6}"/>
    <hyperlink ref="E1203" r:id="rId1165" display="https://treas-secure.state.mi.us/LAFDocSearch/tl41R01.aspx?&amp;lu_id=2294&amp;doc_yr=2016&amp;doc_code=AUD" xr:uid="{360E261A-2563-4905-88FA-F90748B23AAF}"/>
    <hyperlink ref="E1204" r:id="rId1166" display="https://treas-secure.state.mi.us/LAFDocSearch/tl41R01.aspx?&amp;lu_id=2276&amp;doc_yr=2016&amp;doc_code=AUD" xr:uid="{36180CEA-EE84-4CD6-988C-A2415FAA2613}"/>
    <hyperlink ref="E1205" r:id="rId1167" display="https://treas-secure.state.mi.us/LAFDocSearch/tl41R01.aspx?&amp;lu_id=2290&amp;doc_yr=2016&amp;doc_code=AUD" xr:uid="{210C9E0E-0E05-471B-B205-8C41EDDEE483}"/>
    <hyperlink ref="E1206" r:id="rId1168" display="https://treas-secure.state.mi.us/LAFDocSearch/tl41R01.aspx?&amp;lu_id=2269&amp;doc_yr=2016&amp;doc_code=AUD" xr:uid="{B82395BE-D1B2-4B05-8A9D-F18208F30ABE}"/>
    <hyperlink ref="E1207" r:id="rId1169" display="https://treas-secure.state.mi.us/LAFDocSearch/tl41R01.aspx?&amp;lu_id=2323&amp;doc_yr=2016&amp;doc_code=AUD" xr:uid="{868EAA69-E3C1-4569-A7C7-5AE8F0991D2D}"/>
    <hyperlink ref="E1208" r:id="rId1170" display="https://treas-secure.state.mi.us/LAFDocSearch/tl41R01.aspx?&amp;lu_id=2330&amp;doc_yr=2016&amp;doc_code=AUD" xr:uid="{10AD1F3B-5937-47E7-A313-1AAD1C64FBE9}"/>
    <hyperlink ref="E1209" r:id="rId1171" display="https://treas-secure.state.mi.us/LAFDocSearch/tl41R01.aspx?&amp;lu_id=2322&amp;doc_yr=2016&amp;doc_code=AUD" xr:uid="{274BEEFC-30D1-48CD-A3D8-DB8BD30A010B}"/>
    <hyperlink ref="E1210" r:id="rId1172" display="https://treas-secure.state.mi.us/LAFDocSearch/tl41R01.aspx?&amp;lu_id=2325&amp;doc_yr=2016&amp;doc_code=AUD" xr:uid="{28511AC8-C3A0-476F-80BE-0CC1DCFFD3E7}"/>
    <hyperlink ref="E1211" r:id="rId1173" display="https://treas-secure.state.mi.us/LAFDocSearch/tl41R01.aspx?&amp;lu_id=2313&amp;doc_yr=2016&amp;doc_code=AUD" xr:uid="{3DF937A0-CD02-4425-A49E-12F34A88CC2A}"/>
    <hyperlink ref="E1212" r:id="rId1174" display="https://treas-secure.state.mi.us/LAFDocSearch/tl41R01.aspx?&amp;lu_id=2329&amp;doc_yr=2016&amp;doc_code=AUD" xr:uid="{F86375C3-BA02-4815-8A94-477165485BC2}"/>
    <hyperlink ref="E1213" r:id="rId1175" display="https://treas-secure.state.mi.us/LAFDocSearch/tl41R01.aspx?&amp;lu_id=7834&amp;doc_yr=2016&amp;doc_code=AUD" xr:uid="{11219BAD-1F19-4785-A3FB-C634E64B79F4}"/>
    <hyperlink ref="E1214" r:id="rId1176" display="https://treas-secure.state.mi.us/LAFDocSearch/tl41R01.aspx?&amp;lu_id=2331&amp;doc_yr=2016&amp;doc_code=AUD" xr:uid="{2AEF6157-FB25-41B8-A4ED-4132B944D57A}"/>
    <hyperlink ref="E1215" r:id="rId1177" display="https://treas-secure.state.mi.us/LAFDocSearch/tl41R01.aspx?&amp;lu_id=2342&amp;doc_yr=2016&amp;doc_code=AUD" xr:uid="{E89C3107-7710-4E3B-BB6F-B4385C7C1061}"/>
    <hyperlink ref="E1216" r:id="rId1178" display="https://treas-secure.state.mi.us/LAFDocSearch/tl41R01.aspx?&amp;lu_id=2333&amp;doc_yr=2016&amp;doc_code=AUD" xr:uid="{28D52B4D-B00A-4428-BD5D-6604A7342EA3}"/>
    <hyperlink ref="E1217" r:id="rId1179" display="https://treas-secure.state.mi.us/LAFDocSearch/tl41R01.aspx?&amp;lu_id=2277&amp;doc_yr=2016&amp;doc_code=AUD" xr:uid="{589163FC-E4C3-4C16-912B-105BE6A58058}"/>
    <hyperlink ref="E1218" r:id="rId1180" display="https://treas-secure.state.mi.us/LAFDocSearch/tl41R01.aspx?&amp;lu_id=2326&amp;doc_yr=2016&amp;doc_code=AUD" xr:uid="{1A2A1D5F-D883-463B-8860-284491DEC597}"/>
    <hyperlink ref="E1219" r:id="rId1181" display="https://treas-secure.state.mi.us/LAFDocSearch/tl41R01.aspx?&amp;lu_id=2278&amp;doc_yr=2016&amp;doc_code=AUD" xr:uid="{E3DD484E-C329-4E85-8FB5-26697DDEAA0A}"/>
    <hyperlink ref="E1220" r:id="rId1182" display="https://treas-secure.state.mi.us/LAFDocSearch/tl41R01.aspx?&amp;lu_id=2332&amp;doc_yr=2016&amp;doc_code=AUD" xr:uid="{73748DE5-6389-478D-B0C0-1C237FE36257}"/>
    <hyperlink ref="E1221" r:id="rId1183" display="https://treas-secure.state.mi.us/LAFDocSearch/tl41R01.aspx?&amp;lu_id=2316&amp;doc_yr=2016&amp;doc_code=AUD" xr:uid="{C27B1071-0F34-400C-8068-1FE7D3B606F2}"/>
    <hyperlink ref="E1222" r:id="rId1184" display="https://treas-secure.state.mi.us/LAFDocSearch/tl41R01.aspx?&amp;lu_id=2279&amp;doc_yr=2016&amp;doc_code=AUD" xr:uid="{04359E06-D40D-4739-A93D-CB27F540D708}"/>
    <hyperlink ref="E1223" r:id="rId1185" display="https://treas-secure.state.mi.us/LAFDocSearch/tl41R01.aspx?&amp;lu_id=2280&amp;doc_yr=2016&amp;doc_code=AUD" xr:uid="{01D5FF11-C598-4D52-A8B6-8F74B339302C}"/>
    <hyperlink ref="E1224" r:id="rId1186" display="https://treas-secure.state.mi.us/LAFDocSearch/tl41R01.aspx?&amp;lu_id=2281&amp;doc_yr=2016&amp;doc_code=AUD" xr:uid="{A17C1719-824C-4748-978B-CD91C24119A0}"/>
    <hyperlink ref="E1225" r:id="rId1187" display="https://treas-secure.state.mi.us/LAFDocSearch/tl41R01.aspx?&amp;lu_id=2295&amp;doc_yr=2016&amp;doc_code=AUD" xr:uid="{89917A22-0EE1-46CD-B5A2-F63686A3C21F}"/>
    <hyperlink ref="E1226" r:id="rId1188" display="https://treas-secure.state.mi.us/LAFDocSearch/tl41R01.aspx?&amp;lu_id=2282&amp;doc_yr=2016&amp;doc_code=AUD" xr:uid="{FB0F6A01-BF48-4DFA-BDE8-402B25CD8888}"/>
    <hyperlink ref="E1227" r:id="rId1189" display="https://treas-secure.state.mi.us/LAFDocSearch/tl41R01.aspx?&amp;lu_id=2339&amp;doc_yr=2016&amp;doc_code=AUD" xr:uid="{32E326AD-1CC3-4EF4-8661-5E21CCC0A3EB}"/>
    <hyperlink ref="E1228" r:id="rId1190" display="https://treas-secure.state.mi.us/LAFDocSearch/tl41R01.aspx?&amp;lu_id=2283&amp;doc_yr=2016&amp;doc_code=AUD" xr:uid="{C0490C9E-7809-4DC6-A2CA-AA077AE0155A}"/>
    <hyperlink ref="E1229" r:id="rId1191" display="https://treas-secure.state.mi.us/LAFDocSearch/tl41R01.aspx?&amp;lu_id=2337&amp;doc_yr=2016&amp;doc_code=AUD" xr:uid="{EA05103C-5B85-4FE3-A185-293296D7B0A6}"/>
    <hyperlink ref="E1230" r:id="rId1192" display="https://treas-secure.state.mi.us/LAFDocSearch/tl41R01.aspx?&amp;lu_id=2284&amp;doc_yr=2016&amp;doc_code=AUD" xr:uid="{735DACFB-73B3-4D76-AB22-E1F8696CCD53}"/>
    <hyperlink ref="E1231" r:id="rId1193" display="https://treas-secure.state.mi.us/LAFDocSearch/tl41R01.aspx?&amp;lu_id=2285&amp;doc_yr=2016&amp;doc_code=AUD" xr:uid="{43685853-A31B-4C3C-AFE8-D81408EA7304}"/>
    <hyperlink ref="E1232" r:id="rId1194" display="https://treas-secure.state.mi.us/LAFDocSearch/tl41R01.aspx?&amp;lu_id=2286&amp;doc_yr=2016&amp;doc_code=AUD" xr:uid="{9EED101C-C5E2-454D-9946-3A5328E00999}"/>
    <hyperlink ref="E1233" r:id="rId1195" display="https://treas-secure.state.mi.us/LAFDocSearch/tl41R01.aspx?&amp;lu_id=2296&amp;doc_yr=2016&amp;doc_code=AUD" xr:uid="{4BC2307A-8C52-480B-8E96-6D818E66A63F}"/>
    <hyperlink ref="E1234" r:id="rId1196" display="https://treas-secure.state.mi.us/LAFDocSearch/tl41R01.aspx?&amp;lu_id=2327&amp;doc_yr=2016&amp;doc_code=AUD" xr:uid="{0B4CFEA0-3918-424C-ACD7-2BE86BB69644}"/>
    <hyperlink ref="E1235" r:id="rId1197" display="https://treas-secure.state.mi.us/LAFDocSearch/tl41R01.aspx?&amp;lu_id=2287&amp;doc_yr=2016&amp;doc_code=AUD" xr:uid="{5A5772D3-FDD1-4577-9DF1-31357EAF5BB4}"/>
    <hyperlink ref="E1236" r:id="rId1198" display="https://treas-secure.state.mi.us/LAFDocSearch/tl41R01.aspx?&amp;lu_id=2288&amp;doc_yr=2016&amp;doc_code=AUD" xr:uid="{078E617F-58D6-41D9-B876-FE7D2C62400E}"/>
    <hyperlink ref="E1237" r:id="rId1199" display="https://treas-secure.state.mi.us/LAFDocSearch/tl41R01.aspx?&amp;lu_id=2289&amp;doc_yr=2016&amp;doc_code=AUD" xr:uid="{5A0E98FF-432A-4945-8F67-098E7D05B8F9}"/>
    <hyperlink ref="E1239" r:id="rId1200" display="https://treas-secure.state.mi.us/LAFDocSearch/tl41R01.aspx?&amp;lu_id=2347&amp;doc_yr=2016&amp;doc_code=AUD" xr:uid="{90E775FD-8442-4E42-8574-C7D932098239}"/>
    <hyperlink ref="E1240" r:id="rId1201" display="https://treas-secure.state.mi.us/LAFDocSearch/tl41R01.aspx?&amp;lu_id=2366&amp;doc_yr=2016&amp;doc_code=AUD" xr:uid="{C3E72835-8EDF-4DED-B87F-9FA9F1A2ED41}"/>
    <hyperlink ref="E1241" r:id="rId1202" display="https://treas-secure.state.mi.us/LAFDocSearch/tl41R01.aspx?&amp;lu_id=2417&amp;doc_yr=2016&amp;doc_code=AUD" xr:uid="{C977E32F-6956-4564-8B9F-A5B4B3652A37}"/>
    <hyperlink ref="E1242" r:id="rId1203" display="https://treas-secure.state.mi.us/LAFDocSearch/tl41R01.aspx?&amp;lu_id=2348&amp;doc_yr=2016&amp;doc_code=AUD" xr:uid="{36837869-E2DD-4AA3-AEB2-1FE215C8F7C3}"/>
    <hyperlink ref="E1243" r:id="rId1204" display="https://treas-secure.state.mi.us/LAFDocSearch/tl41R01.aspx?&amp;lu_id=7884&amp;doc_yr=2016&amp;doc_code=AUD" xr:uid="{27B98D4F-6DA8-4112-B637-D9B697DDEA00}"/>
    <hyperlink ref="E1244" r:id="rId1205" display="https://treas-secure.state.mi.us/LAFDocSearch/tl41R01.aspx?&amp;lu_id=2349&amp;doc_yr=2016&amp;doc_code=AUD" xr:uid="{BD783803-5F05-4C7E-8136-C86EB9B68FE7}"/>
    <hyperlink ref="E1245" r:id="rId1206" display="https://treas-secure.state.mi.us/LAFDocSearch/tl41R01.aspx?&amp;lu_id=7079&amp;doc_yr=2016&amp;doc_code=AUD" xr:uid="{666B0A88-A64E-47BE-B194-3C39BECD6A50}"/>
    <hyperlink ref="E1246" r:id="rId1207" display="https://treas-secure.state.mi.us/LAFDocSearch/tl41R01.aspx?&amp;lu_id=2367&amp;doc_yr=2016&amp;doc_code=AUD" xr:uid="{A8AFB4A2-745D-4927-8C7C-92F8151B2514}"/>
    <hyperlink ref="E1247" r:id="rId1208" display="https://treas-secure.state.mi.us/LAFDocSearch/tl41R01.aspx?&amp;lu_id=2351&amp;doc_yr=2016&amp;doc_code=AUD" xr:uid="{D775E6C4-708B-44BA-BEDC-18FF6638BD51}"/>
    <hyperlink ref="E1248" r:id="rId1209" display="https://treas-secure.state.mi.us/LAFDocSearch/tl41R01.aspx?&amp;lu_id=2352&amp;doc_yr=2016&amp;doc_code=AUD" xr:uid="{F91FE62B-EF06-4CA9-B6ED-B4132400609B}"/>
    <hyperlink ref="E1249" r:id="rId1210" display="https://treas-secure.state.mi.us/LAFDocSearch/tl41R01.aspx?&amp;lu_id=2362&amp;doc_yr=2016&amp;doc_code=AUD" xr:uid="{3E02BEDA-BEC6-41F5-8398-30111C63E477}"/>
    <hyperlink ref="E1250" r:id="rId1211" display="https://treas-secure.state.mi.us/LAFDocSearch/tl41R01.aspx?&amp;lu_id=7640&amp;doc_yr=2016&amp;doc_code=AUD" xr:uid="{B0E16EDB-D7D3-4FED-9B60-953C8B5F212C}"/>
    <hyperlink ref="E1251" r:id="rId1212" display="https://treas-secure.state.mi.us/LAFDocSearch/tl41R01.aspx?&amp;lu_id=2408&amp;doc_yr=2016&amp;doc_code=AUD" xr:uid="{4BD9CAA1-4336-4966-A8C7-85AFA86F3AA7}"/>
    <hyperlink ref="E1252" r:id="rId1213" display="https://treas-secure.state.mi.us/LAFDocSearch/tl41R01.aspx?&amp;lu_id=2363&amp;doc_yr=2016&amp;doc_code=AUD" xr:uid="{7F7AF904-27D2-4049-8677-EEF206356435}"/>
    <hyperlink ref="E1253" r:id="rId1214" display="https://treas-secure.state.mi.us/LAFDocSearch/tl41R01.aspx?&amp;lu_id=2345&amp;doc_yr=2016&amp;doc_code=AUD" xr:uid="{FEAA300A-B8C0-4C22-AA21-30F9C13DB6C3}"/>
    <hyperlink ref="E1254" r:id="rId1215" display="https://treas-secure.state.mi.us/LAFDocSearch/tl41R01.aspx?&amp;lu_id=6181&amp;doc_yr=2016&amp;doc_code=AUD" xr:uid="{061BEB4C-B3A3-46B1-B1E5-8337A540A482}"/>
    <hyperlink ref="E1255" r:id="rId1216" display="https://treas-secure.state.mi.us/LAFDocSearch/tl41R01.aspx?&amp;lu_id=2411&amp;doc_yr=2016&amp;doc_code=AUD" xr:uid="{AD4A314F-EE0A-40BB-A1A5-FA0DEDDB16A7}"/>
    <hyperlink ref="E1256" r:id="rId1217" display="https://treas-secure.state.mi.us/LAFDocSearch/tl41R01.aspx?&amp;lu_id=2353&amp;doc_yr=2016&amp;doc_code=AUD" xr:uid="{0CAE4D11-8FBE-4C40-A037-0A9677466F02}"/>
    <hyperlink ref="E1257" r:id="rId1218" display="https://treas-secure.state.mi.us/LAFDocSearch/tl41R01.aspx?&amp;lu_id=2404&amp;doc_yr=2016&amp;doc_code=AUD" xr:uid="{01889F46-0500-4907-B1D6-1C38B36146DB}"/>
    <hyperlink ref="E1258" r:id="rId1219" display="https://treas-secure.state.mi.us/LAFDocSearch/tl41R01.aspx?&amp;lu_id=2405&amp;doc_yr=2016&amp;doc_code=AUD" xr:uid="{79AC1662-135F-48C4-A873-87C69B71D73C}"/>
    <hyperlink ref="E1259" r:id="rId1220" display="https://treas-secure.state.mi.us/LAFDocSearch/tl41R01.aspx?&amp;lu_id=2412&amp;doc_yr=2016&amp;doc_code=AUD" xr:uid="{3238F9CA-D4B8-4D8D-A910-343905AEDF95}"/>
    <hyperlink ref="E1260" r:id="rId1221" display="https://treas-secure.state.mi.us/LAFDocSearch/tl41R01.aspx?&amp;lu_id=2403&amp;doc_yr=2016&amp;doc_code=AUD" xr:uid="{C9E7B3B2-8E3E-466B-985F-CFCF51FD0ED1}"/>
    <hyperlink ref="E1261" r:id="rId1222" display="https://treas-secure.state.mi.us/LAFDocSearch/tl41R01.aspx?&amp;lu_id=2406&amp;doc_yr=2016&amp;doc_code=AUD" xr:uid="{646E2DD6-645E-4630-A4C9-342724ED103C}"/>
    <hyperlink ref="E1262" r:id="rId1223" display="https://treas-secure.state.mi.us/LAFDocSearch/tl41R01.aspx?&amp;lu_id=2400&amp;doc_yr=2016&amp;doc_code=AUD" xr:uid="{7C45196A-448E-4522-8928-823641EAEAB2}"/>
    <hyperlink ref="E1263" r:id="rId1224" display="https://treas-secure.state.mi.us/LAFDocSearch/tl41R01.aspx?&amp;lu_id=7845&amp;doc_yr=2016&amp;doc_code=AUD" xr:uid="{1C8D548C-06FC-4E10-BF7B-DFE11C5CD636}"/>
    <hyperlink ref="E1264" r:id="rId1225" display="https://treas-secure.state.mi.us/LAFDocSearch/tl41R01.aspx?&amp;lu_id=7916&amp;doc_yr=2016&amp;doc_code=AUD" xr:uid="{57BB1647-1B7F-4961-8F18-0DC18F1F31BD}"/>
    <hyperlink ref="E1265" r:id="rId1226" display="https://treas-secure.state.mi.us/LAFDocSearch/tl41R01.aspx?&amp;lu_id=6109&amp;doc_yr=2016&amp;doc_code=AUD" xr:uid="{CE202F3B-C3EE-45A5-B7A0-69B0E6698EBD}"/>
    <hyperlink ref="E1266" r:id="rId1227" display="https://treas-secure.state.mi.us/LAFDocSearch/tl41R01.aspx?&amp;lu_id=2346&amp;doc_yr=2016&amp;doc_code=AUD" xr:uid="{C6F8D76C-80BD-4197-8CB2-7B0AD8EE8CB5}"/>
    <hyperlink ref="E1267" r:id="rId1228" display="https://treas-secure.state.mi.us/LAFDocSearch/tl41R01.aspx?&amp;lu_id=6090&amp;doc_yr=2016&amp;doc_code=AUD" xr:uid="{EDF7F325-8EEE-47E5-8DC6-A29E50322475}"/>
    <hyperlink ref="E1268" r:id="rId1229" display="https://treas-secure.state.mi.us/LAFDocSearch/tl41R01.aspx?&amp;lu_id=2418&amp;doc_yr=2016&amp;doc_code=AUD" xr:uid="{027B17A1-A80C-4530-A620-8E15EDB1A4B9}"/>
    <hyperlink ref="E1269" r:id="rId1230" display="https://treas-secure.state.mi.us/LAFDocSearch/tl41R01.aspx?&amp;lu_id=2410&amp;doc_yr=2016&amp;doc_code=AUD" xr:uid="{BFD31F1A-7242-418B-B94E-06E108CC1C9D}"/>
    <hyperlink ref="E1270" r:id="rId1231" display="https://treas-secure.state.mi.us/LAFDocSearch/tl41R01.aspx?&amp;lu_id=2386&amp;doc_yr=2016&amp;doc_code=AUD" xr:uid="{2B21F2EA-9E93-49FF-B2B2-C60F949D60E3}"/>
    <hyperlink ref="E1271" r:id="rId1232" display="https://treas-secure.state.mi.us/LAFDocSearch/tl41R01.aspx?&amp;lu_id=2354&amp;doc_yr=2016&amp;doc_code=AUD" xr:uid="{3A7F1015-C27B-4E36-B1B3-187D2B50426B}"/>
    <hyperlink ref="E1272" r:id="rId1233" display="https://treas-secure.state.mi.us/LAFDocSearch/tl41R01.aspx?&amp;lu_id=2364&amp;doc_yr=2016&amp;doc_code=AUD" xr:uid="{7C874D3E-B856-4DDE-95F6-9D06992B732E}"/>
    <hyperlink ref="E1273" r:id="rId1234" display="https://treas-secure.state.mi.us/LAFDocSearch/tl41R01.aspx?&amp;lu_id=2419&amp;doc_yr=2016&amp;doc_code=AUD" xr:uid="{DF4D0D6E-0226-48BB-8D36-2778DEB8B433}"/>
    <hyperlink ref="E1274" r:id="rId1235" display="https://treas-secure.state.mi.us/LAFDocSearch/tl41R01.aspx?&amp;lu_id=2355&amp;doc_yr=2016&amp;doc_code=AUD" xr:uid="{0F13FC7B-A685-444B-869F-6AD9046AD7B3}"/>
    <hyperlink ref="E1275" r:id="rId1236" display="https://treas-secure.state.mi.us/LAFDocSearch/tl41R01.aspx?&amp;lu_id=2365&amp;doc_yr=2016&amp;doc_code=AUD" xr:uid="{BECBB01D-F658-481B-AA8F-5630A8D3F604}"/>
    <hyperlink ref="E1276" r:id="rId1237" display="https://treas-secure.state.mi.us/LAFDocSearch/tl41R01.aspx?&amp;lu_id=2420&amp;doc_yr=2016&amp;doc_code=AUD" xr:uid="{AEC08B34-D1A3-4FBD-A887-D6706019EA98}"/>
    <hyperlink ref="E1277" r:id="rId1238" display="https://treas-secure.state.mi.us/LAFDocSearch/tl41R01.aspx?&amp;lu_id=2357&amp;doc_yr=2016&amp;doc_code=AUD" xr:uid="{A4B8B0B4-40BC-4946-952A-50D53F681116}"/>
    <hyperlink ref="E1278" r:id="rId1239" display="https://treas-secure.state.mi.us/LAFDocSearch/tl41R01.aspx?&amp;lu_id=2368&amp;doc_yr=2016&amp;doc_code=AUD" xr:uid="{04AABB20-C6DA-4D51-B4E3-E79AD50F8DE3}"/>
    <hyperlink ref="E1279" r:id="rId1240" display="https://treas-secure.state.mi.us/LAFDocSearch/tl41R01.aspx?&amp;lu_id=2421&amp;doc_yr=2016&amp;doc_code=AUD" xr:uid="{24EF61CF-EC2C-4C19-9D12-825B6848311A}"/>
    <hyperlink ref="E1280" r:id="rId1241" display="https://treas-secure.state.mi.us/LAFDocSearch/tl41R01.aspx?&amp;lu_id=2358&amp;doc_yr=2016&amp;doc_code=AUD" xr:uid="{E1EEEA96-74C5-4D61-9401-88E74877C68F}"/>
    <hyperlink ref="E1281" r:id="rId1242" display="https://treas-secure.state.mi.us/LAFDocSearch/tl41R01.aspx?&amp;lu_id=2359&amp;doc_yr=2016&amp;doc_code=AUD" xr:uid="{F9C282BF-7787-4E74-A082-215C96D02DC1}"/>
    <hyperlink ref="E1282" r:id="rId1243" display="https://treas-secure.state.mi.us/LAFDocSearch/tl41R01.aspx?&amp;lu_id=2369&amp;doc_yr=2016&amp;doc_code=AUD" xr:uid="{EBB8690B-D612-46D6-9F5E-5ED761667F08}"/>
    <hyperlink ref="E1283" r:id="rId1244" display="https://treas-secure.state.mi.us/LAFDocSearch/tl41R01.aspx?&amp;lu_id=2409&amp;doc_yr=2016&amp;doc_code=AUD" xr:uid="{F053B269-73A5-4E80-8C05-5346E903096D}"/>
    <hyperlink ref="E1284" r:id="rId1245" display="https://treas-secure.state.mi.us/LAFDocSearch/tl41R01.aspx?&amp;lu_id=2407&amp;doc_yr=2016&amp;doc_code=AUD" xr:uid="{64BDD9E3-9E86-48D1-B417-639FAE62058C}"/>
    <hyperlink ref="E1285" r:id="rId1246" display="https://treas-secure.state.mi.us/LAFDocSearch/tl41R01.aspx?&amp;lu_id=2415&amp;doc_yr=2016&amp;doc_code=AUD" xr:uid="{E020D310-D99B-4869-8AD1-5DA5716EAFAE}"/>
    <hyperlink ref="E1286" r:id="rId1247" display="https://treas-secure.state.mi.us/LAFDocSearch/tl41R01.aspx?&amp;lu_id=7585&amp;doc_yr=2016&amp;doc_code=AUD" xr:uid="{32B6A17D-AC80-4FE7-893F-E98D8429E502}"/>
    <hyperlink ref="E1287" r:id="rId1248" display="https://treas-secure.state.mi.us/LAFDocSearch/tl41R01.aspx?&amp;lu_id=2360&amp;doc_yr=2016&amp;doc_code=AUD" xr:uid="{BB8985A1-B612-4B5F-A5D6-9A4D77164032}"/>
    <hyperlink ref="E1288" r:id="rId1249" display="https://treas-secure.state.mi.us/LAFDocSearch/tl41R01.aspx?&amp;lu_id=2370&amp;doc_yr=2016&amp;doc_code=AUD" xr:uid="{5BB30462-0D0C-4856-9184-4676E2D8D657}"/>
    <hyperlink ref="E1289" r:id="rId1250" display="https://treas-secure.state.mi.us/LAFDocSearch/tl41R01.aspx?&amp;lu_id=2422&amp;doc_yr=2016&amp;doc_code=AUD" xr:uid="{1B9403CE-C72B-410D-ADB4-C80D6168027C}"/>
    <hyperlink ref="E1290" r:id="rId1251" display="https://treas-secure.state.mi.us/LAFDocSearch/tl41R01.aspx?&amp;lu_id=2361&amp;doc_yr=2016&amp;doc_code=AUD" xr:uid="{38A6A64D-D3AB-4B86-BE69-492A1CFDFDAB}"/>
    <hyperlink ref="E1292" r:id="rId1252" display="https://treas-secure.state.mi.us/LAFDocSearch/tl41R01.aspx?&amp;lu_id=2428&amp;doc_yr=2016&amp;doc_code=AUD" xr:uid="{CC2C24DF-473E-467C-9289-69CAE6B79EC1}"/>
    <hyperlink ref="E1293" r:id="rId1253" display="https://treas-secure.state.mi.us/LAFDocSearch/tl41R01.aspx?&amp;lu_id=2429&amp;doc_yr=2016&amp;doc_code=AUD" xr:uid="{685DE8A4-92D3-4EA5-901E-309754057620}"/>
    <hyperlink ref="E1294" r:id="rId1254" display="https://treas-secure.state.mi.us/LAFDocSearch/tl41R01.aspx?&amp;lu_id=2430&amp;doc_yr=2016&amp;doc_code=AUD" xr:uid="{383214D3-B789-40FC-87C8-3DBEC3CBF0AF}"/>
    <hyperlink ref="E1295" r:id="rId1255" display="https://treas-secure.state.mi.us/LAFDocSearch/tl41R01.aspx?&amp;lu_id=2431&amp;doc_yr=2016&amp;doc_code=AUD" xr:uid="{C520260B-0C1B-4E78-A4BD-E006F38F6420}"/>
    <hyperlink ref="E1296" r:id="rId1256" display="https://treas-secure.state.mi.us/LAFDocSearch/tl41R01.aspx?&amp;lu_id=2432&amp;doc_yr=2016&amp;doc_code=AUD" xr:uid="{7B2774CD-DA8C-4FF2-BDF1-07BBA2E076D3}"/>
    <hyperlink ref="E1297" r:id="rId1257" display="https://treas-secure.state.mi.us/LAFDocSearch/tl41R01.aspx?&amp;lu_id=2446&amp;doc_yr=2016&amp;doc_code=AUD" xr:uid="{D200BFE6-B99B-4FD8-9E67-B988FBA44AB0}"/>
    <hyperlink ref="E1298" r:id="rId1258" display="https://treas-secure.state.mi.us/LAFDocSearch/tl41R01.aspx?&amp;lu_id=2433&amp;doc_yr=2016&amp;doc_code=AUD" xr:uid="{8D3EC191-841A-4917-AE72-3BB968723897}"/>
    <hyperlink ref="E1299" r:id="rId1259" display="https://treas-secure.state.mi.us/LAFDocSearch/tl41R01.aspx?&amp;lu_id=2434&amp;doc_yr=2016&amp;doc_code=AUD" xr:uid="{FFDADD2F-292F-4AAA-B73D-736FF023FD1B}"/>
    <hyperlink ref="E1300" r:id="rId1260" display="https://treas-secure.state.mi.us/LAFDocSearch/tl41R01.aspx?&amp;lu_id=2426&amp;doc_yr=2016&amp;doc_code=AUD" xr:uid="{4453C51A-F8D5-433B-8EB6-2F788CF25F40}"/>
    <hyperlink ref="E1301" r:id="rId1261" display="https://treas-secure.state.mi.us/LAFDocSearch/tl41R01.aspx?&amp;lu_id=2435&amp;doc_yr=2016&amp;doc_code=AUD" xr:uid="{58CBEB5D-0A3A-4098-B656-FBF9B8000471}"/>
    <hyperlink ref="E1302" r:id="rId1262" display="https://treas-secure.state.mi.us/LAFDocSearch/tl41R01.aspx?&amp;lu_id=2440&amp;doc_yr=2016&amp;doc_code=AUD" xr:uid="{9D60D01B-D8F9-4581-9B6E-6AF27708E05B}"/>
    <hyperlink ref="E1303" r:id="rId1263" display="https://treas-secure.state.mi.us/LAFDocSearch/tl41R01.aspx?&amp;lu_id=2427&amp;doc_yr=2016&amp;doc_code=AUD" xr:uid="{FDC773F3-88D3-42A0-9421-0BFC88799BC6}"/>
    <hyperlink ref="E1304" r:id="rId1264" display="https://treas-secure.state.mi.us/LAFDocSearch/tl41R01.aspx?&amp;lu_id=2445&amp;doc_yr=2016&amp;doc_code=AUD" xr:uid="{94AC7579-3EAC-4625-92D4-0D1A594A079E}"/>
    <hyperlink ref="E1305" r:id="rId1265" display="https://treas-secure.state.mi.us/LAFDocSearch/tl41R01.aspx?&amp;lu_id=2447&amp;doc_yr=2016&amp;doc_code=AUD" xr:uid="{D333688F-3C0C-4A15-B785-92A9DA037D8B}"/>
    <hyperlink ref="E1306" r:id="rId1266" display="https://treas-secure.state.mi.us/LAFDocSearch/tl41R01.aspx?&amp;lu_id=7571&amp;doc_yr=2016&amp;doc_code=AUD" xr:uid="{77DED850-9A4D-40AE-8839-D69AE5F471A7}"/>
    <hyperlink ref="E1307" r:id="rId1267" display="https://treas-secure.state.mi.us/LAFDocSearch/tl41R01.aspx?&amp;lu_id=2436&amp;doc_yr=2016&amp;doc_code=AUD" xr:uid="{F7D61BEA-E7FC-41A7-A289-C52E19613D6B}"/>
    <hyperlink ref="E1308" r:id="rId1268" display="https://treas-secure.state.mi.us/LAFDocSearch/tl41R01.aspx?&amp;lu_id=2437&amp;doc_yr=2016&amp;doc_code=AUD" xr:uid="{A9258477-EE69-4C0F-9819-D6D8F5984B21}"/>
    <hyperlink ref="E1309" r:id="rId1269" display="https://treas-secure.state.mi.us/LAFDocSearch/tl41R01.aspx?&amp;lu_id=2439&amp;doc_yr=2016&amp;doc_code=AUD" xr:uid="{32AFAB61-4CAC-4563-B64F-EC0613A6F532}"/>
    <hyperlink ref="E1311" r:id="rId1270" display="https://treas-secure.state.mi.us/LAFDocSearch/tl41R01.aspx?&amp;lu_id=2452&amp;doc_yr=2016&amp;doc_code=AUD" xr:uid="{D7DDA30D-145E-445D-BAF7-39BD670C1E48}"/>
    <hyperlink ref="E1312" r:id="rId1271" display="https://treas-secure.state.mi.us/LAFDocSearch/tl41R01.aspx?&amp;lu_id=2453&amp;doc_yr=2016&amp;doc_code=AUD" xr:uid="{48EEE08B-31C2-4B1A-84C2-3068D6D072BF}"/>
    <hyperlink ref="E1313" r:id="rId1272" display="https://treas-secure.state.mi.us/LAFDocSearch/tl41R01.aspx?&amp;lu_id=2454&amp;doc_yr=2016&amp;doc_code=AUD" xr:uid="{272F4E8A-9D99-43F9-8394-15C608CF48CD}"/>
    <hyperlink ref="E1314" r:id="rId1273" display="https://treas-secure.state.mi.us/LAFDocSearch/tl41R01.aspx?&amp;lu_id=2576&amp;doc_yr=2016&amp;doc_code=AUD" xr:uid="{602C83EA-FB80-4F9E-80BA-7ECCE8E79227}"/>
    <hyperlink ref="E1315" r:id="rId1274" display="https://treas-secure.state.mi.us/LAFDocSearch/tl41R01.aspx?&amp;lu_id=2455&amp;doc_yr=2016&amp;doc_code=AUD" xr:uid="{3B0D87EC-328E-4B88-A03C-2BCDA8940F6B}"/>
    <hyperlink ref="E1316" r:id="rId1275" display="https://treas-secure.state.mi.us/LAFDocSearch/tl41R01.aspx?&amp;lu_id=2456&amp;doc_yr=2016&amp;doc_code=AUD" xr:uid="{82AB8210-E13B-4A12-BD35-E0344BDEAE10}"/>
    <hyperlink ref="E1317" r:id="rId1276" display="https://treas-secure.state.mi.us/LAFDocSearch/tl41R01.aspx?&amp;lu_id=2565&amp;doc_yr=2016&amp;doc_code=AUD" xr:uid="{FF66E146-386F-46D3-B99E-B0286669F4B7}"/>
    <hyperlink ref="E1318" r:id="rId1277" display="https://treas-secure.state.mi.us/LAFDocSearch/tl41R01.aspx?&amp;lu_id=2482&amp;doc_yr=2016&amp;doc_code=AUD" xr:uid="{8EEC116F-E8B4-4FC3-8186-6BDCFE7373B3}"/>
    <hyperlink ref="E1319" r:id="rId1278" display="https://treas-secure.state.mi.us/LAFDocSearch/tl41R01.aspx?&amp;lu_id=2457&amp;doc_yr=2016&amp;doc_code=AUD" xr:uid="{7DE398A9-A2D4-4C05-9BEB-E0B69CA3A5AD}"/>
    <hyperlink ref="E1320" r:id="rId1279" display="https://treas-secure.state.mi.us/LAFDocSearch/tl41R01.aspx?&amp;lu_id=2458&amp;doc_yr=2016&amp;doc_code=AUD" xr:uid="{B26A8CFC-7D03-432E-99DB-09DB9BA8E2D7}"/>
    <hyperlink ref="E1321" r:id="rId1280" display="https://treas-secure.state.mi.us/LAFDocSearch/tl41R01.aspx?&amp;lu_id=2459&amp;doc_yr=2016&amp;doc_code=AUD" xr:uid="{1A1688E3-E2FE-425E-BACE-6F461CFB415E}"/>
    <hyperlink ref="E1322" r:id="rId1281" display="https://treas-secure.state.mi.us/LAFDocSearch/tl41R01.aspx?&amp;lu_id=2473&amp;doc_yr=2016&amp;doc_code=AUD" xr:uid="{DF31F891-2E1D-406F-8295-A255D8879082}"/>
    <hyperlink ref="E1323" r:id="rId1282" display="https://treas-secure.state.mi.us/LAFDocSearch/tl41R01.aspx?&amp;lu_id=2564&amp;doc_yr=2016&amp;doc_code=AUD" xr:uid="{2D5090DD-7D65-46B8-8D44-CC90059ED651}"/>
    <hyperlink ref="E1324" r:id="rId1283" display="https://treas-secure.state.mi.us/LAFDocSearch/tl41R01.aspx?&amp;lu_id=6097&amp;doc_yr=2016&amp;doc_code=AUD" xr:uid="{5C84CA10-524C-41BE-81EE-FE1B42741DF0}"/>
    <hyperlink ref="E1325" r:id="rId1284" display="https://treas-secure.state.mi.us/LAFDocSearch/tl41R01.aspx?&amp;lu_id=6096&amp;doc_yr=2016&amp;doc_code=AUD" xr:uid="{69E5D771-CC66-43AB-B816-3F5D4636602C}"/>
    <hyperlink ref="E1326" r:id="rId1285" display="https://treas-secure.state.mi.us/LAFDocSearch/tl41R01.aspx?&amp;lu_id=2549&amp;doc_yr=2016&amp;doc_code=AUD" xr:uid="{BD6B77F8-1F22-4499-BABA-0D6175DB9C48}"/>
    <hyperlink ref="E1327" r:id="rId1286" display="https://treas-secure.state.mi.us/LAFDocSearch/tl41R01.aspx?&amp;lu_id=2460&amp;doc_yr=2016&amp;doc_code=AUD" xr:uid="{751B536B-9A2A-48C1-BAB0-6DC29DFD1437}"/>
    <hyperlink ref="E1328" r:id="rId1287" display="https://treas-secure.state.mi.us/LAFDocSearch/tl41R01.aspx?&amp;lu_id=2474&amp;doc_yr=2016&amp;doc_code=AUD" xr:uid="{40142621-F54E-42C7-BEB1-097612D3C403}"/>
    <hyperlink ref="E1329" r:id="rId1288" display="https://treas-secure.state.mi.us/LAFDocSearch/tl41R01.aspx?&amp;lu_id=2461&amp;doc_yr=2016&amp;doc_code=AUD" xr:uid="{E4EFFEAA-8814-4FD8-8F00-0611D8145011}"/>
    <hyperlink ref="E1330" r:id="rId1289" display="https://treas-secure.state.mi.us/LAFDocSearch/tl41R01.aspx?&amp;lu_id=7912&amp;doc_yr=2016&amp;doc_code=AUD" xr:uid="{8B750543-E3CC-40AD-A2AA-FE2CE20267BC}"/>
    <hyperlink ref="E1331" r:id="rId1290" display="https://treas-secure.state.mi.us/LAFDocSearch/tl41R01.aspx?&amp;lu_id=2475&amp;doc_yr=2016&amp;doc_code=AUD" xr:uid="{19E37439-AE7B-4629-9690-18EC650B55BC}"/>
    <hyperlink ref="E1332" r:id="rId1291" display="https://treas-secure.state.mi.us/LAFDocSearch/tl41R01.aspx?&amp;lu_id=2462&amp;doc_yr=2016&amp;doc_code=AUD" xr:uid="{16EF4FDB-E825-4418-A740-8AD3ECB01CBB}"/>
    <hyperlink ref="E1333" r:id="rId1292" display="https://treas-secure.state.mi.us/LAFDocSearch/tl41R01.aspx?&amp;lu_id=2569&amp;doc_yr=2016&amp;doc_code=AUD" xr:uid="{9D9B02F9-0D4B-4DA7-88F5-64EE47CBD567}"/>
    <hyperlink ref="E1334" r:id="rId1293" display="https://treas-secure.state.mi.us/LAFDocSearch/tl41R01.aspx?&amp;lu_id=2548&amp;doc_yr=2016&amp;doc_code=AUD" xr:uid="{5D0AC425-D127-45C3-8E1B-C34666FD9186}"/>
    <hyperlink ref="E1335" r:id="rId1294" display="https://treas-secure.state.mi.us/LAFDocSearch/tl41R01.aspx?&amp;lu_id=2577&amp;doc_yr=2016&amp;doc_code=AUD" xr:uid="{F0CD1C0D-6ACF-4389-8F21-CCC23ED1D3B1}"/>
    <hyperlink ref="E1336" r:id="rId1295" display="https://treas-secure.state.mi.us/LAFDocSearch/tl41R01.aspx?&amp;lu_id=2527&amp;doc_yr=2016&amp;doc_code=AUD" xr:uid="{942C6DD4-7F27-4FB8-B9C8-9C694BB79603}"/>
    <hyperlink ref="E1337" r:id="rId1296" display="https://treas-secure.state.mi.us/LAFDocSearch/tl41R01.aspx?&amp;lu_id=2557&amp;doc_yr=2016&amp;doc_code=AUD" xr:uid="{B0AB4477-BBFC-4845-895B-AC32C05010D0}"/>
    <hyperlink ref="E1338" r:id="rId1297" display="https://treas-secure.state.mi.us/LAFDocSearch/tl41R01.aspx?&amp;lu_id=2566&amp;doc_yr=2016&amp;doc_code=AUD" xr:uid="{77C35221-0942-4A33-916A-006B7A4C882D}"/>
    <hyperlink ref="E1339" r:id="rId1298" display="https://treas-secure.state.mi.us/LAFDocSearch/tl41R01.aspx?&amp;lu_id=2568&amp;doc_yr=2016&amp;doc_code=AUD" xr:uid="{908F2A84-9308-4BFA-9041-26C8F8727657}"/>
    <hyperlink ref="E1340" r:id="rId1299" display="https://treas-secure.state.mi.us/LAFDocSearch/tl41R01.aspx?&amp;lu_id=2585&amp;doc_yr=2016&amp;doc_code=AUD" xr:uid="{00F07630-9625-4AB4-8847-DEF24561BBA1}"/>
    <hyperlink ref="E1341" r:id="rId1300" display="https://treas-secure.state.mi.us/LAFDocSearch/tl41R01.aspx?&amp;lu_id=2575&amp;doc_yr=2016&amp;doc_code=AUD" xr:uid="{21DEE1C4-CC0B-4767-BAA0-2ECDCBC1DF19}"/>
    <hyperlink ref="E1342" r:id="rId1301" display="https://treas-secure.state.mi.us/LAFDocSearch/tl41R01.aspx?&amp;lu_id=2581&amp;doc_yr=2016&amp;doc_code=AUD" xr:uid="{51A179D7-1247-4F0D-9787-197F18521D59}"/>
    <hyperlink ref="E1343" r:id="rId1302" display="https://treas-secure.state.mi.us/LAFDocSearch/tl41R01.aspx?&amp;lu_id=2476&amp;doc_yr=2016&amp;doc_code=AUD" xr:uid="{23D62469-469C-4CEB-90FC-7FC6B5035484}"/>
    <hyperlink ref="E1344" r:id="rId1303" display="https://treas-secure.state.mi.us/LAFDocSearch/tl41R01.aspx?&amp;lu_id=2463&amp;doc_yr=2016&amp;doc_code=AUD" xr:uid="{ACAE50D4-FA0E-4DAE-B256-7A8BA8411B6B}"/>
    <hyperlink ref="E1345" r:id="rId1304" display="https://treas-secure.state.mi.us/LAFDocSearch/tl41R01.aspx?&amp;lu_id=2574&amp;doc_yr=2016&amp;doc_code=AUD" xr:uid="{9F4031AD-34B8-49BB-854A-EE674BEE89D5}"/>
    <hyperlink ref="E1346" r:id="rId1305" display="https://treas-secure.state.mi.us/LAFDocSearch/tl41R01.aspx?&amp;lu_id=2450&amp;doc_yr=2016&amp;doc_code=AUD" xr:uid="{BEA83533-95C5-4BE8-873D-8F1B3991B0C2}"/>
    <hyperlink ref="E1347" r:id="rId1306" display="https://treas-secure.state.mi.us/LAFDocSearch/tl41R01.aspx?&amp;lu_id=2483&amp;doc_yr=2016&amp;doc_code=AUD" xr:uid="{748A8F76-1B12-495F-9210-6FCD6F9D119D}"/>
    <hyperlink ref="E1348" r:id="rId1307" display="https://treas-secure.state.mi.us/LAFDocSearch/tl41R01.aspx?&amp;lu_id=6094&amp;doc_yr=2016&amp;doc_code=AUD" xr:uid="{5BEF22CD-CD5F-406C-87BD-BDECF2B3DD13}"/>
    <hyperlink ref="E1349" r:id="rId1308" display="https://treas-secure.state.mi.us/LAFDocSearch/tl41R01.aspx?&amp;lu_id=2573&amp;doc_yr=2016&amp;doc_code=AUD" xr:uid="{5AA95D3B-DF72-444A-ACA7-EAEBAD2C4BB7}"/>
    <hyperlink ref="E1350" r:id="rId1309" display="https://treas-secure.state.mi.us/LAFDocSearch/tl41R01.aspx?&amp;lu_id=2589&amp;doc_yr=2016&amp;doc_code=AUD" xr:uid="{2D8D72A8-6229-4DBD-AC80-0B1D2DED521C}"/>
    <hyperlink ref="E1351" r:id="rId1310" display="https://treas-secure.state.mi.us/LAFDocSearch/tl41R01.aspx?&amp;lu_id=2586&amp;doc_yr=2016&amp;doc_code=AUD" xr:uid="{95B7457F-0F65-4453-8B27-41FF048907CA}"/>
    <hyperlink ref="E1352" r:id="rId1311" display="https://treas-secure.state.mi.us/LAFDocSearch/tl41R01.aspx?&amp;lu_id=6143&amp;doc_yr=2016&amp;doc_code=AUD" xr:uid="{35EADEEE-F0C6-4649-A767-0547A8EE8A59}"/>
    <hyperlink ref="E1353" r:id="rId1312" display="https://treas-secure.state.mi.us/LAFDocSearch/tl41R01.aspx?&amp;lu_id=2451&amp;doc_yr=2016&amp;doc_code=AUD" xr:uid="{A14ECF95-768B-47DE-B80A-A324F18912AE}"/>
    <hyperlink ref="E1354" r:id="rId1313" display="https://treas-secure.state.mi.us/LAFDocSearch/tl41R01.aspx?&amp;lu_id=2591&amp;doc_yr=2016&amp;doc_code=AUD" xr:uid="{80404610-A105-4E67-968A-9A8F102D9C70}"/>
    <hyperlink ref="E1355" r:id="rId1314" display="https://treas-secure.state.mi.us/LAFDocSearch/tl41R01.aspx?&amp;lu_id=2596&amp;doc_yr=2016&amp;doc_code=AUD" xr:uid="{9D4A8A61-8152-4C59-997C-2DAF39F1EBD6}"/>
    <hyperlink ref="E1356" r:id="rId1315" display="https://treas-secure.state.mi.us/LAFDocSearch/tl41R01.aspx?&amp;lu_id=2477&amp;doc_yr=2016&amp;doc_code=AUD" xr:uid="{0AE840AD-1151-4B77-A1A8-8DD982090C09}"/>
    <hyperlink ref="E1357" r:id="rId1316" display="https://treas-secure.state.mi.us/LAFDocSearch/tl41R01.aspx?&amp;lu_id=2592&amp;doc_yr=2016&amp;doc_code=AUD" xr:uid="{42792309-20E4-4F77-A225-22719F3D2B86}"/>
    <hyperlink ref="E1358" r:id="rId1317" display="https://treas-secure.state.mi.us/LAFDocSearch/tl41R01.aspx?&amp;lu_id=2478&amp;doc_yr=2016&amp;doc_code=AUD" xr:uid="{026CFB09-CCEC-428E-92A3-C84CF48DFC24}"/>
    <hyperlink ref="E1359" r:id="rId1318" display="https://treas-secure.state.mi.us/LAFDocSearch/tl41R01.aspx?&amp;lu_id=5982&amp;doc_yr=2016&amp;doc_code=AUD" xr:uid="{00C59098-CDEF-47F4-90EE-ABD76D1C536D}"/>
    <hyperlink ref="E1360" r:id="rId1319" display="https://treas-secure.state.mi.us/LAFDocSearch/tl41R01.aspx?&amp;lu_id=6036&amp;doc_yr=2016&amp;doc_code=AUD" xr:uid="{9304C2FF-3B7C-4870-9478-C74F0E0DFE2C}"/>
    <hyperlink ref="E1361" r:id="rId1320" display="https://treas-secure.state.mi.us/LAFDocSearch/tl41R01.aspx?&amp;lu_id=2464&amp;doc_yr=2016&amp;doc_code=AUD" xr:uid="{D2297873-13FD-4CEB-9213-CC2F96BBDF63}"/>
    <hyperlink ref="E1362" r:id="rId1321" display="https://treas-secure.state.mi.us/LAFDocSearch/tl41R01.aspx?&amp;lu_id=2580&amp;doc_yr=2016&amp;doc_code=AUD" xr:uid="{34ECC3FB-28E9-4583-B377-F7B3BA0202F0}"/>
    <hyperlink ref="E1363" r:id="rId1322" display="https://treas-secure.state.mi.us/LAFDocSearch/tl41R01.aspx?&amp;lu_id=2571&amp;doc_yr=2016&amp;doc_code=AUD" xr:uid="{98420063-2C36-489B-A4E3-A86ABDB0DB05}"/>
    <hyperlink ref="E1364" r:id="rId1323" display="https://treas-secure.state.mi.us/LAFDocSearch/tl41R01.aspx?&amp;lu_id=2465&amp;doc_yr=2016&amp;doc_code=AUD" xr:uid="{AD934F31-04F0-44EC-8AAC-6C68F9F4A2C3}"/>
    <hyperlink ref="E1365" r:id="rId1324" display="https://treas-secure.state.mi.us/LAFDocSearch/tl41R01.aspx?&amp;lu_id=2561&amp;doc_yr=2016&amp;doc_code=AUD" xr:uid="{3A2CCAE0-9DBE-4CC2-BA8A-259A81AC28B8}"/>
    <hyperlink ref="E1366" r:id="rId1325" display="https://treas-secure.state.mi.us/LAFDocSearch/tl41R01.aspx?&amp;lu_id=2466&amp;doc_yr=2016&amp;doc_code=AUD" xr:uid="{8848854D-F559-4B63-B76C-54814142777A}"/>
    <hyperlink ref="E1367" r:id="rId1326" display="https://treas-secure.state.mi.us/LAFDocSearch/tl41R01.aspx?&amp;lu_id=2467&amp;doc_yr=2016&amp;doc_code=AUD" xr:uid="{363407F9-2EE2-4DE4-9D3F-A5947F7B2EDC}"/>
    <hyperlink ref="E1368" r:id="rId1327" display="https://treas-secure.state.mi.us/LAFDocSearch/tl41R01.aspx?&amp;lu_id=2479&amp;doc_yr=2016&amp;doc_code=AUD" xr:uid="{EF93A6D8-D56F-4075-841A-FA01E0B7E49A}"/>
    <hyperlink ref="E1369" r:id="rId1328" display="https://treas-secure.state.mi.us/LAFDocSearch/tl41R01.aspx?&amp;lu_id=2583&amp;doc_yr=2016&amp;doc_code=AUD" xr:uid="{8D509D16-C6CA-4FE6-AAF5-86D2E3BE40F5}"/>
    <hyperlink ref="E1370" r:id="rId1329" display="https://treas-secure.state.mi.us/LAFDocSearch/tl41R01.aspx?&amp;lu_id=2484&amp;doc_yr=2016&amp;doc_code=AUD" xr:uid="{6A067F07-9BC9-41F5-A524-DE5FF9BD3762}"/>
    <hyperlink ref="E1371" r:id="rId1330" display="https://treas-secure.state.mi.us/LAFDocSearch/tl41R01.aspx?&amp;lu_id=2468&amp;doc_yr=2016&amp;doc_code=AUD" xr:uid="{E65A207A-D800-4089-BCCF-A9C7D4D86622}"/>
    <hyperlink ref="E1372" r:id="rId1331" display="https://treas-secure.state.mi.us/LAFDocSearch/tl41R01.aspx?&amp;lu_id=2469&amp;doc_yr=2016&amp;doc_code=AUD" xr:uid="{57D61C05-C48A-43A9-B9A3-A2308142196C}"/>
    <hyperlink ref="E1373" r:id="rId1332" display="https://treas-secure.state.mi.us/LAFDocSearch/tl41R01.aspx?&amp;lu_id=2485&amp;doc_yr=2016&amp;doc_code=AUD" xr:uid="{2BC4D62A-0F0D-44D8-9A2B-C697FE8B99AB}"/>
    <hyperlink ref="E1374" r:id="rId1333" display="https://treas-secure.state.mi.us/LAFDocSearch/tl41R01.aspx?&amp;lu_id=2570&amp;doc_yr=2016&amp;doc_code=AUD" xr:uid="{7D971494-3A41-4B7C-873D-73C22BED13A0}"/>
    <hyperlink ref="E1375" r:id="rId1334" display="https://treas-secure.state.mi.us/LAFDocSearch/tl41R01.aspx?&amp;lu_id=2470&amp;doc_yr=2016&amp;doc_code=AUD" xr:uid="{9E7FFD46-CFC6-4275-87E3-35B615E1F47D}"/>
    <hyperlink ref="E1376" r:id="rId1335" display="https://treas-secure.state.mi.us/LAFDocSearch/tl41R01.aspx?&amp;lu_id=2471&amp;doc_yr=2016&amp;doc_code=AUD" xr:uid="{F9CE7551-4190-4DC5-9081-E86EAEC9E04A}"/>
    <hyperlink ref="E1377" r:id="rId1336" display="https://treas-secure.state.mi.us/LAFDocSearch/tl41R01.aspx?&amp;lu_id=2472&amp;doc_yr=2016&amp;doc_code=AUD" xr:uid="{C11F2E28-9F3C-4A4F-9F4D-7180DDECE771}"/>
    <hyperlink ref="E1378" r:id="rId1337" display="https://treas-secure.state.mi.us/LAFDocSearch/tl41R01.aspx?&amp;lu_id=2480&amp;doc_yr=2016&amp;doc_code=AUD" xr:uid="{55D5081F-6452-4E79-A16E-FA9005D21597}"/>
    <hyperlink ref="E1379" r:id="rId1338" display="https://treas-secure.state.mi.us/LAFDocSearch/tl41R01.aspx?&amp;lu_id=2572&amp;doc_yr=2016&amp;doc_code=AUD" xr:uid="{0D6E7032-9AD1-488A-AEC7-79302D294A5E}"/>
    <hyperlink ref="E1380" r:id="rId1339" display="https://treas-secure.state.mi.us/LAFDocSearch/tl41R01.aspx?&amp;lu_id=2481&amp;doc_yr=2016&amp;doc_code=AUD" xr:uid="{4BB8C8B2-7493-473D-B999-5C4630A815F9}"/>
    <hyperlink ref="E1382" r:id="rId1340" display="https://treas-secure.state.mi.us/LAFDocSearch/tl41R01.aspx?&amp;lu_id=2604&amp;doc_yr=2016&amp;doc_code=AUD" xr:uid="{720DAE02-A52B-46B3-9569-72E3A02317AC}"/>
    <hyperlink ref="E1383" r:id="rId1341" display="https://treas-secure.state.mi.us/LAFDocSearch/tl41R01.aspx?&amp;lu_id=2600&amp;doc_yr=2016&amp;doc_code=AUD" xr:uid="{B9150827-EA56-4F77-AB85-DA593F962E80}"/>
    <hyperlink ref="E1384" r:id="rId1342" display="https://treas-secure.state.mi.us/LAFDocSearch/tl41R01.aspx?&amp;lu_id=2601&amp;doc_yr=2016&amp;doc_code=AUD" xr:uid="{A93CE6BA-20EE-4E5A-9F49-0D39314259B7}"/>
    <hyperlink ref="E1385" r:id="rId1343" display="https://treas-secure.state.mi.us/LAFDocSearch/tl41R01.aspx?&amp;lu_id=2602&amp;doc_yr=2016&amp;doc_code=AUD" xr:uid="{E0D61A8A-6313-46DC-B893-988F4B1F0997}"/>
    <hyperlink ref="E1386" r:id="rId1344" display="https://treas-secure.state.mi.us/LAFDocSearch/tl41R01.aspx?&amp;lu_id=2597&amp;doc_yr=2016&amp;doc_code=AUD" xr:uid="{69476B91-A182-4CB1-9A09-86D615F1C3D5}"/>
    <hyperlink ref="E1387" r:id="rId1345" display="https://treas-secure.state.mi.us/LAFDocSearch/tl41R01.aspx?&amp;lu_id=2598&amp;doc_yr=2016&amp;doc_code=AUD" xr:uid="{BA614598-BA47-446D-A43D-30E07FC05902}"/>
    <hyperlink ref="E1389" r:id="rId1346" display="https://treas-secure.state.mi.us/LAFDocSearch/tl41R01.aspx?&amp;lu_id=2624&amp;doc_yr=2016&amp;doc_code=AUD" xr:uid="{92F0C474-9295-445F-BE59-69DF4B8B4B95}"/>
    <hyperlink ref="E1390" r:id="rId1347" display="https://treas-secure.state.mi.us/LAFDocSearch/tl41R01.aspx?&amp;lu_id=2632&amp;doc_yr=2016&amp;doc_code=AUD" xr:uid="{84314E4E-2AA2-44E3-9FD3-F2956E497E8B}"/>
    <hyperlink ref="E1391" r:id="rId1348" display="https://treas-secure.state.mi.us/LAFDocSearch/tl41R01.aspx?&amp;lu_id=6116&amp;doc_yr=2016&amp;doc_code=AUD" xr:uid="{27B1F2EC-C26C-44E7-98CD-C20EB7A5FE92}"/>
    <hyperlink ref="E1392" r:id="rId1349" display="https://treas-secure.state.mi.us/LAFDocSearch/tl41R01.aspx?&amp;lu_id=2609&amp;doc_yr=2016&amp;doc_code=AUD" xr:uid="{D966EBF2-853C-455C-A345-D5352AF73175}"/>
    <hyperlink ref="E1393" r:id="rId1350" display="https://treas-secure.state.mi.us/LAFDocSearch/tl41R01.aspx?&amp;lu_id=2611&amp;doc_yr=2016&amp;doc_code=AUD" xr:uid="{257FAA3C-473D-4069-8D46-AF8C98668378}"/>
    <hyperlink ref="E1394" r:id="rId1351" display="https://treas-secure.state.mi.us/LAFDocSearch/tl41R01.aspx?&amp;lu_id=2612&amp;doc_yr=2016&amp;doc_code=AUD" xr:uid="{4E9ADDE4-D0BC-4EEC-90E3-5F5300A59AC4}"/>
    <hyperlink ref="E1395" r:id="rId1352" display="https://treas-secure.state.mi.us/LAFDocSearch/tl41R01.aspx?&amp;lu_id=2613&amp;doc_yr=2016&amp;doc_code=AUD" xr:uid="{334C37C7-A436-404B-BB8B-9ACADC4306D6}"/>
    <hyperlink ref="E1396" r:id="rId1353" display="https://treas-secure.state.mi.us/LAFDocSearch/tl41R01.aspx?&amp;lu_id=2614&amp;doc_yr=2016&amp;doc_code=AUD" xr:uid="{FB9487C1-DCB2-4C32-9B4C-A5235C17BF2E}"/>
    <hyperlink ref="E1397" r:id="rId1354" display="https://treas-secure.state.mi.us/LAFDocSearch/tl41R01.aspx?&amp;lu_id=2607&amp;doc_yr=2016&amp;doc_code=AUD" xr:uid="{9839330C-842B-4F70-B8B0-15D0AC35F12C}"/>
    <hyperlink ref="E1398" r:id="rId1355" display="https://treas-secure.state.mi.us/LAFDocSearch/tl41R01.aspx?&amp;lu_id=2615&amp;doc_yr=2016&amp;doc_code=AUD" xr:uid="{D84F7908-8B03-4120-8AF3-EF70BEC63CFA}"/>
    <hyperlink ref="E1399" r:id="rId1356" display="https://treas-secure.state.mi.us/LAFDocSearch/tl41R01.aspx?&amp;lu_id=2608&amp;doc_yr=2016&amp;doc_code=AUD" xr:uid="{D4001151-D66C-4640-B2F0-9DC337978AF0}"/>
    <hyperlink ref="E1400" r:id="rId1357" display="https://treas-secure.state.mi.us/LAFDocSearch/tl41R01.aspx?&amp;lu_id=2633&amp;doc_yr=2016&amp;doc_code=AUD" xr:uid="{B548A2B5-840A-4D74-8F57-105C1325880D}"/>
    <hyperlink ref="E1401" r:id="rId1358" display="https://treas-secure.state.mi.us/LAFDocSearch/tl41R01.aspx?&amp;lu_id=2617&amp;doc_yr=2016&amp;doc_code=AUD" xr:uid="{F51DC39B-FC9D-49A9-A231-A8234559875A}"/>
    <hyperlink ref="E1402" r:id="rId1359" display="https://treas-secure.state.mi.us/LAFDocSearch/tl41R01.aspx?&amp;lu_id=2618&amp;doc_yr=2016&amp;doc_code=AUD" xr:uid="{AE660026-ABB7-4374-BE6E-D492EE969E3D}"/>
    <hyperlink ref="E1403" r:id="rId1360" display="https://treas-secure.state.mi.us/LAFDocSearch/tl41R01.aspx?&amp;lu_id=2619&amp;doc_yr=2016&amp;doc_code=AUD" xr:uid="{036DFC62-448B-4736-96D8-5BE482D246AA}"/>
    <hyperlink ref="E1404" r:id="rId1361" display="https://treas-secure.state.mi.us/LAFDocSearch/tl41R01.aspx?&amp;lu_id=2621&amp;doc_yr=2016&amp;doc_code=AUD" xr:uid="{CC34312D-4C7A-47B6-A379-482221F1C733}"/>
    <hyperlink ref="E1405" r:id="rId1362" display="https://treas-secure.state.mi.us/LAFDocSearch/tl41R01.aspx?&amp;lu_id=2622&amp;doc_yr=2016&amp;doc_code=AUD" xr:uid="{7A179696-5709-4C73-8422-CBD441452C11}"/>
    <hyperlink ref="E1406" r:id="rId1363" display="https://treas-secure.state.mi.us/LAFDocSearch/tl41R01.aspx?&amp;lu_id=2623&amp;doc_yr=2016&amp;doc_code=AUD" xr:uid="{C358DC48-03F9-4FA1-AAAE-2223E9FEEE83}"/>
    <hyperlink ref="E1407" r:id="rId1364" display="https://treas-secure.state.mi.us/LAFDocSearch/tl41R01.aspx?&amp;lu_id=2629&amp;doc_yr=2016&amp;doc_code=AUD" xr:uid="{CE646DAB-1A87-4BF4-BD9E-3B4E00544957}"/>
    <hyperlink ref="E1409" r:id="rId1365" display="https://treas-secure.state.mi.us/LAFDocSearch/tl41R01.aspx?&amp;lu_id=2639&amp;doc_yr=2016&amp;doc_code=AUD" xr:uid="{4CD0948A-E87A-4EB6-A5C6-B434FDC891DF}"/>
    <hyperlink ref="E1410" r:id="rId1366" display="https://treas-secure.state.mi.us/LAFDocSearch/tl41R01.aspx?&amp;lu_id=2659&amp;doc_yr=2016&amp;doc_code=AUD" xr:uid="{D1758449-8A6E-4902-9EA2-C196869C77A0}"/>
    <hyperlink ref="E1411" r:id="rId1367" display="https://treas-secure.state.mi.us/LAFDocSearch/tl41R01.aspx?&amp;lu_id=2698&amp;doc_yr=2016&amp;doc_code=AUD" xr:uid="{5DECC366-D45D-49E5-8FEE-DB9D3667E00F}"/>
    <hyperlink ref="E1412" r:id="rId1368" display="https://treas-secure.state.mi.us/LAFDocSearch/tl41R01.aspx?&amp;lu_id=2640&amp;doc_yr=2016&amp;doc_code=AUD" xr:uid="{7F88517F-D2E1-41C7-9F3B-4AA2C9B707C3}"/>
    <hyperlink ref="E1413" r:id="rId1369" display="https://treas-secure.state.mi.us/LAFDocSearch/tl41R01.aspx?&amp;lu_id=2641&amp;doc_yr=2016&amp;doc_code=AUD" xr:uid="{F5A4E607-95C9-48CB-B5ED-CFCC2F6E224E}"/>
    <hyperlink ref="E1414" r:id="rId1370" display="https://treas-secure.state.mi.us/LAFDocSearch/tl41R01.aspx?&amp;lu_id=2661&amp;doc_yr=2016&amp;doc_code=AUD" xr:uid="{E3FC518D-CC8A-4A2C-A48C-CC95F4E4F609}"/>
    <hyperlink ref="E1415" r:id="rId1371" display="https://treas-secure.state.mi.us/LAFDocSearch/tl41R01.aspx?&amp;lu_id=2693&amp;doc_yr=2016&amp;doc_code=AUD" xr:uid="{FF07007C-28B3-4E22-B68B-DC67618F7ADE}"/>
    <hyperlink ref="E1416" r:id="rId1372" display="https://treas-secure.state.mi.us/LAFDocSearch/tl41R01.aspx?&amp;lu_id=2644&amp;doc_yr=2016&amp;doc_code=AUD" xr:uid="{AD3F74EE-5A3A-4B5B-A04E-D239F43E4898}"/>
    <hyperlink ref="E1417" r:id="rId1373" display="https://treas-secure.state.mi.us/LAFDocSearch/tl41R01.aspx?&amp;lu_id=2645&amp;doc_yr=2016&amp;doc_code=AUD" xr:uid="{111C87E4-537C-4351-8A69-34463D0B6B15}"/>
    <hyperlink ref="E1418" r:id="rId1374" display="https://treas-secure.state.mi.us/LAFDocSearch/tl41R01.aspx?&amp;lu_id=2646&amp;doc_yr=2016&amp;doc_code=AUD" xr:uid="{D1C97A82-6AD6-42FC-8B1B-FE7A65E93C84}"/>
    <hyperlink ref="E1419" r:id="rId1375" display="https://treas-secure.state.mi.us/LAFDocSearch/tl41R01.aspx?&amp;lu_id=2647&amp;doc_yr=2016&amp;doc_code=AUD" xr:uid="{243159C5-AC4B-4BF4-9CE2-319BD3D48323}"/>
    <hyperlink ref="E1420" r:id="rId1376" display="https://treas-secure.state.mi.us/LAFDocSearch/tl41R01.aspx?&amp;lu_id=2687&amp;doc_yr=2016&amp;doc_code=AUD" xr:uid="{961C9478-3361-42FF-AA2E-FEE4546BC43A}"/>
    <hyperlink ref="E1421" r:id="rId1377" display="https://treas-secure.state.mi.us/LAFDocSearch/tl41R01.aspx?&amp;lu_id=2682&amp;doc_yr=2016&amp;doc_code=AUD" xr:uid="{B0B52A81-3C72-412C-AC3F-DD9890661865}"/>
    <hyperlink ref="E1422" r:id="rId1378" display="https://treas-secure.state.mi.us/LAFDocSearch/tl41R01.aspx?&amp;lu_id=2688&amp;doc_yr=2016&amp;doc_code=AUD" xr:uid="{C3F921CD-32C0-4615-A781-32EB17223DF4}"/>
    <hyperlink ref="E1423" r:id="rId1379" display="https://treas-secure.state.mi.us/LAFDocSearch/tl41R01.aspx?&amp;lu_id=2648&amp;doc_yr=2016&amp;doc_code=AUD" xr:uid="{0AF02DCB-95BE-47F6-BF36-0A1095AA868B}"/>
    <hyperlink ref="E1424" r:id="rId1380" display="https://treas-secure.state.mi.us/LAFDocSearch/tl41R01.aspx?&amp;lu_id=2649&amp;doc_yr=2016&amp;doc_code=AUD" xr:uid="{A6542F43-BC3C-4D78-9B4A-0673187BC4F3}"/>
    <hyperlink ref="E1425" r:id="rId1381" display="https://treas-secure.state.mi.us/LAFDocSearch/tl41R01.aspx?&amp;lu_id=2657&amp;doc_yr=2016&amp;doc_code=AUD" xr:uid="{61C08C84-E90D-4E97-91A7-2DDD8BE9705C}"/>
    <hyperlink ref="E1426" r:id="rId1382" display="https://treas-secure.state.mi.us/LAFDocSearch/tl41R01.aspx?&amp;lu_id=2658&amp;doc_yr=2016&amp;doc_code=AUD" xr:uid="{678FFE30-E103-4EF4-8BDE-80823E2CF52A}"/>
    <hyperlink ref="E1427" r:id="rId1383" display="https://treas-secure.state.mi.us/LAFDocSearch/tl41R01.aspx?&amp;lu_id=2637&amp;doc_yr=2016&amp;doc_code=AUD" xr:uid="{E828EE8B-1512-4513-B995-1412E2C1E849}"/>
    <hyperlink ref="E1428" r:id="rId1384" display="https://treas-secure.state.mi.us/LAFDocSearch/tl41R01.aspx?&amp;lu_id=2650&amp;doc_yr=2016&amp;doc_code=AUD" xr:uid="{5270E7FF-17EB-48F4-BBB2-5AFF0B3CA9EC}"/>
    <hyperlink ref="E1429" r:id="rId1385" display="https://treas-secure.state.mi.us/LAFDocSearch/tl41R01.aspx?&amp;lu_id=2689&amp;doc_yr=2016&amp;doc_code=AUD" xr:uid="{CC39CA19-C7D5-4046-A098-D3ED9799AAA1}"/>
    <hyperlink ref="E1430" r:id="rId1386" display="https://treas-secure.state.mi.us/LAFDocSearch/tl41R01.aspx?&amp;lu_id=2690&amp;doc_yr=2016&amp;doc_code=AUD" xr:uid="{F3F3AD1D-8E6A-4817-8297-264FA4DBE267}"/>
    <hyperlink ref="E1431" r:id="rId1387" display="https://treas-secure.state.mi.us/LAFDocSearch/tl41R01.aspx?&amp;lu_id=2694&amp;doc_yr=2016&amp;doc_code=AUD" xr:uid="{CC7B5D6E-FA48-493C-A54E-F34FCBF856A3}"/>
    <hyperlink ref="E1432" r:id="rId1388" display="https://treas-secure.state.mi.us/LAFDocSearch/tl41R01.aspx?&amp;lu_id=2695&amp;doc_yr=2016&amp;doc_code=AUD" xr:uid="{B69AE429-6EFE-4B29-98E3-ED69B127DDF5}"/>
    <hyperlink ref="E1433" r:id="rId1389" display="https://treas-secure.state.mi.us/LAFDocSearch/tl41R01.aspx?&amp;lu_id=2691&amp;doc_yr=2016&amp;doc_code=AUD" xr:uid="{DB49DF7A-4EC2-4CB5-8D00-044BC714DB81}"/>
    <hyperlink ref="E1434" r:id="rId1390" display="https://treas-secure.state.mi.us/LAFDocSearch/tl41R01.aspx?&amp;lu_id=2638&amp;doc_yr=2016&amp;doc_code=AUD" xr:uid="{75D57051-A5B9-458F-92E2-3451240B5881}"/>
    <hyperlink ref="E1435" r:id="rId1391" display="https://treas-secure.state.mi.us/LAFDocSearch/tl41R01.aspx?&amp;lu_id=2697&amp;doc_yr=2016&amp;doc_code=AUD" xr:uid="{FF63B076-7400-4AEC-917E-40422D3B60C8}"/>
    <hyperlink ref="E1436" r:id="rId1392" display="https://treas-secure.state.mi.us/LAFDocSearch/tl41R01.aspx?&amp;lu_id=2696&amp;doc_yr=2016&amp;doc_code=AUD" xr:uid="{7267D260-83AA-42C3-A44C-D87F1FF449EA}"/>
    <hyperlink ref="E1437" r:id="rId1393" display="https://treas-secure.state.mi.us/LAFDocSearch/tl41R01.aspx?&amp;lu_id=6026&amp;doc_yr=2016&amp;doc_code=AUD" xr:uid="{5C343925-F45D-4F69-BFD5-0120226075FD}"/>
    <hyperlink ref="E1438" r:id="rId1394" display="https://treas-secure.state.mi.us/LAFDocSearch/tl41R01.aspx?&amp;lu_id=2700&amp;doc_yr=2016&amp;doc_code=AUD" xr:uid="{5EBD7038-3B42-439E-B9B0-84A8D57D2D0F}"/>
    <hyperlink ref="E1439" r:id="rId1395" display="https://treas-secure.state.mi.us/LAFDocSearch/tl41R01.aspx?&amp;lu_id=2651&amp;doc_yr=2016&amp;doc_code=AUD" xr:uid="{D0F80EA1-E2E1-46F6-BCCC-DB481A2F5E89}"/>
    <hyperlink ref="E1440" r:id="rId1396" display="https://treas-secure.state.mi.us/LAFDocSearch/tl41R01.aspx?&amp;lu_id=2692&amp;doc_yr=2016&amp;doc_code=AUD" xr:uid="{D913402A-CCC2-496C-AC86-7484CC5E32EB}"/>
    <hyperlink ref="E1441" r:id="rId1397" display="https://treas-secure.state.mi.us/LAFDocSearch/tl41R01.aspx?&amp;lu_id=2652&amp;doc_yr=2016&amp;doc_code=AUD" xr:uid="{C8C96783-7514-4714-BFFE-33FEA308C666}"/>
    <hyperlink ref="E1442" r:id="rId1398" display="https://treas-secure.state.mi.us/LAFDocSearch/tl41R01.aspx?&amp;lu_id=2653&amp;doc_yr=2016&amp;doc_code=AUD" xr:uid="{7BF954AE-1B8A-4C35-80EF-7C8EC6C1F0A4}"/>
    <hyperlink ref="E1443" r:id="rId1399" display="https://treas-secure.state.mi.us/LAFDocSearch/tl41R01.aspx?&amp;lu_id=2663&amp;doc_yr=2016&amp;doc_code=AUD" xr:uid="{2E736ED1-14E4-4E25-A136-A17C84B4F164}"/>
    <hyperlink ref="E1444" r:id="rId1400" display="https://treas-secure.state.mi.us/LAFDocSearch/tl41R01.aspx?&amp;lu_id=2654&amp;doc_yr=2016&amp;doc_code=AUD" xr:uid="{0A072070-79B1-4205-BC7C-FE44C9F6BC8D}"/>
    <hyperlink ref="E1445" r:id="rId1401" display="https://treas-secure.state.mi.us/LAFDocSearch/tl41R01.aspx?&amp;lu_id=2664&amp;doc_yr=2016&amp;doc_code=AUD" xr:uid="{69332B38-65AE-4040-A13D-D33ADF5F20E1}"/>
    <hyperlink ref="E1446" r:id="rId1402" display="https://treas-secure.state.mi.us/LAFDocSearch/tl41R01.aspx?&amp;lu_id=2655&amp;doc_yr=2016&amp;doc_code=AUD" xr:uid="{B11E82E8-6BA7-4E4D-9FC1-FEBFFC359A8B}"/>
    <hyperlink ref="E1447" r:id="rId1403" display="https://treas-secure.state.mi.us/LAFDocSearch/tl41R01.aspx?&amp;lu_id=2656&amp;doc_yr=2016&amp;doc_code=AUD" xr:uid="{F84AC9B4-B575-41D4-ACFE-C4EE0CD5E035}"/>
    <hyperlink ref="E1448" r:id="rId1404" display="https://treas-secure.state.mi.us/LAFDocSearch/tl41R01.aspx?&amp;lu_id=2699&amp;doc_yr=2016&amp;doc_code=AUD" xr:uid="{7B9DCF7C-FE60-491F-A20F-74BF6EA7484C}"/>
    <hyperlink ref="E1449" r:id="rId1405" display="https://treas-secure.state.mi.us/LAFDocSearch/tl41R01.aspx?&amp;lu_id=2686&amp;doc_yr=2016&amp;doc_code=AUD" xr:uid="{E0736D6A-0E39-4D06-B03C-3E3F7DB0FC45}"/>
    <hyperlink ref="E1451" r:id="rId1406" display="https://treas-secure.state.mi.us/LAFDocSearch/tl41R01.aspx?&amp;lu_id=2706&amp;doc_yr=2016&amp;doc_code=AUD" xr:uid="{F3C1D517-A5EE-4D54-A1DD-282F71030DDF}"/>
    <hyperlink ref="E1452" r:id="rId1407" display="https://treas-secure.state.mi.us/LAFDocSearch/tl41R01.aspx?&amp;lu_id=2725&amp;doc_yr=2016&amp;doc_code=AUD" xr:uid="{AF9964AB-37E5-4C59-BE42-3341DBCE1C47}"/>
    <hyperlink ref="E1453" r:id="rId1408" display="https://treas-secure.state.mi.us/LAFDocSearch/tl41R01.aspx?&amp;lu_id=2707&amp;doc_yr=2016&amp;doc_code=AUD" xr:uid="{3B5D0162-1131-4185-814B-5452D232B149}"/>
    <hyperlink ref="E1454" r:id="rId1409" display="https://treas-secure.state.mi.us/LAFDocSearch/tl41R01.aspx?&amp;lu_id=2708&amp;doc_yr=2016&amp;doc_code=AUD" xr:uid="{6C2B0C09-E532-4D53-AFC2-6A667AF5616C}"/>
    <hyperlink ref="E1455" r:id="rId1410" display="https://treas-secure.state.mi.us/LAFDocSearch/tl41R01.aspx?&amp;lu_id=2709&amp;doc_yr=2016&amp;doc_code=AUD" xr:uid="{3051DAD1-A20B-4D4D-9C38-C7543B913455}"/>
    <hyperlink ref="E1456" r:id="rId1411" display="https://treas-secure.state.mi.us/LAFDocSearch/tl41R01.aspx?&amp;lu_id=2717&amp;doc_yr=2016&amp;doc_code=AUD" xr:uid="{DFF113EC-99D5-424A-A769-6775D5198303}"/>
    <hyperlink ref="E1457" r:id="rId1412" display="https://treas-secure.state.mi.us/LAFDocSearch/tl41R01.aspx?&amp;lu_id=2711&amp;doc_yr=2016&amp;doc_code=AUD" xr:uid="{4046FE68-31E9-42D5-A287-55F698FAFEFE}"/>
    <hyperlink ref="E1458" r:id="rId1413" display="https://treas-secure.state.mi.us/LAFDocSearch/tl41R01.aspx?&amp;lu_id=2727&amp;doc_yr=2016&amp;doc_code=AUD" xr:uid="{B6988EA2-D391-4B4E-8EF3-43B887BBD74C}"/>
    <hyperlink ref="E1459" r:id="rId1414" display="https://treas-secure.state.mi.us/LAFDocSearch/tl41R01.aspx?&amp;lu_id=2712&amp;doc_yr=2016&amp;doc_code=AUD" xr:uid="{D521E3DC-A341-4D12-ADC0-934F2DE1F15A}"/>
    <hyperlink ref="E1460" r:id="rId1415" display="https://treas-secure.state.mi.us/LAFDocSearch/tl41R01.aspx?&amp;lu_id=2704&amp;doc_yr=2016&amp;doc_code=AUD" xr:uid="{F99C8FA4-3F55-4297-96B3-5599A45BB09A}"/>
    <hyperlink ref="E1461" r:id="rId1416" display="https://treas-secure.state.mi.us/LAFDocSearch/tl41R01.aspx?&amp;lu_id=2713&amp;doc_yr=2016&amp;doc_code=AUD" xr:uid="{1FC89F0A-B5C7-4BAA-91BC-06AFBC369F29}"/>
    <hyperlink ref="E1462" r:id="rId1417" display="https://treas-secure.state.mi.us/LAFDocSearch/tl41R01.aspx?&amp;lu_id=2705&amp;doc_yr=2016&amp;doc_code=AUD" xr:uid="{FCA21F8A-DB00-40F9-85AD-92C50D4FB0DC}"/>
    <hyperlink ref="E1463" r:id="rId1418" display="https://treas-secure.state.mi.us/LAFDocSearch/tl41R01.aspx?&amp;lu_id=2714&amp;doc_yr=2016&amp;doc_code=AUD" xr:uid="{5320D28F-3790-4807-B2B6-5BC17D278466}"/>
    <hyperlink ref="E1464" r:id="rId1419" display="https://treas-secure.state.mi.us/LAFDocSearch/tl41R01.aspx?&amp;lu_id=2718&amp;doc_yr=2016&amp;doc_code=AUD" xr:uid="{3D2F4F33-0E7B-4322-946F-02E9BDA5557A}"/>
    <hyperlink ref="E1465" r:id="rId1420" display="https://treas-secure.state.mi.us/LAFDocSearch/tl41R01.aspx?&amp;lu_id=2715&amp;doc_yr=2016&amp;doc_code=AUD" xr:uid="{E76ECCB3-9515-4E9A-AD07-1CB810185BE1}"/>
    <hyperlink ref="E1466" r:id="rId1421" display="https://treas-secure.state.mi.us/LAFDocSearch/tl41R01.aspx?&amp;lu_id=2726&amp;doc_yr=2016&amp;doc_code=AUD" xr:uid="{55988D03-F04A-4ED6-A68E-AB7C0AA8B062}"/>
    <hyperlink ref="E1467" r:id="rId1422" display="https://treas-secure.state.mi.us/LAFDocSearch/tl41R01.aspx?&amp;lu_id=2719&amp;doc_yr=2016&amp;doc_code=AUD" xr:uid="{1E5C8C91-2080-4629-9695-56374DB17FBA}"/>
    <hyperlink ref="E1468" r:id="rId1423" display="https://treas-secure.state.mi.us/LAFDocSearch/tl41R01.aspx?&amp;lu_id=2728&amp;doc_yr=2016&amp;doc_code=AUD" xr:uid="{8A3EA561-26EE-4A57-8C55-A50429ACA4CF}"/>
    <hyperlink ref="E1469" r:id="rId1424" display="https://treas-secure.state.mi.us/LAFDocSearch/tl41R01.aspx?&amp;lu_id=2724&amp;doc_yr=2016&amp;doc_code=AUD" xr:uid="{0D291B88-1237-472D-B471-476780185AB0}"/>
    <hyperlink ref="E1471" r:id="rId1425" display="https://treas-secure.state.mi.us/LAFDocSearch/tl41R01.aspx?&amp;lu_id=2808&amp;doc_yr=2016&amp;doc_code=AUD" xr:uid="{147FB570-0D05-4178-9DBF-EA628CF20ABD}"/>
    <hyperlink ref="E1472" r:id="rId1426" display="https://treas-secure.state.mi.us/LAFDocSearch/tl41R01.aspx?&amp;lu_id=2755&amp;doc_yr=2016&amp;doc_code=AUD" xr:uid="{4EA4C5F1-ADC1-483C-A1A2-5F93815896F6}"/>
    <hyperlink ref="E1473" r:id="rId1427" display="https://treas-secure.state.mi.us/LAFDocSearch/tl41R01.aspx?&amp;lu_id=2733&amp;doc_yr=2016&amp;doc_code=AUD" xr:uid="{78CCB4F6-1836-4FC0-9024-1CC149FF62E2}"/>
    <hyperlink ref="E1474" r:id="rId1428" display="https://treas-secure.state.mi.us/LAFDocSearch/tl41R01.aspx?&amp;lu_id=2809&amp;doc_yr=2016&amp;doc_code=AUD" xr:uid="{7475C661-E5DA-4E3E-803D-D88D6CA65349}"/>
    <hyperlink ref="E1475" r:id="rId1429" display="https://treas-secure.state.mi.us/LAFDocSearch/tl41R01.aspx?&amp;lu_id=2734&amp;doc_yr=2016&amp;doc_code=AUD" xr:uid="{C815DF31-EFF8-455F-9785-6EA2BBB6B7B4}"/>
    <hyperlink ref="E1476" r:id="rId1430" display="https://treas-secure.state.mi.us/LAFDocSearch/tl41R01.aspx?&amp;lu_id=2760&amp;doc_yr=2016&amp;doc_code=AUD" xr:uid="{3C0F7E91-15C4-497D-8752-6F6FFF52A11E}"/>
    <hyperlink ref="E1477" r:id="rId1431" display="https://treas-secure.state.mi.us/LAFDocSearch/tl41R01.aspx?&amp;lu_id=2761&amp;doc_yr=2016&amp;doc_code=AUD" xr:uid="{706CB3D1-7959-4FC7-8218-BBC409C4B7F0}"/>
    <hyperlink ref="E1478" r:id="rId1432" display="https://treas-secure.state.mi.us/LAFDocSearch/tl41R01.aspx?&amp;lu_id=2735&amp;doc_yr=2016&amp;doc_code=AUD" xr:uid="{EF27AC0A-95DD-4200-A1CE-8F7737FC6705}"/>
    <hyperlink ref="E1479" r:id="rId1433" display="https://treas-secure.state.mi.us/LAFDocSearch/tl41R01.aspx?&amp;lu_id=2762&amp;doc_yr=2016&amp;doc_code=AUD" xr:uid="{FA49F808-64C1-4526-80CA-8F8D3BBEA730}"/>
    <hyperlink ref="E1480" r:id="rId1434" display="https://treas-secure.state.mi.us/LAFDocSearch/tl41R01.aspx?&amp;lu_id=2736&amp;doc_yr=2016&amp;doc_code=AUD" xr:uid="{0D3E92D8-0D53-43A3-B02E-A4EC9630F719}"/>
    <hyperlink ref="E1481" r:id="rId1435" display="https://treas-secure.state.mi.us/LAFDocSearch/tl41R01.aspx?&amp;lu_id=2764&amp;doc_yr=2016&amp;doc_code=AUD" xr:uid="{3E58F128-557A-44B0-94CD-6309C3FC4435}"/>
    <hyperlink ref="E1482" r:id="rId1436" display="https://treas-secure.state.mi.us/LAFDocSearch/tl41R01.aspx?&amp;lu_id=2765&amp;doc_yr=2016&amp;doc_code=AUD" xr:uid="{741D0DB1-7C02-46B4-BB78-E39988A86562}"/>
    <hyperlink ref="E1483" r:id="rId1437" display="https://treas-secure.state.mi.us/LAFDocSearch/tl41R01.aspx?&amp;lu_id=2739&amp;doc_yr=2016&amp;doc_code=AUD" xr:uid="{E05CC9A7-A668-46F7-ACD9-A5A72BB89E1E}"/>
    <hyperlink ref="E1484" r:id="rId1438" display="https://treas-secure.state.mi.us/LAFDocSearch/tl41R01.aspx?&amp;lu_id=2740&amp;doc_yr=2016&amp;doc_code=AUD" xr:uid="{6FDA0731-78EF-4C45-9021-5A82985D7F26}"/>
    <hyperlink ref="E1485" r:id="rId1439" display="https://treas-secure.state.mi.us/LAFDocSearch/tl41R01.aspx?&amp;lu_id=2756&amp;doc_yr=2016&amp;doc_code=AUD" xr:uid="{A533548D-FFA4-4B0E-B697-20BD5DDBF9E6}"/>
    <hyperlink ref="E1486" r:id="rId1440" display="https://treas-secure.state.mi.us/LAFDocSearch/tl41R01.aspx?&amp;lu_id=2819&amp;doc_yr=2016&amp;doc_code=AUD" xr:uid="{655FB926-8AB0-4855-A13E-4959FFB7D11A}"/>
    <hyperlink ref="E1487" r:id="rId1441" display="https://treas-secure.state.mi.us/LAFDocSearch/tl41R01.aspx?&amp;lu_id=2731&amp;doc_yr=2016&amp;doc_code=AUD" xr:uid="{7A617E80-863D-43AD-A578-F39D2513FCFF}"/>
    <hyperlink ref="E1488" r:id="rId1442" display="https://treas-secure.state.mi.us/LAFDocSearch/tl41R01.aspx?&amp;lu_id=2794&amp;doc_yr=2016&amp;doc_code=AUD" xr:uid="{0C635600-AE02-4BD2-BECB-DB859B528F9A}"/>
    <hyperlink ref="E1489" r:id="rId1443" display="https://treas-secure.state.mi.us/LAFDocSearch/tl41R01.aspx?&amp;lu_id=2812&amp;doc_yr=2016&amp;doc_code=AUD" xr:uid="{E7739299-8EE6-4DD8-80BE-ADE73E2E32D6}"/>
    <hyperlink ref="E1490" r:id="rId1444" display="https://treas-secure.state.mi.us/LAFDocSearch/tl41R01.aspx?&amp;lu_id=2800&amp;doc_yr=2016&amp;doc_code=AUD" xr:uid="{A6717387-3743-4BA3-BD79-C0B498D07B03}"/>
    <hyperlink ref="E1491" r:id="rId1445" display="https://treas-secure.state.mi.us/LAFDocSearch/tl41R01.aspx?&amp;lu_id=2787&amp;doc_yr=2016&amp;doc_code=AUD" xr:uid="{1938C116-9021-4303-9AE8-DB91C1253B12}"/>
    <hyperlink ref="E1492" r:id="rId1446" display="https://treas-secure.state.mi.us/LAFDocSearch/tl41R01.aspx?&amp;lu_id=2820&amp;doc_yr=2016&amp;doc_code=AUD" xr:uid="{08553519-CF01-4C5E-A754-DB303C8AC550}"/>
    <hyperlink ref="E1493" r:id="rId1447" display="https://treas-secure.state.mi.us/LAFDocSearch/tl41R01.aspx?&amp;lu_id=2810&amp;doc_yr=2016&amp;doc_code=AUD" xr:uid="{69A2CF4E-855E-4961-98A7-41B0408AC57B}"/>
    <hyperlink ref="E1494" r:id="rId1448" display="https://treas-secure.state.mi.us/LAFDocSearch/tl41R01.aspx?&amp;lu_id=2742&amp;doc_yr=2016&amp;doc_code=AUD" xr:uid="{8A0DD3FA-066D-428E-B00C-4CE1169140E5}"/>
    <hyperlink ref="E1495" r:id="rId1449" display="https://treas-secure.state.mi.us/LAFDocSearch/tl41R01.aspx?&amp;lu_id=2743&amp;doc_yr=2016&amp;doc_code=AUD" xr:uid="{1809F544-97FC-4A43-9A8D-C965D6CB9F1A}"/>
    <hyperlink ref="E1496" r:id="rId1450" display="https://treas-secure.state.mi.us/LAFDocSearch/tl41R01.aspx?&amp;lu_id=2744&amp;doc_yr=2016&amp;doc_code=AUD" xr:uid="{7698AA9A-94B6-4CCF-ADEC-A7855B8AF311}"/>
    <hyperlink ref="E1497" r:id="rId1451" display="https://treas-secure.state.mi.us/LAFDocSearch/tl41R01.aspx?&amp;lu_id=2757&amp;doc_yr=2016&amp;doc_code=AUD" xr:uid="{0C5DA652-2BF9-43FA-83B1-70B370E15E33}"/>
    <hyperlink ref="E1498" r:id="rId1452" display="https://treas-secure.state.mi.us/LAFDocSearch/tl41R01.aspx?&amp;lu_id=2745&amp;doc_yr=2016&amp;doc_code=AUD" xr:uid="{68C40A0D-7190-40AD-A5D1-8C958FB16ED7}"/>
    <hyperlink ref="E1499" r:id="rId1453" display="https://treas-secure.state.mi.us/LAFDocSearch/tl41R01.aspx?&amp;lu_id=2766&amp;doc_yr=2016&amp;doc_code=AUD" xr:uid="{403E3F27-5F47-4E4F-A3CB-9F9FF7BCF072}"/>
    <hyperlink ref="E1500" r:id="rId1454" display="https://treas-secure.state.mi.us/LAFDocSearch/tl41R01.aspx?&amp;lu_id=2746&amp;doc_yr=2016&amp;doc_code=AUD" xr:uid="{D5A733A7-85DC-4F1C-B4CE-D59491102BA2}"/>
    <hyperlink ref="E1501" r:id="rId1455" display="https://treas-secure.state.mi.us/LAFDocSearch/tl41R01.aspx?&amp;lu_id=2747&amp;doc_yr=2016&amp;doc_code=AUD" xr:uid="{C4855F67-CD75-46E4-8C19-AE2619EC3FF5}"/>
    <hyperlink ref="E1502" r:id="rId1456" display="https://treas-secure.state.mi.us/LAFDocSearch/tl41R01.aspx?&amp;lu_id=2749&amp;doc_yr=2016&amp;doc_code=AUD" xr:uid="{6D351E64-042C-420A-B131-F92069D197D0}"/>
    <hyperlink ref="E1503" r:id="rId1457" display="https://treas-secure.state.mi.us/LAFDocSearch/tl41R01.aspx?&amp;lu_id=2750&amp;doc_yr=2016&amp;doc_code=AUD" xr:uid="{F571680F-9B35-4F00-BCC4-17B2EB10FF23}"/>
    <hyperlink ref="E1504" r:id="rId1458" display="https://treas-secure.state.mi.us/LAFDocSearch/tl41R01.aspx?&amp;lu_id=2751&amp;doc_yr=2016&amp;doc_code=AUD" xr:uid="{D067EE7A-F419-4E0F-A56E-A0964C306D2A}"/>
    <hyperlink ref="E1505" r:id="rId1459" display="https://treas-secure.state.mi.us/LAFDocSearch/tl41R01.aspx?&amp;lu_id=2752&amp;doc_yr=2016&amp;doc_code=AUD" xr:uid="{B02D48C8-BC87-4325-90E1-4F0DAB41BB3E}"/>
    <hyperlink ref="E1506" r:id="rId1460" display="https://treas-secure.state.mi.us/LAFDocSearch/tl41R01.aspx?&amp;lu_id=7915&amp;doc_yr=2016&amp;doc_code=AUD" xr:uid="{B846B4A7-77EB-49E1-8672-12387FD8BE8E}"/>
    <hyperlink ref="E1507" r:id="rId1461" display="https://treas-secure.state.mi.us/LAFDocSearch/tl41R01.aspx?&amp;lu_id=2758&amp;doc_yr=2016&amp;doc_code=AUD" xr:uid="{AF84C3EB-7CAE-40F9-87F5-4FB0196E980F}"/>
    <hyperlink ref="E1508" r:id="rId1462" display="https://treas-secure.state.mi.us/LAFDocSearch/tl41R01.aspx?&amp;lu_id=2753&amp;doc_yr=2016&amp;doc_code=AUD" xr:uid="{0F002DCF-1300-4EBD-8DD8-DC0FA6E9D64F}"/>
    <hyperlink ref="E1509" r:id="rId1463" display="https://treas-secure.state.mi.us/LAFDocSearch/tl41R01.aspx?&amp;lu_id=2815&amp;doc_yr=2016&amp;doc_code=AUD" xr:uid="{B3494156-DBBC-40C9-9C3F-795C7633F385}"/>
    <hyperlink ref="E1510" r:id="rId1464" display="https://treas-secure.state.mi.us/LAFDocSearch/tl41R01.aspx?&amp;lu_id=2754&amp;doc_yr=2016&amp;doc_code=AUD" xr:uid="{BB010776-851D-4706-B544-B96CED546AF0}"/>
    <hyperlink ref="E1512" r:id="rId1465" display="https://treas-secure.state.mi.us/LAFDocSearch/tl41R01.aspx?&amp;lu_id=2843&amp;doc_yr=2016&amp;doc_code=AUD" xr:uid="{A39E4AC4-2D3C-4D56-A5C0-10E81461DF3B}"/>
    <hyperlink ref="E1513" r:id="rId1466" display="https://treas-secure.state.mi.us/LAFDocSearch/tl41R01.aspx?&amp;lu_id=2900&amp;doc_yr=2016&amp;doc_code=AUD" xr:uid="{447CE03E-B3E0-4F48-91D1-28253AC7322D}"/>
    <hyperlink ref="E1514" r:id="rId1467" display="https://treas-secure.state.mi.us/LAFDocSearch/tl41R01.aspx?&amp;lu_id=2827&amp;doc_yr=2016&amp;doc_code=AUD" xr:uid="{5E812E85-7AA9-4937-B923-AD62BEBD90A5}"/>
    <hyperlink ref="E1515" r:id="rId1468" display="https://treas-secure.state.mi.us/LAFDocSearch/tl41R01.aspx?&amp;lu_id=2918&amp;doc_yr=2016&amp;doc_code=AUD" xr:uid="{51546AC3-CCBB-42DD-AAE9-D308A524A5CB}"/>
    <hyperlink ref="E1516" r:id="rId1469" display="https://treas-secure.state.mi.us/LAFDocSearch/tl41R01.aspx?&amp;lu_id=2828&amp;doc_yr=2016&amp;doc_code=AUD" xr:uid="{113C6518-7A04-42DF-8779-8E303220C8E7}"/>
    <hyperlink ref="E1517" r:id="rId1470" display="https://treas-secure.state.mi.us/LAFDocSearch/tl41R01.aspx?&amp;lu_id=2890&amp;doc_yr=2016&amp;doc_code=AUD" xr:uid="{F25EF814-CBD7-4F2B-BAD6-0EDCF35D33D5}"/>
    <hyperlink ref="E1518" r:id="rId1471" display="https://treas-secure.state.mi.us/LAFDocSearch/tl41R01.aspx?&amp;lu_id=2829&amp;doc_yr=2016&amp;doc_code=AUD" xr:uid="{2CAD0E09-8D67-4E9B-9564-6C97FCE64A08}"/>
    <hyperlink ref="E1519" r:id="rId1472" display="https://treas-secure.state.mi.us/LAFDocSearch/tl41R01.aspx?&amp;lu_id=2919&amp;doc_yr=2016&amp;doc_code=AUD" xr:uid="{69573A77-99D1-453B-A83B-37BD7A745656}"/>
    <hyperlink ref="E1520" r:id="rId1473" display="https://treas-secure.state.mi.us/LAFDocSearch/tl41R01.aspx?&amp;lu_id=2830&amp;doc_yr=2016&amp;doc_code=AUD" xr:uid="{95AA59C7-28F3-4361-AB72-081D97198293}"/>
    <hyperlink ref="E1521" r:id="rId1474" display="https://treas-secure.state.mi.us/LAFDocSearch/tl41R01.aspx?&amp;lu_id=2905&amp;doc_yr=2016&amp;doc_code=AUD" xr:uid="{7906781C-02CA-4560-82C1-CBD561AC2483}"/>
    <hyperlink ref="E1522" r:id="rId1475" display="https://treas-secure.state.mi.us/LAFDocSearch/tl41R01.aspx?&amp;lu_id=2845&amp;doc_yr=2016&amp;doc_code=AUD" xr:uid="{32F7140E-2AA0-410A-98DC-A6664836C07F}"/>
    <hyperlink ref="E1523" r:id="rId1476" display="https://treas-secure.state.mi.us/LAFDocSearch/tl41R01.aspx?&amp;lu_id=2912&amp;doc_yr=2016&amp;doc_code=AUD" xr:uid="{E0D9130E-2F5C-4C5E-A627-6C9145A06665}"/>
    <hyperlink ref="E1524" r:id="rId1477" display="https://treas-secure.state.mi.us/LAFDocSearch/tl41R01.aspx?&amp;lu_id=2920&amp;doc_yr=2016&amp;doc_code=AUD" xr:uid="{7860E425-59BC-4D78-8056-6A710AC9692E}"/>
    <hyperlink ref="E1525" r:id="rId1478" display="https://treas-secure.state.mi.us/LAFDocSearch/tl41R01.aspx?&amp;lu_id=2831&amp;doc_yr=2016&amp;doc_code=AUD" xr:uid="{81D6A879-9D58-4722-A884-D174CCEBC96B}"/>
    <hyperlink ref="E1526" r:id="rId1479" display="https://treas-secure.state.mi.us/LAFDocSearch/tl41R01.aspx?&amp;lu_id=2893&amp;doc_yr=2016&amp;doc_code=AUD" xr:uid="{B2C005BB-F6E2-4DA6-A769-08B1C100BE62}"/>
    <hyperlink ref="E1527" r:id="rId1480" display="https://treas-secure.state.mi.us/LAFDocSearch/tl41R01.aspx?&amp;lu_id=2832&amp;doc_yr=2016&amp;doc_code=AUD" xr:uid="{F4B405F8-C7FD-4612-89BA-7EFD8ECFE117}"/>
    <hyperlink ref="E1528" r:id="rId1481" display="https://treas-secure.state.mi.us/LAFDocSearch/tl41R01.aspx?&amp;lu_id=2833&amp;doc_yr=2016&amp;doc_code=AUD" xr:uid="{2510620A-B214-4305-B8E0-2F9CE63385F3}"/>
    <hyperlink ref="E1529" r:id="rId1482" display="https://treas-secure.state.mi.us/LAFDocSearch/tl41R01.aspx?&amp;lu_id=2923&amp;doc_yr=2016&amp;doc_code=AUD" xr:uid="{7BFB6579-EC48-4E70-BE17-50C6F5B3F097}"/>
    <hyperlink ref="E1530" r:id="rId1483" display="https://treas-secure.state.mi.us/LAFDocSearch/tl41R01.aspx?&amp;lu_id=2834&amp;doc_yr=2016&amp;doc_code=AUD" xr:uid="{4349389C-37EF-4526-963A-B8EB4103CE70}"/>
    <hyperlink ref="E1531" r:id="rId1484" display="https://treas-secure.state.mi.us/LAFDocSearch/tl41R01.aspx?&amp;lu_id=2835&amp;doc_yr=2016&amp;doc_code=AUD" xr:uid="{09E246EA-AAEE-4CFD-8343-BB7D683A04A2}"/>
    <hyperlink ref="E1532" r:id="rId1485" display="https://treas-secure.state.mi.us/LAFDocSearch/tl41R01.aspx?&amp;lu_id=2909&amp;doc_yr=2016&amp;doc_code=AUD" xr:uid="{D4F034B8-D40C-4CD6-8BC3-12C388D027EA}"/>
    <hyperlink ref="E1533" r:id="rId1486" display="https://treas-secure.state.mi.us/LAFDocSearch/tl41R01.aspx?&amp;lu_id=2844&amp;doc_yr=2016&amp;doc_code=AUD" xr:uid="{F4C5A852-13DD-46E0-98E0-5DA3ED160300}"/>
    <hyperlink ref="E1534" r:id="rId1487" display="https://treas-secure.state.mi.us/LAFDocSearch/tl41R01.aspx?&amp;lu_id=2836&amp;doc_yr=2016&amp;doc_code=AUD" xr:uid="{DFBF02A3-114D-4CA4-8385-9A3D18BC83C3}"/>
    <hyperlink ref="E1535" r:id="rId1488" display="https://treas-secure.state.mi.us/LAFDocSearch/tl41R01.aspx?&amp;lu_id=2901&amp;doc_yr=2016&amp;doc_code=AUD" xr:uid="{4688E297-6BE9-491B-8949-C413EB1F8ECC}"/>
    <hyperlink ref="E1536" r:id="rId1489" display="https://treas-secure.state.mi.us/LAFDocSearch/tl41R01.aspx?&amp;lu_id=2915&amp;doc_yr=2016&amp;doc_code=AUD" xr:uid="{587D438B-7CA7-4817-B13C-39278B1AA601}"/>
    <hyperlink ref="E1537" r:id="rId1490" display="https://treas-secure.state.mi.us/LAFDocSearch/tl41R01.aspx?&amp;lu_id=2921&amp;doc_yr=2016&amp;doc_code=AUD" xr:uid="{F0B248E4-A283-4430-9FC8-DF836CF1880B}"/>
    <hyperlink ref="E1538" r:id="rId1491" display="https://treas-secure.state.mi.us/LAFDocSearch/tl41R01.aspx?&amp;lu_id=2913&amp;doc_yr=2016&amp;doc_code=AUD" xr:uid="{E52E1BE2-334A-40E6-B19C-2F717E4DE018}"/>
    <hyperlink ref="E1539" r:id="rId1492" display="https://treas-secure.state.mi.us/LAFDocSearch/tl41R01.aspx?&amp;lu_id=2825&amp;doc_yr=2016&amp;doc_code=AUD" xr:uid="{3E83F1DA-AACA-40FD-BC74-9183433B5F50}"/>
    <hyperlink ref="E1540" r:id="rId1493" display="https://treas-secure.state.mi.us/LAFDocSearch/tl41R01.aspx?&amp;lu_id=2826&amp;doc_yr=2016&amp;doc_code=AUD" xr:uid="{EA265AD5-3B29-476F-94FA-DDF94B6E3A03}"/>
    <hyperlink ref="E1541" r:id="rId1494" display="https://treas-secure.state.mi.us/LAFDocSearch/tl41R01.aspx?&amp;lu_id=2906&amp;doc_yr=2016&amp;doc_code=AUD" xr:uid="{F6E30F22-5AF0-4F07-8D4E-0AE2E95790E7}"/>
    <hyperlink ref="E1542" r:id="rId1495" display="https://treas-secure.state.mi.us/LAFDocSearch/tl41R01.aspx?&amp;lu_id=2838&amp;doc_yr=2016&amp;doc_code=AUD" xr:uid="{8BDA6792-7205-4F6B-A910-CA97B343091A}"/>
    <hyperlink ref="E1543" r:id="rId1496" display="https://treas-secure.state.mi.us/LAFDocSearch/tl41R01.aspx?&amp;lu_id=2902&amp;doc_yr=2016&amp;doc_code=AUD" xr:uid="{02F19911-4A1C-4E54-980F-AA49A91D0AA8}"/>
    <hyperlink ref="E1544" r:id="rId1497" display="https://treas-secure.state.mi.us/LAFDocSearch/tl41R01.aspx?&amp;lu_id=2839&amp;doc_yr=2016&amp;doc_code=AUD" xr:uid="{5B312D4E-0C40-404B-A2C0-CD9935E73392}"/>
    <hyperlink ref="E1545" r:id="rId1498" display="https://treas-secure.state.mi.us/LAFDocSearch/tl41R01.aspx?&amp;lu_id=2846&amp;doc_yr=2016&amp;doc_code=AUD" xr:uid="{CA81C31D-AB86-4E68-A496-3FDBD3DF0F85}"/>
    <hyperlink ref="E1546" r:id="rId1499" display="https://treas-secure.state.mi.us/LAFDocSearch/tl41R01.aspx?&amp;lu_id=2922&amp;doc_yr=2016&amp;doc_code=AUD" xr:uid="{C2DBF974-678D-48FB-A415-9749980C25AD}"/>
    <hyperlink ref="E1547" r:id="rId1500" display="https://treas-secure.state.mi.us/LAFDocSearch/tl41R01.aspx?&amp;lu_id=2840&amp;doc_yr=2016&amp;doc_code=AUD" xr:uid="{5620A7C1-6207-40F0-9419-0730427247AC}"/>
    <hyperlink ref="E1548" r:id="rId1501" display="https://treas-secure.state.mi.us/LAFDocSearch/tl41R01.aspx?&amp;lu_id=2910&amp;doc_yr=2016&amp;doc_code=AUD" xr:uid="{3B0EF59E-0EAC-4DAF-B332-AA9438CD0405}"/>
    <hyperlink ref="E1549" r:id="rId1502" display="https://treas-secure.state.mi.us/LAFDocSearch/tl41R01.aspx?&amp;lu_id=2841&amp;doc_yr=2016&amp;doc_code=AUD" xr:uid="{695E3560-10AB-4192-92AC-BF2D0DA10661}"/>
    <hyperlink ref="E1550" r:id="rId1503" display="https://treas-secure.state.mi.us/LAFDocSearch/tl41R01.aspx?&amp;lu_id=2842&amp;doc_yr=2016&amp;doc_code=AUD" xr:uid="{A123A89B-EA1F-4435-B625-B2F8E7002F14}"/>
    <hyperlink ref="E1552" r:id="rId1504" display="https://treas-secure.state.mi.us/LAFDocSearch/tl41R01.aspx?&amp;lu_id=2926&amp;doc_yr=2016&amp;doc_code=AUD" xr:uid="{DED54779-BCF5-42C3-B1C8-68095F926660}"/>
    <hyperlink ref="E1553" r:id="rId1505" display="https://treas-secure.state.mi.us/LAFDocSearch/tl41R01.aspx?&amp;lu_id=2927&amp;doc_yr=2016&amp;doc_code=AUD" xr:uid="{7E3C0D83-CBCB-4DFC-8D93-B21DE44A94B2}"/>
    <hyperlink ref="E1554" r:id="rId1506" display="https://treas-secure.state.mi.us/LAFDocSearch/tl41R01.aspx?&amp;lu_id=2924&amp;doc_yr=2016&amp;doc_code=AUD" xr:uid="{A9F75D56-DF34-4E1A-8451-64F3A8E64FCC}"/>
    <hyperlink ref="E1555" r:id="rId1507" display="https://treas-secure.state.mi.us/LAFDocSearch/tl41R01.aspx?&amp;lu_id=7052&amp;doc_yr=2016&amp;doc_code=AUD" xr:uid="{8C9D3906-B9A2-4A5D-8383-C6B0AD460158}"/>
    <hyperlink ref="E1556" r:id="rId1508" display="https://treas-secure.state.mi.us/LAFDocSearch/tl41R01.aspx?&amp;lu_id=2935&amp;doc_yr=2016&amp;doc_code=AUD" xr:uid="{CBFE2A30-E5CA-4A6C-A94B-85F995313893}"/>
    <hyperlink ref="E1557" r:id="rId1509" display="https://treas-secure.state.mi.us/LAFDocSearch/tl41R01.aspx?&amp;lu_id=2925&amp;doc_yr=2016&amp;doc_code=AUD" xr:uid="{5AC05062-CFC9-4662-97A7-AC5972BBC0E5}"/>
    <hyperlink ref="E1558" r:id="rId1510" display="https://treas-secure.state.mi.us/LAFDocSearch/tl41R01.aspx?&amp;lu_id=2934&amp;doc_yr=2016&amp;doc_code=AUD" xr:uid="{951EB1A5-8FE9-4852-8805-50519626E4A7}"/>
    <hyperlink ref="E1559" r:id="rId1511" display="https://treas-secure.state.mi.us/LAFDocSearch/tl41R01.aspx?&amp;lu_id=2928&amp;doc_yr=2016&amp;doc_code=AUD" xr:uid="{41CFB1E6-09C2-496F-B918-2311C7D73BB3}"/>
    <hyperlink ref="E1560" r:id="rId1512" display="https://treas-secure.state.mi.us/LAFDocSearch/tl41R01.aspx?&amp;lu_id=2930&amp;doc_yr=2016&amp;doc_code=AUD" xr:uid="{A1C47FAB-1684-4A80-9378-1F084C2DF0B2}"/>
    <hyperlink ref="E1561" r:id="rId1513" display="https://treas-secure.state.mi.us/LAFDocSearch/tl41R01.aspx?&amp;lu_id=2929&amp;doc_yr=2016&amp;doc_code=AUD" xr:uid="{6BF01E30-C029-4B92-8418-85DB81AB3187}"/>
    <hyperlink ref="E1562" r:id="rId1514" display="https://treas-secure.state.mi.us/LAFDocSearch/tl41R01.aspx?&amp;lu_id=7311&amp;doc_yr=2016&amp;doc_code=AUD" xr:uid="{DA2C68A5-0200-4EDC-90B2-104AD435AEA3}"/>
    <hyperlink ref="E1563" r:id="rId1515" display="https://treas-secure.state.mi.us/LAFDocSearch/tl41R01.aspx?&amp;lu_id=6182&amp;doc_yr=2016&amp;doc_code=AUD" xr:uid="{D4599825-9265-4D1B-876A-25C2E28A66DC}"/>
    <hyperlink ref="E1565" r:id="rId1516" display="https://treas-secure.state.mi.us/LAFDocSearch/tl41R01.aspx?&amp;lu_id=2941&amp;doc_yr=2016&amp;doc_code=AUD" xr:uid="{CA4B925B-9339-4956-B1E8-86527204B363}"/>
    <hyperlink ref="E1566" r:id="rId1517" display="https://treas-secure.state.mi.us/LAFDocSearch/tl41R01.aspx?&amp;lu_id=2942&amp;doc_yr=2016&amp;doc_code=AUD" xr:uid="{66DAB6AD-9713-45BA-8448-529A28218EA9}"/>
    <hyperlink ref="E1567" r:id="rId1518" display="https://treas-secure.state.mi.us/LAFDocSearch/tl41R01.aspx?&amp;lu_id=2943&amp;doc_yr=2016&amp;doc_code=AUD" xr:uid="{F22DEB52-85DF-478C-B932-10A91C4FB65A}"/>
    <hyperlink ref="E1568" r:id="rId1519" display="https://treas-secure.state.mi.us/LAFDocSearch/tl41R01.aspx?&amp;lu_id=2944&amp;doc_yr=2016&amp;doc_code=AUD" xr:uid="{8E8E18AE-6AFD-497A-AFEC-230635B229CB}"/>
    <hyperlink ref="E1569" r:id="rId1520" display="https://treas-secure.state.mi.us/LAFDocSearch/tl41R01.aspx?&amp;lu_id=2945&amp;doc_yr=2016&amp;doc_code=AUD" xr:uid="{FE4E0AAC-FF11-4E0D-A24A-DE1DE8A2F90C}"/>
    <hyperlink ref="E1570" r:id="rId1521" display="https://treas-secure.state.mi.us/LAFDocSearch/tl41R01.aspx?&amp;lu_id=2946&amp;doc_yr=2016&amp;doc_code=AUD" xr:uid="{85F325BA-4196-4953-84BA-264C01D45C96}"/>
    <hyperlink ref="E1571" r:id="rId1522" display="https://treas-secure.state.mi.us/LAFDocSearch/tl41R01.aspx?&amp;lu_id=2939&amp;doc_yr=2016&amp;doc_code=AUD" xr:uid="{FEAC8F1F-C059-4B7A-B347-D936363F1A25}"/>
    <hyperlink ref="E1572" r:id="rId1523" display="https://treas-secure.state.mi.us/LAFDocSearch/tl41R01.aspx?&amp;lu_id=2968&amp;doc_yr=2016&amp;doc_code=AUD" xr:uid="{7F93CE80-27FE-4450-BC9E-0367E0B0CC43}"/>
    <hyperlink ref="E1573" r:id="rId1524" display="https://treas-secure.state.mi.us/LAFDocSearch/tl41R01.aspx?&amp;lu_id=2940&amp;doc_yr=2016&amp;doc_code=AUD" xr:uid="{2751333D-0F57-4137-8096-D8BBEED0C294}"/>
    <hyperlink ref="E1574" r:id="rId1525" display="https://treas-secure.state.mi.us/LAFDocSearch/tl41R01.aspx?&amp;lu_id=2952&amp;doc_yr=2016&amp;doc_code=AUD" xr:uid="{17D337A3-6AEC-49EA-B147-4F2AF3A721A5}"/>
    <hyperlink ref="E1575" r:id="rId1526" display="https://treas-secure.state.mi.us/LAFDocSearch/tl41R01.aspx?&amp;lu_id=2947&amp;doc_yr=2016&amp;doc_code=AUD" xr:uid="{00263818-AC92-4B7B-A2C9-D70A7751D8BD}"/>
    <hyperlink ref="E1576" r:id="rId1527" display="https://treas-secure.state.mi.us/LAFDocSearch/tl41R01.aspx?&amp;lu_id=2948&amp;doc_yr=2016&amp;doc_code=AUD" xr:uid="{AED311E9-3597-4878-BF12-FD71659B59CD}"/>
    <hyperlink ref="E1577" r:id="rId1528" display="https://treas-secure.state.mi.us/LAFDocSearch/tl41R01.aspx?&amp;lu_id=2949&amp;doc_yr=2016&amp;doc_code=AUD" xr:uid="{E92DCB6C-3913-469E-A352-C38CE99E9724}"/>
    <hyperlink ref="E1578" r:id="rId1529" display="https://treas-secure.state.mi.us/LAFDocSearch/tl41R01.aspx?&amp;lu_id=2950&amp;doc_yr=2016&amp;doc_code=AUD" xr:uid="{61A13ED0-6F25-460D-B1E7-A607D27A6B02}"/>
    <hyperlink ref="E1579" r:id="rId1530" display="https://treas-secure.state.mi.us/LAFDocSearch/tl41R01.aspx?&amp;lu_id=2953&amp;doc_yr=2016&amp;doc_code=AUD" xr:uid="{10EC7DC4-CF83-4FC9-A2F4-6B5044F67536}"/>
    <hyperlink ref="E1580" r:id="rId1531" display="https://treas-secure.state.mi.us/LAFDocSearch/tl41R01.aspx?&amp;lu_id=2951&amp;doc_yr=2016&amp;doc_code=AUD" xr:uid="{9D792114-C42B-4DCC-B9AB-398671924D52}"/>
    <hyperlink ref="E1582" r:id="rId1532" display="https://treas-secure.state.mi.us/LAFDocSearch/tl41R01.aspx?&amp;lu_id=3150&amp;doc_yr=2016&amp;doc_code=AUD" xr:uid="{510DD81A-DF0A-4C33-AD24-3FD48D7B049E}"/>
    <hyperlink ref="E1583" r:id="rId1533" display="https://treas-secure.state.mi.us/LAFDocSearch/tl41R01.aspx?&amp;lu_id=3151&amp;doc_yr=2016&amp;doc_code=AUD" xr:uid="{986C04AB-64F6-49E9-9184-B1F5447F81E7}"/>
    <hyperlink ref="E1584" r:id="rId1534" display="https://treas-secure.state.mi.us/LAFDocSearch/tl41R01.aspx?&amp;lu_id=2974&amp;doc_yr=2016&amp;doc_code=AUD" xr:uid="{63800F3D-0003-4093-9770-681F324B138C}"/>
    <hyperlink ref="E1585" r:id="rId1535" display="https://treas-secure.state.mi.us/LAFDocSearch/tl41R01.aspx?&amp;lu_id=2998&amp;doc_yr=2016&amp;doc_code=AUD" xr:uid="{91DC0B2C-0E64-4781-AADE-17105FD70991}"/>
    <hyperlink ref="E1586" r:id="rId1536" display="https://treas-secure.state.mi.us/LAFDocSearch/tl41R01.aspx?&amp;lu_id=3181&amp;doc_yr=2016&amp;doc_code=AUD" xr:uid="{808A2E17-3BA0-4640-881C-26BF9C57244D}"/>
    <hyperlink ref="E1587" r:id="rId1537" display="https://treas-secure.state.mi.us/LAFDocSearch/tl41R01.aspx?&amp;lu_id=2975&amp;doc_yr=2016&amp;doc_code=AUD" xr:uid="{FDF1796E-C254-4C6A-9950-4C7C954960C6}"/>
    <hyperlink ref="E1588" r:id="rId1538" display="https://treas-secure.state.mi.us/LAFDocSearch/tl41R01.aspx?&amp;lu_id=2986&amp;doc_yr=2016&amp;doc_code=AUD" xr:uid="{489398B7-9441-441B-AFCC-D5ED643AD6E0}"/>
    <hyperlink ref="E1589" r:id="rId1539" display="https://treas-secure.state.mi.us/LAFDocSearch/tl41R01.aspx?&amp;lu_id=2976&amp;doc_yr=2016&amp;doc_code=AUD" xr:uid="{40DD067D-9B4B-4070-8300-917F2DFF5575}"/>
    <hyperlink ref="E1590" r:id="rId1540" display="https://treas-secure.state.mi.us/LAFDocSearch/tl41R01.aspx?&amp;lu_id=3182&amp;doc_yr=2016&amp;doc_code=AUD" xr:uid="{CCBA8A0C-65F0-49A5-9AFA-9850F32A6504}"/>
    <hyperlink ref="E1591" r:id="rId1541" display="https://treas-secure.state.mi.us/LAFDocSearch/tl41R01.aspx?&amp;lu_id=2977&amp;doc_yr=2016&amp;doc_code=AUD" xr:uid="{79D6163C-CD76-44AC-87A5-B6604C84D26E}"/>
    <hyperlink ref="E1592" r:id="rId1542" display="https://treas-secure.state.mi.us/LAFDocSearch/tl41R01.aspx?&amp;lu_id=3158&amp;doc_yr=2016&amp;doc_code=AUD" xr:uid="{0C36F09D-D5A5-433D-9B51-C11662D3F45A}"/>
    <hyperlink ref="E1593" r:id="rId1543" display="https://treas-secure.state.mi.us/LAFDocSearch/tl41R01.aspx?&amp;lu_id=3178&amp;doc_yr=2016&amp;doc_code=AUD" xr:uid="{503DB213-A6EB-43E6-B667-5DCB79145232}"/>
    <hyperlink ref="E1594" r:id="rId1544" display="https://treas-secure.state.mi.us/LAFDocSearch/tl41R01.aspx?&amp;lu_id=3159&amp;doc_yr=2016&amp;doc_code=AUD" xr:uid="{DE24383A-E7D4-4468-960C-CA4EBFCB3061}"/>
    <hyperlink ref="E1595" r:id="rId1545" display="https://treas-secure.state.mi.us/LAFDocSearch/tl41R01.aspx?&amp;lu_id=3177&amp;doc_yr=2016&amp;doc_code=AUD" xr:uid="{E136B2D4-E4B1-4847-8577-705C91B69CD2}"/>
    <hyperlink ref="E1596" r:id="rId1546" display="https://treas-secure.state.mi.us/LAFDocSearch/tl41R01.aspx?&amp;lu_id=2987&amp;doc_yr=2016&amp;doc_code=AUD" xr:uid="{2EB91AAC-DCDA-4C8A-B341-8F6B6567BAB0}"/>
    <hyperlink ref="E1597" r:id="rId1547" display="https://treas-secure.state.mi.us/LAFDocSearch/tl41R01.aspx?&amp;lu_id=3164&amp;doc_yr=2016&amp;doc_code=AUD" xr:uid="{9223EE6D-3BDD-4459-9CA2-6C5F2ADB11BF}"/>
    <hyperlink ref="E1598" r:id="rId1548" display="https://treas-secure.state.mi.us/LAFDocSearch/tl41R01.aspx?&amp;lu_id=3169&amp;doc_yr=2016&amp;doc_code=AUD" xr:uid="{CFD74C01-6A6E-4A7B-BD06-85A7506F3B80}"/>
    <hyperlink ref="E1599" r:id="rId1549" display="https://treas-secure.state.mi.us/LAFDocSearch/tl41R01.aspx?&amp;lu_id=2988&amp;doc_yr=2016&amp;doc_code=AUD" xr:uid="{674BE7EB-276E-469F-BAB1-EBD3B36525B6}"/>
    <hyperlink ref="E1600" r:id="rId1550" display="https://treas-secure.state.mi.us/LAFDocSearch/tl41R01.aspx?&amp;lu_id=3146&amp;doc_yr=2016&amp;doc_code=AUD" xr:uid="{BF357404-B255-4A53-B456-096C7CB5800C}"/>
    <hyperlink ref="E1601" r:id="rId1551" display="https://treas-secure.state.mi.us/LAFDocSearch/tl41R01.aspx?&amp;lu_id=3147&amp;doc_yr=2016&amp;doc_code=AUD" xr:uid="{CB5CDAA7-1057-4149-A4B7-25D5FEBD02CC}"/>
    <hyperlink ref="E1602" r:id="rId1552" display="https://treas-secure.state.mi.us/LAFDocSearch/tl41R01.aspx?&amp;lu_id=2978&amp;doc_yr=2016&amp;doc_code=AUD" xr:uid="{EBA7B715-CDCB-4D0B-9313-F581D91FD42E}"/>
    <hyperlink ref="E1603" r:id="rId1553" display="https://treas-secure.state.mi.us/LAFDocSearch/tl41R01.aspx?&amp;lu_id=2980&amp;doc_yr=2016&amp;doc_code=AUD" xr:uid="{AF044E39-E1BE-482C-A31A-1445A8114CF2}"/>
    <hyperlink ref="E1604" r:id="rId1554" display="https://treas-secure.state.mi.us/LAFDocSearch/tl41R01.aspx?&amp;lu_id=3183&amp;doc_yr=2016&amp;doc_code=AUD" xr:uid="{18E7BA86-D6E3-4A95-932A-1069D4B5B0FC}"/>
    <hyperlink ref="E1605" r:id="rId1555" display="https://treas-secure.state.mi.us/LAFDocSearch/tl41R01.aspx?&amp;lu_id=2972&amp;doc_yr=2016&amp;doc_code=AUD" xr:uid="{48E44799-B020-4F33-AA0D-C59F1EFC107B}"/>
    <hyperlink ref="E1606" r:id="rId1556" display="https://treas-secure.state.mi.us/LAFDocSearch/tl41R01.aspx?&amp;lu_id=2981&amp;doc_yr=2016&amp;doc_code=AUD" xr:uid="{DB96C2E8-5409-4CCD-B412-553D1C0BEDE4}"/>
    <hyperlink ref="E1607" r:id="rId1557" display="https://treas-secure.state.mi.us/LAFDocSearch/tl41R01.aspx?&amp;lu_id=3034&amp;doc_yr=2016&amp;doc_code=AUD" xr:uid="{5197AD71-83A8-4657-954B-B5A575FD9EE5}"/>
    <hyperlink ref="E1608" r:id="rId1558" display="https://treas-secure.state.mi.us/LAFDocSearch/tl41R01.aspx?&amp;lu_id=7063&amp;doc_yr=2016&amp;doc_code=AUD" xr:uid="{00785456-3889-4A4C-8A0E-F11632CC857C}"/>
    <hyperlink ref="E1609" r:id="rId1559" display="https://treas-secure.state.mi.us/LAFDocSearch/tl41R01.aspx?&amp;lu_id=6058&amp;doc_yr=2016&amp;doc_code=AUD" xr:uid="{3A455A77-60D2-4225-B622-40606734AD4F}"/>
    <hyperlink ref="E1610" r:id="rId1560" display="https://treas-secure.state.mi.us/LAFDocSearch/tl41R01.aspx?&amp;lu_id=7817&amp;doc_yr=2016&amp;doc_code=AUD" xr:uid="{46AF344D-B448-4136-B903-5E2FF6239135}"/>
    <hyperlink ref="E1611" r:id="rId1561" display="https://treas-secure.state.mi.us/LAFDocSearch/tl41R01.aspx?&amp;lu_id=2989&amp;doc_yr=2016&amp;doc_code=AUD" xr:uid="{CAE5CC43-B91E-4C7B-848B-74B20381DA2E}"/>
    <hyperlink ref="E1612" r:id="rId1562" display="https://treas-secure.state.mi.us/LAFDocSearch/tl41R01.aspx?&amp;lu_id=2990&amp;doc_yr=2016&amp;doc_code=AUD" xr:uid="{02979FF3-B400-46EA-87EB-03109C06BB47}"/>
    <hyperlink ref="E1613" r:id="rId1563" display="https://treas-secure.state.mi.us/LAFDocSearch/tl41R01.aspx?&amp;lu_id=3165&amp;doc_yr=2016&amp;doc_code=AUD" xr:uid="{68C7E9FA-39D5-4248-A53D-61DD1EDDA9AF}"/>
    <hyperlink ref="E1614" r:id="rId1564" display="https://treas-secure.state.mi.us/LAFDocSearch/tl41R01.aspx?&amp;lu_id=3179&amp;doc_yr=2016&amp;doc_code=AUD" xr:uid="{59F094AB-F9AD-487A-8AD7-98BC939697AB}"/>
    <hyperlink ref="E1615" r:id="rId1565" display="https://treas-secure.state.mi.us/LAFDocSearch/tl41R01.aspx?&amp;lu_id=2991&amp;doc_yr=2016&amp;doc_code=AUD" xr:uid="{E6AEB723-BB60-4455-9D66-5E7304B5FD33}"/>
    <hyperlink ref="E1616" r:id="rId1566" display="https://treas-secure.state.mi.us/LAFDocSearch/tl41R01.aspx?&amp;lu_id=2982&amp;doc_yr=2016&amp;doc_code=AUD" xr:uid="{272D2FBB-1A6A-46DF-A55C-8A9CF3ECB8B9}"/>
    <hyperlink ref="E1617" r:id="rId1567" display="https://treas-secure.state.mi.us/LAFDocSearch/tl41R01.aspx?&amp;lu_id=5969&amp;doc_yr=2016&amp;doc_code=AUD" xr:uid="{9D407B6D-6A2C-46E2-8E75-27669544C73A}"/>
    <hyperlink ref="E1618" r:id="rId1568" display="https://treas-secure.state.mi.us/LAFDocSearch/tl41R01.aspx?&amp;lu_id=6138&amp;doc_yr=2016&amp;doc_code=AUD" xr:uid="{5229C0A8-D2F0-40FB-8AC2-BD9B8E4D1F16}"/>
    <hyperlink ref="E1619" r:id="rId1569" display="https://treas-secure.state.mi.us/LAFDocSearch/tl41R01.aspx?&amp;lu_id=2992&amp;doc_yr=2016&amp;doc_code=AUD" xr:uid="{D85D0F39-88BD-4C68-B116-A4DB8A7B9C40}"/>
    <hyperlink ref="E1620" r:id="rId1570" display="https://treas-secure.state.mi.us/LAFDocSearch/tl41R01.aspx?&amp;lu_id=2983&amp;doc_yr=2016&amp;doc_code=AUD" xr:uid="{7EF9679A-9C8C-402F-95F2-9053D3EF2471}"/>
    <hyperlink ref="E1621" r:id="rId1571" display="https://treas-secure.state.mi.us/LAFDocSearch/tl41R01.aspx?&amp;lu_id=3160&amp;doc_yr=2016&amp;doc_code=AUD" xr:uid="{79302EDF-64EE-429B-963A-17BF13DB9270}"/>
    <hyperlink ref="E1622" r:id="rId1572" display="https://treas-secure.state.mi.us/LAFDocSearch/tl41R01.aspx?&amp;lu_id=3000&amp;doc_yr=2016&amp;doc_code=AUD" xr:uid="{30B2A872-574B-4CEF-BE0E-D2B58CF9C975}"/>
    <hyperlink ref="E1623" r:id="rId1573" display="https://treas-secure.state.mi.us/LAFDocSearch/tl41R01.aspx?&amp;lu_id=3180&amp;doc_yr=2016&amp;doc_code=AUD" xr:uid="{0CD67831-491F-448E-98CE-156F887D19A4}"/>
    <hyperlink ref="E1624" r:id="rId1574" display="https://treas-secure.state.mi.us/LAFDocSearch/tl41R01.aspx?&amp;lu_id=3155&amp;doc_yr=2016&amp;doc_code=AUD" xr:uid="{4A76E680-91FD-4525-9305-0B408CE96EBF}"/>
    <hyperlink ref="E1625" r:id="rId1575" display="https://treas-secure.state.mi.us/LAFDocSearch/tl41R01.aspx?&amp;lu_id=2993&amp;doc_yr=2016&amp;doc_code=AUD" xr:uid="{73611DF7-CB17-41A5-8F98-05D89975246C}"/>
    <hyperlink ref="E1626" r:id="rId1576" display="https://treas-secure.state.mi.us/LAFDocSearch/tl41R01.aspx?&amp;lu_id=3167&amp;doc_yr=2016&amp;doc_code=AUD" xr:uid="{25DA87F3-4972-495C-80EC-2F6F03C3152E}"/>
    <hyperlink ref="E1627" r:id="rId1577" display="https://treas-secure.state.mi.us/LAFDocSearch/tl41R01.aspx?&amp;lu_id=2984&amp;doc_yr=2016&amp;doc_code=AUD" xr:uid="{2B8546EF-D1D1-413D-BB96-C79B65C599FC}"/>
    <hyperlink ref="E1628" r:id="rId1578" display="https://treas-secure.state.mi.us/LAFDocSearch/tl41R01.aspx?&amp;lu_id=6092&amp;doc_yr=2016&amp;doc_code=AUD" xr:uid="{9292AF59-C426-4FD2-A1EA-CE798D27EC92}"/>
    <hyperlink ref="E1629" r:id="rId1579" display="https://treas-secure.state.mi.us/LAFDocSearch/tl41R01.aspx?&amp;lu_id=3138&amp;doc_yr=2016&amp;doc_code=AUD" xr:uid="{D3CF33E4-5533-4DAB-932A-09B99AC54EF0}"/>
    <hyperlink ref="E1630" r:id="rId1580" display="https://treas-secure.state.mi.us/LAFDocSearch/tl41R01.aspx?&amp;lu_id=7882&amp;doc_yr=2016&amp;doc_code=AUD" xr:uid="{18EF8DA6-1C6B-44A6-8662-6E6D832BDFCE}"/>
    <hyperlink ref="E1631" r:id="rId1581" display="https://treas-secure.state.mi.us/LAFDocSearch/tl41R01.aspx?&amp;lu_id=3153&amp;doc_yr=2016&amp;doc_code=AUD" xr:uid="{EA6358FC-E705-49DA-A112-B9C304665FC9}"/>
    <hyperlink ref="E1632" r:id="rId1582" display="https://treas-secure.state.mi.us/LAFDocSearch/tl41R01.aspx?&amp;lu_id=2994&amp;doc_yr=2016&amp;doc_code=AUD" xr:uid="{B042589F-82F5-442F-B50C-5C112B97511C}"/>
    <hyperlink ref="E1633" r:id="rId1583" display="https://treas-secure.state.mi.us/LAFDocSearch/tl41R01.aspx?&amp;lu_id=3144&amp;doc_yr=2016&amp;doc_code=AUD" xr:uid="{04227398-9E68-4AAD-9E98-F5C089B68D97}"/>
    <hyperlink ref="E1634" r:id="rId1584" display="https://treas-secure.state.mi.us/LAFDocSearch/tl41R01.aspx?&amp;lu_id=3168&amp;doc_yr=2016&amp;doc_code=AUD" xr:uid="{517715F0-5582-47E7-B6EF-D2E0E9D41376}"/>
    <hyperlink ref="E1635" r:id="rId1585" display="https://treas-secure.state.mi.us/LAFDocSearch/tl41R01.aspx?&amp;lu_id=3135&amp;doc_yr=2016&amp;doc_code=AUD" xr:uid="{2C2B1843-9BF9-4443-8B58-E29221DEB731}"/>
    <hyperlink ref="E1636" r:id="rId1586" display="https://treas-secure.state.mi.us/LAFDocSearch/tl41R01.aspx?&amp;lu_id=3161&amp;doc_yr=2016&amp;doc_code=AUD" xr:uid="{6DBBFAAB-C92B-4482-8A74-C5F6E1842560}"/>
    <hyperlink ref="E1637" r:id="rId1587" display="https://treas-secure.state.mi.us/LAFDocSearch/tl41R01.aspx?&amp;lu_id=2995&amp;doc_yr=2016&amp;doc_code=AUD" xr:uid="{0651F67F-4C84-479B-BC64-A100362DF4F7}"/>
    <hyperlink ref="E1638" r:id="rId1588" display="https://treas-secure.state.mi.us/LAFDocSearch/tl41R01.aspx?&amp;lu_id=3163&amp;doc_yr=2016&amp;doc_code=AUD" xr:uid="{EFA126D9-B6C4-4655-B7BB-6D9A7CECB4EE}"/>
    <hyperlink ref="E1639" r:id="rId1589" display="https://treas-secure.state.mi.us/LAFDocSearch/tl41R01.aspx?&amp;lu_id=3184&amp;doc_yr=2016&amp;doc_code=AUD" xr:uid="{BCDCA9E7-76BA-4E43-AD11-F8235CDFB306}"/>
    <hyperlink ref="E1640" r:id="rId1590" display="https://treas-secure.state.mi.us/LAFDocSearch/tl41R01.aspx?&amp;lu_id=2996&amp;doc_yr=2016&amp;doc_code=AUD" xr:uid="{3663541A-215B-466F-94E0-490F22D8EF77}"/>
    <hyperlink ref="E1641" r:id="rId1591" display="https://treas-secure.state.mi.us/LAFDocSearch/tl41R01.aspx?&amp;lu_id=2997&amp;doc_yr=2016&amp;doc_code=AUD" xr:uid="{B2A8960B-88B5-4110-8DA1-FA3E7CD71794}"/>
    <hyperlink ref="E1642" r:id="rId1592" display="https://treas-secure.state.mi.us/LAFDocSearch/tl41R01.aspx?&amp;lu_id=3170&amp;doc_yr=2016&amp;doc_code=AUD" xr:uid="{2926C8A5-3FB6-4ACE-9280-58C54F906DBB}"/>
    <hyperlink ref="E1643" r:id="rId1593" display="https://treas-secure.state.mi.us/LAFDocSearch/tl41R01.aspx?&amp;lu_id=3154&amp;doc_yr=2016&amp;doc_code=AUD" xr:uid="{A53ECC45-D828-4F36-8816-4A4ABE5F9680}"/>
    <hyperlink ref="E1644" r:id="rId1594" display="https://treas-secure.state.mi.us/LAFDocSearch/tl41R01.aspx?&amp;lu_id=2985&amp;doc_yr=2016&amp;doc_code=AUD" xr:uid="{1AE428EA-76BC-4ED2-B1E4-9F3E980F369B}"/>
    <hyperlink ref="E1645" r:id="rId1595" display="https://treas-secure.state.mi.us/LAFDocSearch/tl41R01.aspx?&amp;lu_id=3156&amp;doc_yr=2016&amp;doc_code=AUD" xr:uid="{1747BCEF-820B-4839-A676-11B175045A3F}"/>
    <hyperlink ref="E1647" r:id="rId1596" display="https://treas-secure.state.mi.us/LAFDocSearch/tl41R01.aspx?&amp;lu_id=3200&amp;doc_yr=2016&amp;doc_code=AUD" xr:uid="{EDA9A6D2-3466-4FAA-874D-77E3A61E6C03}"/>
    <hyperlink ref="E1648" r:id="rId1597" display="https://treas-secure.state.mi.us/LAFDocSearch/tl41R01.aspx?&amp;lu_id=3201&amp;doc_yr=2016&amp;doc_code=AUD" xr:uid="{18CBA65F-AD84-4E14-8CB0-387DE3D41303}"/>
    <hyperlink ref="E1649" r:id="rId1598" display="https://treas-secure.state.mi.us/LAFDocSearch/tl41R01.aspx?&amp;lu_id=3215&amp;doc_yr=2016&amp;doc_code=AUD" xr:uid="{DD92F5F5-DAF8-4A52-B39E-6FC4C2F61294}"/>
    <hyperlink ref="E1650" r:id="rId1599" display="https://treas-secure.state.mi.us/LAFDocSearch/tl41R01.aspx?&amp;lu_id=3242&amp;doc_yr=2016&amp;doc_code=AUD" xr:uid="{80ED3EAC-0B94-4D32-AA4C-11C649FE191E}"/>
    <hyperlink ref="E1651" r:id="rId1600" display="https://treas-secure.state.mi.us/LAFDocSearch/tl41R01.aspx?&amp;lu_id=3231&amp;doc_yr=2016&amp;doc_code=AUD" xr:uid="{55D7F54B-B1E5-4A6A-A623-9B2096AEFDFA}"/>
    <hyperlink ref="E1652" r:id="rId1601" display="https://treas-secure.state.mi.us/LAFDocSearch/tl41R01.aspx?&amp;lu_id=3216&amp;doc_yr=2016&amp;doc_code=AUD" xr:uid="{82BC4A5B-4369-4611-8155-DC0DEB538C99}"/>
    <hyperlink ref="E1653" r:id="rId1602" display="https://treas-secure.state.mi.us/LAFDocSearch/tl41R01.aspx?&amp;lu_id=3217&amp;doc_yr=2016&amp;doc_code=AUD" xr:uid="{7717A691-57F7-4009-B23F-3417BAB66FB6}"/>
    <hyperlink ref="E1654" r:id="rId1603" display="https://treas-secure.state.mi.us/LAFDocSearch/tl41R01.aspx?&amp;lu_id=3205&amp;doc_yr=2016&amp;doc_code=AUD" xr:uid="{AC09FDA1-6641-46F2-80AD-1EDEF1898BB6}"/>
    <hyperlink ref="E1655" r:id="rId1604" display="https://treas-secure.state.mi.us/LAFDocSearch/tl41R01.aspx?&amp;lu_id=3214&amp;doc_yr=2016&amp;doc_code=AUD" xr:uid="{E8F30310-E81A-4A38-BA4D-500CE32180D7}"/>
    <hyperlink ref="E1656" r:id="rId1605" display="https://treas-secure.state.mi.us/LAFDocSearch/tl41R01.aspx?&amp;lu_id=3198&amp;doc_yr=2016&amp;doc_code=AUD" xr:uid="{03519308-DB33-47CE-9381-C83EDE5F7226}"/>
    <hyperlink ref="E1657" r:id="rId1606" display="https://treas-secure.state.mi.us/LAFDocSearch/tl41R01.aspx?&amp;lu_id=3206&amp;doc_yr=2016&amp;doc_code=AUD" xr:uid="{1D6F0E4E-422D-462E-814E-D0CB205A386D}"/>
    <hyperlink ref="E1658" r:id="rId1607" display="https://treas-secure.state.mi.us/LAFDocSearch/tl41R01.aspx?&amp;lu_id=3236&amp;doc_yr=2016&amp;doc_code=AUD" xr:uid="{74FEE424-3D3B-4BC3-A139-F975C9A697AF}"/>
    <hyperlink ref="E1659" r:id="rId1608" display="https://treas-secure.state.mi.us/LAFDocSearch/tl41R01.aspx?&amp;lu_id=3233&amp;doc_yr=2016&amp;doc_code=AUD" xr:uid="{A37A6EFD-4EA5-440B-AD23-448C781B6A6C}"/>
    <hyperlink ref="E1660" r:id="rId1609" display="https://treas-secure.state.mi.us/LAFDocSearch/tl41R01.aspx?&amp;lu_id=3199&amp;doc_yr=2016&amp;doc_code=AUD" xr:uid="{2FCD6EAA-8EEE-4E99-AEC9-CDDCBE20F0FF}"/>
    <hyperlink ref="E1661" r:id="rId1610" display="https://treas-secure.state.mi.us/LAFDocSearch/tl41R01.aspx?&amp;lu_id=3234&amp;doc_yr=2016&amp;doc_code=AUD" xr:uid="{7D7C2B44-56D6-426B-B611-750D64B75A28}"/>
    <hyperlink ref="E1662" r:id="rId1611" display="https://treas-secure.state.mi.us/LAFDocSearch/tl41R01.aspx?&amp;lu_id=3243&amp;doc_yr=2016&amp;doc_code=AUD" xr:uid="{C9F06BA9-9996-496E-BB5D-162EEA6DEDF5}"/>
    <hyperlink ref="E1663" r:id="rId1612" display="https://treas-secure.state.mi.us/LAFDocSearch/tl41R01.aspx?&amp;lu_id=3241&amp;doc_yr=2016&amp;doc_code=AUD" xr:uid="{35F5292E-089F-4352-9EAC-FD4DA6606EE5}"/>
    <hyperlink ref="E1664" r:id="rId1613" display="https://treas-secure.state.mi.us/LAFDocSearch/tl41R01.aspx?&amp;lu_id=3240&amp;doc_yr=2016&amp;doc_code=AUD" xr:uid="{6D7977A9-37F4-4408-96EE-746A7C4F367B}"/>
    <hyperlink ref="E1665" r:id="rId1614" display="https://treas-secure.state.mi.us/LAFDocSearch/tl41R01.aspx?&amp;lu_id=3207&amp;doc_yr=2016&amp;doc_code=AUD" xr:uid="{942E6DD6-0C2F-4716-854B-EC89786BB06F}"/>
    <hyperlink ref="E1666" r:id="rId1615" display="https://treas-secure.state.mi.us/LAFDocSearch/tl41R01.aspx?&amp;lu_id=3208&amp;doc_yr=2016&amp;doc_code=AUD" xr:uid="{547666EC-4BC8-492B-B2CC-2407AC4AFC82}"/>
    <hyperlink ref="E1667" r:id="rId1616" display="https://treas-secure.state.mi.us/LAFDocSearch/tl41R01.aspx?&amp;lu_id=3210&amp;doc_yr=2016&amp;doc_code=AUD" xr:uid="{091E8A67-90F3-4636-AEB0-A3D8A0423D45}"/>
    <hyperlink ref="E1668" r:id="rId1617" display="https://treas-secure.state.mi.us/LAFDocSearch/tl41R01.aspx?&amp;lu_id=3219&amp;doc_yr=2016&amp;doc_code=AUD" xr:uid="{4644ADAB-2570-4D16-8BBC-4C15B8C0714C}"/>
    <hyperlink ref="E1669" r:id="rId1618" display="https://treas-secure.state.mi.us/LAFDocSearch/tl41R01.aspx?&amp;lu_id=3212&amp;doc_yr=2016&amp;doc_code=AUD" xr:uid="{8A72568B-9E1D-4537-B2A7-622A2D2D23C0}"/>
    <hyperlink ref="E1670" r:id="rId1619" display="https://treas-secure.state.mi.us/LAFDocSearch/tl41R01.aspx?&amp;lu_id=3237&amp;doc_yr=2016&amp;doc_code=AUD" xr:uid="{043170A7-4C67-4E33-ADB7-84BB04BB6F3F}"/>
    <hyperlink ref="E1672" r:id="rId1620" display="https://treas-secure.state.mi.us/LAFDocSearch/tl41R01.aspx?&amp;lu_id=3248&amp;doc_yr=2016&amp;doc_code=AUD" xr:uid="{20F69805-609B-482D-ACE2-6409AB789693}"/>
    <hyperlink ref="E1673" r:id="rId1621" display="https://treas-secure.state.mi.us/LAFDocSearch/tl41R01.aspx?&amp;lu_id=3249&amp;doc_yr=2016&amp;doc_code=AUD" xr:uid="{98032517-FF7A-41BA-B484-54466E94F010}"/>
    <hyperlink ref="E1674" r:id="rId1622" display="https://treas-secure.state.mi.us/LAFDocSearch/tl41R01.aspx?&amp;lu_id=3251&amp;doc_yr=2016&amp;doc_code=AUD" xr:uid="{19F9FA74-8B80-4699-A78C-DCC13AD94F66}"/>
    <hyperlink ref="E1675" r:id="rId1623" display="https://treas-secure.state.mi.us/LAFDocSearch/tl41R01.aspx?&amp;lu_id=7068&amp;doc_yr=2016&amp;doc_code=AUD" xr:uid="{5B90AB43-99EE-43CF-BD9C-8F0C8F689F90}"/>
    <hyperlink ref="E1676" r:id="rId1624" display="https://treas-secure.state.mi.us/LAFDocSearch/tl41R01.aspx?&amp;lu_id=3266&amp;doc_yr=2016&amp;doc_code=AUD" xr:uid="{7C58E0C8-B96F-43BF-ACF6-3FE2CBF2D53F}"/>
    <hyperlink ref="E1677" r:id="rId1625" display="https://treas-secure.state.mi.us/LAFDocSearch/tl41R01.aspx?&amp;lu_id=3253&amp;doc_yr=2016&amp;doc_code=AUD" xr:uid="{F7273B73-38CE-418C-A9B3-7BE225A6C975}"/>
    <hyperlink ref="E1678" r:id="rId1626" display="https://treas-secure.state.mi.us/LAFDocSearch/tl41R01.aspx?&amp;lu_id=3300&amp;doc_yr=2016&amp;doc_code=AUD" xr:uid="{486335D8-4F5E-4DB6-BFC5-C39884421EE4}"/>
    <hyperlink ref="E1679" r:id="rId1627" display="https://treas-secure.state.mi.us/LAFDocSearch/tl41R01.aspx?&amp;lu_id=3302&amp;doc_yr=2016&amp;doc_code=AUD" xr:uid="{BFF7771E-14EC-4652-B86F-3AFDFBCCB937}"/>
    <hyperlink ref="E1680" r:id="rId1628" display="https://treas-secure.state.mi.us/LAFDocSearch/tl41R01.aspx?&amp;lu_id=3267&amp;doc_yr=2016&amp;doc_code=AUD" xr:uid="{C7264B7D-8F9E-47A5-98AF-857BB8BD164D}"/>
    <hyperlink ref="E1681" r:id="rId1629" display="https://treas-secure.state.mi.us/LAFDocSearch/tl41R01.aspx?&amp;lu_id=3245&amp;doc_yr=2016&amp;doc_code=AUD" xr:uid="{861D711F-FF6E-4D36-9E3E-6A66B86920AE}"/>
    <hyperlink ref="E1682" r:id="rId1630" display="https://treas-secure.state.mi.us/LAFDocSearch/tl41R01.aspx?&amp;lu_id=3297&amp;doc_yr=2016&amp;doc_code=AUD" xr:uid="{CDB741AE-5C42-4352-ADF4-C9596BB8B2AF}"/>
    <hyperlink ref="E1683" r:id="rId1631" display="https://treas-secure.state.mi.us/LAFDocSearch/tl41R01.aspx?&amp;lu_id=3254&amp;doc_yr=2016&amp;doc_code=AUD" xr:uid="{270FF4FB-6586-4FEA-B2AB-65803388001A}"/>
    <hyperlink ref="E1684" r:id="rId1632" display="https://treas-secure.state.mi.us/LAFDocSearch/tl41R01.aspx?&amp;lu_id=3295&amp;doc_yr=2016&amp;doc_code=AUD" xr:uid="{9301B63A-D341-4CBC-A1D9-3AB6478593EC}"/>
    <hyperlink ref="E1685" r:id="rId1633" display="https://treas-secure.state.mi.us/LAFDocSearch/tl41R01.aspx?&amp;lu_id=3296&amp;doc_yr=2016&amp;doc_code=AUD" xr:uid="{0B754A5A-A34A-48FB-8511-A3C77F50B05E}"/>
    <hyperlink ref="E1686" r:id="rId1634" display="https://treas-secure.state.mi.us/LAFDocSearch/tl41R01.aspx?&amp;lu_id=3298&amp;doc_yr=2016&amp;doc_code=AUD" xr:uid="{B47BCDFD-E433-4B5A-80EB-315F8AFA8854}"/>
    <hyperlink ref="E1687" r:id="rId1635" display="https://treas-secure.state.mi.us/LAFDocSearch/tl41R01.aspx?&amp;lu_id=3246&amp;doc_yr=2016&amp;doc_code=AUD" xr:uid="{7144C660-61C8-45AD-880D-44F1354E89B9}"/>
    <hyperlink ref="E1688" r:id="rId1636" display="https://treas-secure.state.mi.us/LAFDocSearch/tl41R01.aspx?&amp;lu_id=3286&amp;doc_yr=2016&amp;doc_code=AUD" xr:uid="{96994825-3F4D-4D4F-8D23-BA09DD41D463}"/>
    <hyperlink ref="E1689" r:id="rId1637" display="https://treas-secure.state.mi.us/LAFDocSearch/tl41R01.aspx?&amp;lu_id=3294&amp;doc_yr=2016&amp;doc_code=AUD" xr:uid="{0A23BF8F-8ADB-43BD-9E22-FE1B495D95D5}"/>
    <hyperlink ref="E1690" r:id="rId1638" display="https://treas-secure.state.mi.us/LAFDocSearch/tl41R01.aspx?&amp;lu_id=3299&amp;doc_yr=2016&amp;doc_code=AUD" xr:uid="{805363BA-9676-46FF-9BAD-E6E68312E431}"/>
    <hyperlink ref="E1691" r:id="rId1639" display="https://treas-secure.state.mi.us/LAFDocSearch/tl41R01.aspx?&amp;lu_id=3268&amp;doc_yr=2016&amp;doc_code=AUD" xr:uid="{80937C86-A48D-4801-AAD2-4D960BA72B43}"/>
    <hyperlink ref="E1692" r:id="rId1640" display="https://treas-secure.state.mi.us/LAFDocSearch/tl41R01.aspx?&amp;lu_id=3256&amp;doc_yr=2016&amp;doc_code=AUD" xr:uid="{5459EAEA-519B-467F-B148-6E4A5BEC6CBA}"/>
    <hyperlink ref="E1693" r:id="rId1641" display="https://treas-secure.state.mi.us/LAFDocSearch/tl41R01.aspx?&amp;lu_id=3301&amp;doc_yr=2016&amp;doc_code=AUD" xr:uid="{58EAC613-2532-4905-90B6-95B6E6998A44}"/>
    <hyperlink ref="E1694" r:id="rId1642" display="https://treas-secure.state.mi.us/LAFDocSearch/tl41R01.aspx?&amp;lu_id=3305&amp;doc_yr=2016&amp;doc_code=AUD" xr:uid="{0390AB17-BE68-476E-982A-9C751A87C142}"/>
    <hyperlink ref="E1695" r:id="rId1643" display="https://treas-secure.state.mi.us/LAFDocSearch/tl41R01.aspx?&amp;lu_id=3309&amp;doc_yr=2016&amp;doc_code=AUD" xr:uid="{75901588-3224-46FD-9E77-C4F81C2540FA}"/>
    <hyperlink ref="E1696" r:id="rId1644" display="https://treas-secure.state.mi.us/LAFDocSearch/tl41R01.aspx?&amp;lu_id=7556&amp;doc_yr=2016&amp;doc_code=AUD" xr:uid="{80BFA491-BCCB-4B29-B01A-2DE8AAD25FFF}"/>
    <hyperlink ref="E1697" r:id="rId1645" display="https://treas-secure.state.mi.us/LAFDocSearch/tl41R01.aspx?&amp;lu_id=3293&amp;doc_yr=2016&amp;doc_code=AUD" xr:uid="{82402DE8-37B9-41F9-A269-D3EB789354D4}"/>
    <hyperlink ref="E1698" r:id="rId1646" display="https://treas-secure.state.mi.us/LAFDocSearch/tl41R01.aspx?&amp;lu_id=3306&amp;doc_yr=2016&amp;doc_code=AUD" xr:uid="{6211F185-FB21-45C0-9BA2-8778B193EB7C}"/>
    <hyperlink ref="E1699" r:id="rId1647" display="https://treas-secure.state.mi.us/LAFDocSearch/tl41R01.aspx?&amp;lu_id=3257&amp;doc_yr=2016&amp;doc_code=AUD" xr:uid="{C4F1F5D8-A348-47BC-81ED-6AAF3097663F}"/>
    <hyperlink ref="E1700" r:id="rId1648" display="https://treas-secure.state.mi.us/LAFDocSearch/tl41R01.aspx?&amp;lu_id=3258&amp;doc_yr=2016&amp;doc_code=AUD" xr:uid="{13BE9A75-FF69-4EB6-A44E-BF2314E61EC5}"/>
    <hyperlink ref="E1701" r:id="rId1649" display="https://treas-secure.state.mi.us/LAFDocSearch/tl41R01.aspx?&amp;lu_id=3259&amp;doc_yr=2016&amp;doc_code=AUD" xr:uid="{4D08F1D4-3D43-4851-93CF-C42F68F24D8A}"/>
    <hyperlink ref="E1702" r:id="rId1650" display="https://treas-secure.state.mi.us/LAFDocSearch/tl41R01.aspx?&amp;lu_id=3260&amp;doc_yr=2016&amp;doc_code=AUD" xr:uid="{FB42DCA2-F4B4-4F52-8BF1-CC4AA55920DC}"/>
    <hyperlink ref="E1703" r:id="rId1651" display="https://treas-secure.state.mi.us/LAFDocSearch/tl41R01.aspx?&amp;lu_id=6151&amp;doc_yr=2016&amp;doc_code=AUD" xr:uid="{D9932AE9-BD27-4BDE-BB6B-31CD8359D12C}"/>
    <hyperlink ref="E1704" r:id="rId1652" display="https://treas-secure.state.mi.us/LAFDocSearch/tl41R01.aspx?&amp;lu_id=3290&amp;doc_yr=2016&amp;doc_code=AUD" xr:uid="{B0370267-B1EA-4D0D-AF69-16540DF1E66B}"/>
    <hyperlink ref="E1705" r:id="rId1653" display="https://treas-secure.state.mi.us/LAFDocSearch/tl41R01.aspx?&amp;lu_id=3308&amp;doc_yr=2016&amp;doc_code=AUD" xr:uid="{026F108B-2735-40DF-9835-9D54C4A1E8CF}"/>
    <hyperlink ref="E1706" r:id="rId1654" display="https://treas-secure.state.mi.us/LAFDocSearch/tl41R01.aspx?&amp;lu_id=3262&amp;doc_yr=2016&amp;doc_code=AUD" xr:uid="{830B49CF-0C39-43FF-ADC7-06DA5AABCE84}"/>
    <hyperlink ref="E1707" r:id="rId1655" display="https://treas-secure.state.mi.us/LAFDocSearch/tl41R01.aspx?&amp;lu_id=3263&amp;doc_yr=2016&amp;doc_code=AUD" xr:uid="{8CECE16F-E5CE-4DF2-9956-F59F41B2DFB4}"/>
    <hyperlink ref="E1708" r:id="rId1656" display="https://treas-secure.state.mi.us/LAFDocSearch/tl41R01.aspx?&amp;lu_id=3307&amp;doc_yr=2016&amp;doc_code=AUD" xr:uid="{5AFACAC7-4EE9-4A9E-BA22-94A5EDE4165A}"/>
    <hyperlink ref="E1709" r:id="rId1657" display="https://treas-secure.state.mi.us/LAFDocSearch/tl41R01.aspx?&amp;lu_id=3303&amp;doc_yr=2016&amp;doc_code=AUD" xr:uid="{98475B12-CE5C-4889-BB7C-162CB0368138}"/>
    <hyperlink ref="E1710" r:id="rId1658" display="https://treas-secure.state.mi.us/LAFDocSearch/tl41R01.aspx?&amp;lu_id=3264&amp;doc_yr=2016&amp;doc_code=AUD" xr:uid="{F3512222-F642-4795-8AAF-556B9230D758}"/>
    <hyperlink ref="E1711" r:id="rId1659" display="https://treas-secure.state.mi.us/LAFDocSearch/tl41R01.aspx?&amp;lu_id=6002&amp;doc_yr=2016&amp;doc_code=AUD" xr:uid="{C0C98FEB-C13E-4136-A0A0-2AFA08FEF9D4}"/>
    <hyperlink ref="E1713" r:id="rId1660" display="https://treas-secure.state.mi.us/LAFDocSearch/tl41R01.aspx?&amp;lu_id=3319&amp;doc_yr=2016&amp;doc_code=AUD" xr:uid="{FBEF5D63-055C-4AE2-BD46-0A320F6758BC}"/>
    <hyperlink ref="E1714" r:id="rId1661" display="https://treas-secure.state.mi.us/LAFDocSearch/tl41R01.aspx?&amp;lu_id=3320&amp;doc_yr=2016&amp;doc_code=AUD" xr:uid="{C70BB319-283C-4206-AF59-A927B08A41BD}"/>
    <hyperlink ref="E1715" r:id="rId1662" display="https://treas-secure.state.mi.us/LAFDocSearch/tl41R01.aspx?&amp;lu_id=3335&amp;doc_yr=2016&amp;doc_code=AUD" xr:uid="{61ABDD75-07BC-44B2-B367-EAD761E75FAB}"/>
    <hyperlink ref="E1716" r:id="rId1663" display="https://treas-secure.state.mi.us/LAFDocSearch/tl41R01.aspx?&amp;lu_id=3321&amp;doc_yr=2016&amp;doc_code=AUD" xr:uid="{6FD76CD1-FFB9-44BD-A7D3-C5F7D598CFF1}"/>
    <hyperlink ref="E1717" r:id="rId1664" display="https://treas-secure.state.mi.us/LAFDocSearch/tl41R01.aspx?&amp;lu_id=3322&amp;doc_yr=2016&amp;doc_code=AUD" xr:uid="{52186513-D755-4BC8-B970-88B237A01DBF}"/>
    <hyperlink ref="E1718" r:id="rId1665" display="https://treas-secure.state.mi.us/LAFDocSearch/tl41R01.aspx?&amp;lu_id=3323&amp;doc_yr=2016&amp;doc_code=AUD" xr:uid="{64A2979F-8AB6-4323-BF42-CD89FED2C99E}"/>
    <hyperlink ref="E1719" r:id="rId1666" display="https://treas-secure.state.mi.us/LAFDocSearch/tl41R01.aspx?&amp;lu_id=3324&amp;doc_yr=2016&amp;doc_code=AUD" xr:uid="{A990576A-005A-44A5-9471-B8C78B89B66A}"/>
    <hyperlink ref="E1720" r:id="rId1667" display="https://treas-secure.state.mi.us/LAFDocSearch/tl41R01.aspx?&amp;lu_id=3333&amp;doc_yr=2016&amp;doc_code=AUD" xr:uid="{792527DD-A060-47D1-9E4B-91737A8CF788}"/>
    <hyperlink ref="E1721" r:id="rId1668" display="https://treas-secure.state.mi.us/LAFDocSearch/tl41R01.aspx?&amp;lu_id=3348&amp;doc_yr=2016&amp;doc_code=AUD" xr:uid="{807EF9F0-D54C-4A00-BC5F-E6813E8BBB97}"/>
    <hyperlink ref="E1722" r:id="rId1669" display="https://treas-secure.state.mi.us/LAFDocSearch/tl41R01.aspx?&amp;lu_id=3316&amp;doc_yr=2016&amp;doc_code=AUD" xr:uid="{44398FD5-2496-462F-9724-9965B6331A85}"/>
    <hyperlink ref="E1723" r:id="rId1670" display="https://treas-secure.state.mi.us/LAFDocSearch/tl41R01.aspx?&amp;lu_id=3317&amp;doc_yr=2016&amp;doc_code=AUD" xr:uid="{E10C66B4-F8CE-4701-BFA7-B639A9C1BFAB}"/>
    <hyperlink ref="E1724" r:id="rId1671" display="https://treas-secure.state.mi.us/LAFDocSearch/tl41R01.aspx?&amp;lu_id=3351&amp;doc_yr=2016&amp;doc_code=AUD" xr:uid="{10A7D9AF-D46F-40B7-BC5A-1DEEBC0CBBA3}"/>
    <hyperlink ref="E1725" r:id="rId1672" display="https://treas-secure.state.mi.us/LAFDocSearch/tl41R01.aspx?&amp;lu_id=6007&amp;doc_yr=2016&amp;doc_code=AUD" xr:uid="{0D963E3F-2A1F-4AB0-9A20-32C96371892B}"/>
    <hyperlink ref="E1726" r:id="rId1673" display="https://treas-secure.state.mi.us/LAFDocSearch/tl41R01.aspx?&amp;lu_id=3326&amp;doc_yr=2016&amp;doc_code=AUD" xr:uid="{E25CEF2C-093D-4E07-A069-3061E0E174AD}"/>
    <hyperlink ref="E1727" r:id="rId1674" display="https://treas-secure.state.mi.us/LAFDocSearch/tl41R01.aspx?&amp;lu_id=3327&amp;doc_yr=2016&amp;doc_code=AUD" xr:uid="{8C30E4E2-5AA0-4871-8B05-36771A81FACA}"/>
    <hyperlink ref="E1728" r:id="rId1675" display="https://treas-secure.state.mi.us/LAFDocSearch/tl41R01.aspx?&amp;lu_id=3328&amp;doc_yr=2016&amp;doc_code=AUD" xr:uid="{58F8690F-549F-4B48-974B-133AAD6F58E6}"/>
    <hyperlink ref="E1729" r:id="rId1676" display="https://treas-secure.state.mi.us/LAFDocSearch/tl41R01.aspx?&amp;lu_id=3334&amp;doc_yr=2016&amp;doc_code=AUD" xr:uid="{7362949E-9AE6-4DC1-93F8-F9FAAEE0610B}"/>
    <hyperlink ref="E1730" r:id="rId1677" display="https://treas-secure.state.mi.us/LAFDocSearch/tl41R01.aspx?&amp;lu_id=3330&amp;doc_yr=2016&amp;doc_code=AUD" xr:uid="{94ECE2E5-8B3C-40E7-A7BF-969F3660E8A5}"/>
    <hyperlink ref="E1731" r:id="rId1678" display="https://treas-secure.state.mi.us/LAFDocSearch/tl41R01.aspx?&amp;lu_id=3350&amp;doc_yr=2016&amp;doc_code=AUD" xr:uid="{AC31E725-79D7-4A03-AD2D-BB6582DE4C97}"/>
    <hyperlink ref="E1732" r:id="rId1679" display="https://treas-secure.state.mi.us/LAFDocSearch/tl41R01.aspx?&amp;lu_id=3347&amp;doc_yr=2016&amp;doc_code=AUD" xr:uid="{00991E0D-D643-4073-BAEF-4FBE6A5FE248}"/>
    <hyperlink ref="E1734" r:id="rId1680" display="https://treas-secure.state.mi.us/LAFDocSearch/tl41R01.aspx?&amp;lu_id=3359&amp;doc_yr=2016&amp;doc_code=AUD" xr:uid="{675D29E7-FADB-4DF5-A086-45F3D201B80A}"/>
    <hyperlink ref="E1735" r:id="rId1681" display="https://treas-secure.state.mi.us/LAFDocSearch/tl41R01.aspx?&amp;lu_id=3375&amp;doc_yr=2016&amp;doc_code=AUD" xr:uid="{34578217-7C27-4278-B773-55DD7331760E}"/>
    <hyperlink ref="E1736" r:id="rId1682" display="https://treas-secure.state.mi.us/LAFDocSearch/tl41R01.aspx?&amp;lu_id=3374&amp;doc_yr=2016&amp;doc_code=AUD" xr:uid="{DEBBB0B7-5672-45BB-A99F-97778CB1C223}"/>
    <hyperlink ref="E1737" r:id="rId1683" display="https://treas-secure.state.mi.us/LAFDocSearch/tl41R01.aspx?&amp;lu_id=3360&amp;doc_yr=2016&amp;doc_code=AUD" xr:uid="{B37D9DBE-2016-46F7-BE9A-6624B9BEBD7A}"/>
    <hyperlink ref="E1738" r:id="rId1684" display="https://treas-secure.state.mi.us/LAFDocSearch/tl41R01.aspx?&amp;lu_id=3391&amp;doc_yr=2016&amp;doc_code=AUD" xr:uid="{9371F8B0-2A31-4932-80F1-172DC088F37F}"/>
    <hyperlink ref="E1739" r:id="rId1685" display="https://treas-secure.state.mi.us/LAFDocSearch/tl41R01.aspx?&amp;lu_id=3361&amp;doc_yr=2016&amp;doc_code=AUD" xr:uid="{9FC15021-7955-4A46-AAFE-AE989C12EAC1}"/>
    <hyperlink ref="E1740" r:id="rId1686" display="https://treas-secure.state.mi.us/LAFDocSearch/tl41R01.aspx?&amp;lu_id=3390&amp;doc_yr=2016&amp;doc_code=AUD" xr:uid="{06FBDEE4-F72B-49AA-AAE6-005F4CFBDCBB}"/>
    <hyperlink ref="E1741" r:id="rId1687" display="https://treas-secure.state.mi.us/LAFDocSearch/tl41R01.aspx?&amp;lu_id=3362&amp;doc_yr=2016&amp;doc_code=AUD" xr:uid="{1DE96623-2804-4331-B23C-B7A36F63517A}"/>
    <hyperlink ref="E1742" r:id="rId1688" display="https://treas-secure.state.mi.us/LAFDocSearch/tl41R01.aspx?&amp;lu_id=3363&amp;doc_yr=2016&amp;doc_code=AUD" xr:uid="{A4B6078D-DC49-4C02-8E4C-2536D9343244}"/>
    <hyperlink ref="E1743" r:id="rId1689" display="https://treas-secure.state.mi.us/LAFDocSearch/tl41R01.aspx?&amp;lu_id=3364&amp;doc_yr=2016&amp;doc_code=AUD" xr:uid="{9805A5D8-29AA-4DD9-A6AB-FE11F67929DA}"/>
    <hyperlink ref="E1744" r:id="rId1690" display="https://treas-secure.state.mi.us/LAFDocSearch/tl41R01.aspx?&amp;lu_id=3366&amp;doc_yr=2016&amp;doc_code=AUD" xr:uid="{090BA40E-6059-4DAA-9A9E-F8229AAFE01C}"/>
    <hyperlink ref="E1745" r:id="rId1691" display="https://treas-secure.state.mi.us/LAFDocSearch/tl41R01.aspx?&amp;lu_id=3397&amp;doc_yr=2016&amp;doc_code=AUD" xr:uid="{63E4D0DE-EA7F-4B7A-ACAB-93E718B436B0}"/>
    <hyperlink ref="E1746" r:id="rId1692" display="https://treas-secure.state.mi.us/LAFDocSearch/tl41R01.aspx?&amp;lu_id=3356&amp;doc_yr=2016&amp;doc_code=AUD" xr:uid="{BCCAE575-FC0C-42D9-8D23-4748D836F737}"/>
    <hyperlink ref="E1747" r:id="rId1693" display="https://treas-secure.state.mi.us/LAFDocSearch/tl41R01.aspx?&amp;lu_id=3369&amp;doc_yr=2016&amp;doc_code=AUD" xr:uid="{16D3EFD9-4BCD-497A-A564-252C632D18FE}"/>
    <hyperlink ref="E1748" r:id="rId1694" display="https://treas-secure.state.mi.us/LAFDocSearch/tl41R01.aspx?&amp;lu_id=3376&amp;doc_yr=2016&amp;doc_code=AUD" xr:uid="{81993721-3D52-4561-A983-973E46B87249}"/>
    <hyperlink ref="E1749" r:id="rId1695" display="https://treas-secure.state.mi.us/LAFDocSearch/tl41R01.aspx?&amp;lu_id=3357&amp;doc_yr=2016&amp;doc_code=AUD" xr:uid="{3F3EDAC3-7121-4D9F-AC8F-692BE816DE9C}"/>
    <hyperlink ref="E1750" r:id="rId1696" display="https://treas-secure.state.mi.us/LAFDocSearch/tl41R01.aspx?&amp;lu_id=3394&amp;doc_yr=2016&amp;doc_code=AUD" xr:uid="{3013DEEA-B9CA-4A5D-BABE-449DCD5708F0}"/>
    <hyperlink ref="E1751" r:id="rId1697" display="https://treas-secure.state.mi.us/LAFDocSearch/tl41R01.aspx?&amp;lu_id=3370&amp;doc_yr=2016&amp;doc_code=AUD" xr:uid="{EC9450D5-0F58-43A9-A793-29C4FCFE1096}"/>
    <hyperlink ref="E1752" r:id="rId1698" display="https://treas-secure.state.mi.us/LAFDocSearch/tl41R01.aspx?&amp;lu_id=3392&amp;doc_yr=2016&amp;doc_code=AUD" xr:uid="{57CD1D7E-1CB2-4206-A089-F71F102C5247}"/>
    <hyperlink ref="E1753" r:id="rId1699" display="https://treas-secure.state.mi.us/LAFDocSearch/tl41R01.aspx?&amp;lu_id=3398&amp;doc_yr=2016&amp;doc_code=AUD" xr:uid="{990C45D8-57B7-4359-A5E6-BFA86D29C62A}"/>
    <hyperlink ref="E1754" r:id="rId1700" display="https://treas-secure.state.mi.us/LAFDocSearch/tl41R01.aspx?&amp;lu_id=3371&amp;doc_yr=2016&amp;doc_code=AUD" xr:uid="{FC0DC09B-824E-43A3-8128-CDE08D096DB8}"/>
    <hyperlink ref="E1755" r:id="rId1701" display="https://treas-secure.state.mi.us/LAFDocSearch/tl41R01.aspx?&amp;lu_id=3372&amp;doc_yr=2016&amp;doc_code=AUD" xr:uid="{994133D0-8337-4946-A22B-B43139C00EE2}"/>
    <hyperlink ref="E1756" r:id="rId1702" display="https://treas-secure.state.mi.us/LAFDocSearch/tl41R01.aspx?&amp;lu_id=3378&amp;doc_yr=2016&amp;doc_code=AUD" xr:uid="{378853CB-A56A-4235-B275-ACBD4899D694}"/>
    <hyperlink ref="E1757" r:id="rId1703" display="https://treas-secure.state.mi.us/LAFDocSearch/tl41R01.aspx?&amp;lu_id=3395&amp;doc_yr=2016&amp;doc_code=AUD" xr:uid="{5CDF66CE-1B56-4004-ABF0-7142F152266E}"/>
    <hyperlink ref="E1759" r:id="rId1704" display="https://treas-secure.state.mi.us/LAFDocSearch/tl41R01.aspx?&amp;lu_id=3409&amp;doc_yr=2016&amp;doc_code=AUD" xr:uid="{39749064-1FFB-4830-A090-CE6517C2DC02}"/>
    <hyperlink ref="E1760" r:id="rId1705" display="https://treas-secure.state.mi.us/LAFDocSearch/tl41R01.aspx?&amp;lu_id=3411&amp;doc_yr=2016&amp;doc_code=AUD" xr:uid="{6C388600-CDA1-488B-A4A2-7E9919F7BCE1}"/>
    <hyperlink ref="E1761" r:id="rId1706" display="https://treas-secure.state.mi.us/LAFDocSearch/tl41R01.aspx?&amp;lu_id=3412&amp;doc_yr=2016&amp;doc_code=AUD" xr:uid="{9A9C7EEC-4ED9-498B-98AD-B296B38B13DD}"/>
    <hyperlink ref="E1762" r:id="rId1707" display="https://treas-secure.state.mi.us/LAFDocSearch/tl41R01.aspx?&amp;lu_id=3443&amp;doc_yr=2016&amp;doc_code=AUD" xr:uid="{3275382D-9A46-4C74-BCCF-393586E8AC8D}"/>
    <hyperlink ref="E1763" r:id="rId1708" display="https://treas-secure.state.mi.us/LAFDocSearch/tl41R01.aspx?&amp;lu_id=3413&amp;doc_yr=2016&amp;doc_code=AUD" xr:uid="{AAA562EB-F3EE-487C-938D-B128C77B5C43}"/>
    <hyperlink ref="E1764" r:id="rId1709" display="https://treas-secure.state.mi.us/LAFDocSearch/tl41R01.aspx?&amp;lu_id=3414&amp;doc_yr=2016&amp;doc_code=AUD" xr:uid="{C09024A3-F242-439C-BA2C-D9675260AED7}"/>
    <hyperlink ref="E1765" r:id="rId1710" display="https://treas-secure.state.mi.us/LAFDocSearch/tl41R01.aspx?&amp;lu_id=3422&amp;doc_yr=2016&amp;doc_code=AUD" xr:uid="{B63EE41A-3AC1-4918-8E5F-0F7459329B38}"/>
    <hyperlink ref="E1766" r:id="rId1711" display="https://treas-secure.state.mi.us/LAFDocSearch/tl41R01.aspx?&amp;lu_id=3406&amp;doc_yr=2016&amp;doc_code=AUD" xr:uid="{1AF64831-BE93-4C86-AB4D-D6F52BD0BB32}"/>
    <hyperlink ref="E1767" r:id="rId1712" display="https://treas-secure.state.mi.us/LAFDocSearch/tl41R01.aspx?&amp;lu_id=3417&amp;doc_yr=2016&amp;doc_code=AUD" xr:uid="{00B58BB0-6D53-425F-9C81-2685FA57D012}"/>
    <hyperlink ref="E1768" r:id="rId1713" display="https://treas-secure.state.mi.us/LAFDocSearch/tl41R01.aspx?&amp;lu_id=3440&amp;doc_yr=2016&amp;doc_code=AUD" xr:uid="{34E7883C-59B1-4D84-A144-4D88C0A3E8AC}"/>
    <hyperlink ref="E1769" r:id="rId1714" display="https://treas-secure.state.mi.us/LAFDocSearch/tl41R01.aspx?&amp;lu_id=3441&amp;doc_yr=2016&amp;doc_code=AUD" xr:uid="{C5DDAE46-5F19-48CF-BDD2-273F3237B35D}"/>
    <hyperlink ref="E1770" r:id="rId1715" display="https://treas-secure.state.mi.us/LAFDocSearch/tl41R01.aspx?&amp;lu_id=3444&amp;doc_yr=2016&amp;doc_code=AUD" xr:uid="{255694BA-C3E3-429F-B597-4AF006352AE0}"/>
    <hyperlink ref="E1771" r:id="rId1716" display="https://treas-secure.state.mi.us/LAFDocSearch/tl41R01.aspx?&amp;lu_id=3407&amp;doc_yr=2016&amp;doc_code=AUD" xr:uid="{06F962CC-A037-4833-94D0-B15A6ACCC020}"/>
    <hyperlink ref="E1772" r:id="rId1717" display="https://treas-secure.state.mi.us/LAFDocSearch/tl41R01.aspx?&amp;lu_id=3418&amp;doc_yr=2016&amp;doc_code=AUD" xr:uid="{45B38F8C-1733-4CF5-847D-608E8A0A13A3}"/>
    <hyperlink ref="E1773" r:id="rId1718" display="https://treas-secure.state.mi.us/LAFDocSearch/tl41R01.aspx?&amp;lu_id=3419&amp;doc_yr=2016&amp;doc_code=AUD" xr:uid="{74FE3D49-F810-4AAE-8B57-D5619541096F}"/>
    <hyperlink ref="E1774" r:id="rId1719" display="https://treas-secure.state.mi.us/LAFDocSearch/tl41R01.aspx?&amp;lu_id=3439&amp;doc_yr=2016&amp;doc_code=AUD" xr:uid="{8700932C-2474-4211-B5CA-D176A732396E}"/>
    <hyperlink ref="E1775" r:id="rId1720" display="https://treas-secure.state.mi.us/LAFDocSearch/tl41R01.aspx?&amp;lu_id=3426&amp;doc_yr=2016&amp;doc_code=AUD" xr:uid="{ABD34C6C-5318-4378-BA8F-3CD48CCEE788}"/>
    <hyperlink ref="E1776" r:id="rId1721" display="https://treas-secure.state.mi.us/LAFDocSearch/tl41R01.aspx?&amp;lu_id=3435&amp;doc_yr=2016&amp;doc_code=AUD" xr:uid="{F1CB7B9A-CDFF-4CDC-B41F-88D8FD7892B2}"/>
    <hyperlink ref="E1777" r:id="rId1722" display="https://treas-secure.state.mi.us/LAFDocSearch/tl41R01.aspx?&amp;lu_id=3420&amp;doc_yr=2016&amp;doc_code=AUD" xr:uid="{2C6B00C6-7FB3-4EEC-B98A-FB712884666A}"/>
    <hyperlink ref="E1778" r:id="rId1723" display="https://treas-secure.state.mi.us/LAFDocSearch/tl41R01.aspx?&amp;lu_id=3423&amp;doc_yr=2016&amp;doc_code=AUD" xr:uid="{EC6509A4-52FE-4EA9-9A9E-68AEFFEAAC72}"/>
    <hyperlink ref="E1780" r:id="rId1724" display="https://treas-secure.state.mi.us/LAFDocSearch/tl41R01.aspx?&amp;lu_id=3467&amp;doc_yr=2016&amp;doc_code=AUD" xr:uid="{DD04BF56-261F-4C1D-9D49-9C6CE414AF45}"/>
    <hyperlink ref="E1781" r:id="rId1725" display="https://treas-secure.state.mi.us/LAFDocSearch/tl41R01.aspx?&amp;lu_id=3483&amp;doc_yr=2016&amp;doc_code=AUD" xr:uid="{FC1CB42B-4779-47D2-85CD-6EB67732FC01}"/>
    <hyperlink ref="E1782" r:id="rId1726" display="https://treas-secure.state.mi.us/LAFDocSearch/tl41R01.aspx?&amp;lu_id=3489&amp;doc_yr=2016&amp;doc_code=AUD" xr:uid="{2E2D1A56-9192-4D6B-8463-3E84FD02D6D6}"/>
    <hyperlink ref="E1783" r:id="rId1727" display="https://treas-secure.state.mi.us/LAFDocSearch/tl41R01.aspx?&amp;lu_id=3451&amp;doc_yr=2016&amp;doc_code=AUD" xr:uid="{431F0883-EB3A-4A82-8849-886A965B350D}"/>
    <hyperlink ref="E1784" r:id="rId1728" display="https://treas-secure.state.mi.us/LAFDocSearch/tl41R01.aspx?&amp;lu_id=3452&amp;doc_yr=2016&amp;doc_code=AUD" xr:uid="{CA159BC7-12D7-46FA-ABFA-22C248F57827}"/>
    <hyperlink ref="E1785" r:id="rId1729" display="https://treas-secure.state.mi.us/LAFDocSearch/tl41R01.aspx?&amp;lu_id=3453&amp;doc_yr=2016&amp;doc_code=AUD" xr:uid="{4F767B34-D3B0-404D-BDEA-4F7B860CAE8C}"/>
    <hyperlink ref="E1786" r:id="rId1730" display="https://treas-secure.state.mi.us/LAFDocSearch/tl41R01.aspx?&amp;lu_id=3454&amp;doc_yr=2016&amp;doc_code=AUD" xr:uid="{D68A3BB1-65F3-44D6-A53D-F1107AB59F69}"/>
    <hyperlink ref="E1787" r:id="rId1731" display="https://treas-secure.state.mi.us/LAFDocSearch/tl41R01.aspx?&amp;lu_id=3456&amp;doc_yr=2016&amp;doc_code=AUD" xr:uid="{E516994F-04E5-49F6-AC6C-BFBED3E098C6}"/>
    <hyperlink ref="E1788" r:id="rId1732" display="https://treas-secure.state.mi.us/LAFDocSearch/tl41R01.aspx?&amp;lu_id=3457&amp;doc_yr=2016&amp;doc_code=AUD" xr:uid="{7B5EB3BA-9293-4507-8A0A-9351C197BD0A}"/>
    <hyperlink ref="E1789" r:id="rId1733" display="https://treas-secure.state.mi.us/LAFDocSearch/tl41R01.aspx?&amp;lu_id=3458&amp;doc_yr=2016&amp;doc_code=AUD" xr:uid="{16B30DED-20BD-4625-B76E-BA2627A4D03F}"/>
    <hyperlink ref="E1790" r:id="rId1734" display="https://treas-secure.state.mi.us/LAFDocSearch/tl41R01.aspx?&amp;lu_id=3459&amp;doc_yr=2016&amp;doc_code=AUD" xr:uid="{58B0D3F9-E448-4F5B-A22E-3C3BD7C9BC10}"/>
    <hyperlink ref="E1791" r:id="rId1735" display="https://treas-secure.state.mi.us/LAFDocSearch/tl41R01.aspx?&amp;lu_id=3460&amp;doc_yr=2016&amp;doc_code=AUD" xr:uid="{60DAD576-59F3-4D41-BE8C-8BD33EF26595}"/>
    <hyperlink ref="E1792" r:id="rId1736" display="https://treas-secure.state.mi.us/LAFDocSearch/tl41R01.aspx?&amp;lu_id=3461&amp;doc_yr=2016&amp;doc_code=AUD" xr:uid="{0CCF7B25-B571-48C1-9C74-D9790E2C33F7}"/>
    <hyperlink ref="E1793" r:id="rId1737" display="https://treas-secure.state.mi.us/LAFDocSearch/tl41R01.aspx?&amp;lu_id=3468&amp;doc_yr=2016&amp;doc_code=AUD" xr:uid="{8016A15E-6580-4BD0-BE28-62746DE35321}"/>
    <hyperlink ref="E1794" r:id="rId1738" display="https://treas-secure.state.mi.us/LAFDocSearch/tl41R01.aspx?&amp;lu_id=3449&amp;doc_yr=2016&amp;doc_code=AUD" xr:uid="{950EE87F-4BA7-4F27-B31E-08AB948662FA}"/>
    <hyperlink ref="E1795" r:id="rId1739" display="https://treas-secure.state.mi.us/LAFDocSearch/tl41R01.aspx?&amp;lu_id=7558&amp;doc_yr=2016&amp;doc_code=AUD" xr:uid="{6C0B8476-B206-4450-B4FC-7B20984C244C}"/>
    <hyperlink ref="E1796" r:id="rId1740" display="https://treas-secure.state.mi.us/LAFDocSearch/tl41R01.aspx?&amp;lu_id=3482&amp;doc_yr=2016&amp;doc_code=AUD" xr:uid="{DF6E7B3B-2494-4D6B-91C2-E5BA9A4CAA36}"/>
    <hyperlink ref="E1797" r:id="rId1741" display="https://treas-secure.state.mi.us/LAFDocSearch/tl41R01.aspx?&amp;lu_id=3485&amp;doc_yr=2016&amp;doc_code=AUD" xr:uid="{D468C094-DC45-4F41-9353-52A19F5FFA6A}"/>
    <hyperlink ref="E1798" r:id="rId1742" display="https://treas-secure.state.mi.us/LAFDocSearch/tl41R01.aspx?&amp;lu_id=3487&amp;doc_yr=2016&amp;doc_code=AUD" xr:uid="{A29E7C02-99AF-4A66-9919-C543A2386476}"/>
    <hyperlink ref="E1799" r:id="rId1743" display="https://treas-secure.state.mi.us/LAFDocSearch/tl41R01.aspx?&amp;lu_id=3450&amp;doc_yr=2016&amp;doc_code=AUD" xr:uid="{235EEF45-DB56-445E-8D2A-C6F3F684DFA3}"/>
    <hyperlink ref="E1800" r:id="rId1744" display="https://treas-secure.state.mi.us/LAFDocSearch/tl41R01.aspx?&amp;lu_id=3463&amp;doc_yr=2016&amp;doc_code=AUD" xr:uid="{F596720A-DCB6-4DAD-94DB-42CEBDF76EB6}"/>
    <hyperlink ref="E1801" r:id="rId1745" display="https://treas-secure.state.mi.us/LAFDocSearch/tl41R01.aspx?&amp;lu_id=3464&amp;doc_yr=2016&amp;doc_code=AUD" xr:uid="{F063F4A2-8A0C-4F24-902C-5080C5AA744B}"/>
    <hyperlink ref="E1802" r:id="rId1746" display="https://treas-secure.state.mi.us/LAFDocSearch/tl41R01.aspx?&amp;lu_id=3465&amp;doc_yr=2016&amp;doc_code=AUD" xr:uid="{C19BE289-77A8-4BE6-AAED-6E356997225A}"/>
    <hyperlink ref="E1803" r:id="rId1747" display="https://treas-secure.state.mi.us/LAFDocSearch/tl41R01.aspx?&amp;lu_id=3469&amp;doc_yr=2016&amp;doc_code=AUD" xr:uid="{E3CB51A3-59B2-4185-9B2E-9F4DE1EFCAE5}"/>
    <hyperlink ref="E1804" r:id="rId1748" display="https://treas-secure.state.mi.us/LAFDocSearch/tl41R01.aspx?&amp;lu_id=3486&amp;doc_yr=2016&amp;doc_code=AUD" xr:uid="{18524339-80F1-420D-B437-6ED24D0979B5}"/>
    <hyperlink ref="E1805" r:id="rId1749" display="https://treas-secure.state.mi.us/LAFDocSearch/tl41R01.aspx?&amp;lu_id=3484&amp;doc_yr=2016&amp;doc_code=AUD" xr:uid="{E175BF1E-4CC7-4C65-92D7-85D1AF94D73F}"/>
    <hyperlink ref="E1807" r:id="rId1750" display="https://treas-secure.state.mi.us/LAFDocSearch/tl41R01.aspx?&amp;lu_id=3494&amp;doc_yr=2016&amp;doc_code=AUD" xr:uid="{4855336F-2AE5-48E3-9F82-713999E27F0A}"/>
    <hyperlink ref="E1808" r:id="rId1751" display="https://treas-secure.state.mi.us/LAFDocSearch/tl41R01.aspx?&amp;lu_id=3495&amp;doc_yr=2016&amp;doc_code=AUD" xr:uid="{55F7397F-980E-4462-91FE-A25E9409CEA3}"/>
    <hyperlink ref="E1809" r:id="rId1752" display="https://treas-secure.state.mi.us/LAFDocSearch/tl41R01.aspx?&amp;lu_id=3497&amp;doc_yr=2016&amp;doc_code=AUD" xr:uid="{E38A49F0-99CB-45A6-A72C-AC0787E125E3}"/>
    <hyperlink ref="E1810" r:id="rId1753" display="https://treas-secure.state.mi.us/LAFDocSearch/tl41R01.aspx?&amp;lu_id=3521&amp;doc_yr=2016&amp;doc_code=AUD" xr:uid="{E6873D8F-7155-4BF0-AFF0-6B8D1B6DF28C}"/>
    <hyperlink ref="E1811" r:id="rId1754" display="https://treas-secure.state.mi.us/LAFDocSearch/tl41R01.aspx?&amp;lu_id=3498&amp;doc_yr=2016&amp;doc_code=AUD" xr:uid="{DD337479-CF2B-4099-943A-B894A513D7D8}"/>
    <hyperlink ref="E1812" r:id="rId1755" display="https://treas-secure.state.mi.us/LAFDocSearch/tl41R01.aspx?&amp;lu_id=3500&amp;doc_yr=2016&amp;doc_code=AUD" xr:uid="{418D0874-9D87-4E91-9E92-A48ACDE4DB62}"/>
    <hyperlink ref="E1813" r:id="rId1756" display="https://treas-secure.state.mi.us/LAFDocSearch/tl41R01.aspx?&amp;lu_id=3501&amp;doc_yr=2016&amp;doc_code=AUD" xr:uid="{840822C2-1360-4A3A-B53C-BA80AA03D14E}"/>
    <hyperlink ref="E1814" r:id="rId1757" display="https://treas-secure.state.mi.us/LAFDocSearch/tl41R01.aspx?&amp;lu_id=3508&amp;doc_yr=2016&amp;doc_code=AUD" xr:uid="{53AE2C5A-E2D7-4CE5-ADD4-D911DEAE24A8}"/>
    <hyperlink ref="E1815" r:id="rId1758" display="https://treas-secure.state.mi.us/LAFDocSearch/tl41R01.aspx?&amp;lu_id=3520&amp;doc_yr=2016&amp;doc_code=AUD" xr:uid="{16E5FF90-9108-4564-BDF2-34B602099C7A}"/>
    <hyperlink ref="E1816" r:id="rId1759" display="https://treas-secure.state.mi.us/LAFDocSearch/tl41R01.aspx?&amp;lu_id=3509&amp;doc_yr=2016&amp;doc_code=AUD" xr:uid="{DE0229A9-C713-4E93-AE00-5C9F9444FFFE}"/>
    <hyperlink ref="E1817" r:id="rId1760" display="https://treas-secure.state.mi.us/LAFDocSearch/tl41R01.aspx?&amp;lu_id=3518&amp;doc_yr=2016&amp;doc_code=AUD" xr:uid="{FD7FF40C-B982-4A2A-B909-CC881AF3F174}"/>
    <hyperlink ref="E1818" r:id="rId1761" display="https://treas-secure.state.mi.us/LAFDocSearch/tl41R01.aspx?&amp;lu_id=3491&amp;doc_yr=2016&amp;doc_code=AUD" xr:uid="{C1F96C2F-8F79-4268-A11B-C16016B62588}"/>
    <hyperlink ref="E1819" r:id="rId1762" display="https://treas-secure.state.mi.us/LAFDocSearch/tl41R01.aspx?&amp;lu_id=3492&amp;doc_yr=2016&amp;doc_code=AUD" xr:uid="{154158C3-1008-44E0-84AF-0DD5FF6DA4F4}"/>
    <hyperlink ref="E1820" r:id="rId1763" display="https://treas-secure.state.mi.us/LAFDocSearch/tl41R01.aspx?&amp;lu_id=3522&amp;doc_yr=2016&amp;doc_code=AUD" xr:uid="{DA536DC0-EF88-47D9-904A-E1684D868C67}"/>
    <hyperlink ref="E1821" r:id="rId1764" display="https://treas-secure.state.mi.us/LAFDocSearch/tl41R01.aspx?&amp;lu_id=3502&amp;doc_yr=2016&amp;doc_code=AUD" xr:uid="{3ABF0353-4913-4F33-B63B-C363ADB0FB68}"/>
    <hyperlink ref="E1822" r:id="rId1765" display="https://treas-secure.state.mi.us/LAFDocSearch/tl41R01.aspx?&amp;lu_id=3503&amp;doc_yr=2016&amp;doc_code=AUD" xr:uid="{089C9644-811F-4395-AD8A-9A7893DDAC2C}"/>
    <hyperlink ref="E1823" r:id="rId1766" display="https://treas-secure.state.mi.us/LAFDocSearch/tl41R01.aspx?&amp;lu_id=3504&amp;doc_yr=2016&amp;doc_code=AUD" xr:uid="{9AC3E173-6C60-4724-BD83-A88B615C7EF8}"/>
    <hyperlink ref="E1824" r:id="rId1767" display="https://treas-secure.state.mi.us/LAFDocSearch/tl41R01.aspx?&amp;lu_id=3505&amp;doc_yr=2016&amp;doc_code=AUD" xr:uid="{A19B60F8-7590-44F0-A347-AED631529120}"/>
    <hyperlink ref="E1825" r:id="rId1768" display="https://treas-secure.state.mi.us/LAFDocSearch/tl41R01.aspx?&amp;lu_id=3506&amp;doc_yr=2016&amp;doc_code=AUD" xr:uid="{1057BF98-F58B-49C3-B813-7034E6495C0F}"/>
    <hyperlink ref="E1826" r:id="rId1769" display="https://treas-secure.state.mi.us/LAFDocSearch/tl41R01.aspx?&amp;lu_id=3507&amp;doc_yr=2016&amp;doc_code=AUD" xr:uid="{DB88DF8E-C108-4F54-A4F6-1D94DA47FC44}"/>
    <hyperlink ref="E1828" r:id="rId1770" display="https://treas-secure.state.mi.us/LAFDocSearch/tl41R01.aspx?&amp;lu_id=3526&amp;doc_yr=2016&amp;doc_code=AUD" xr:uid="{564FB179-FBF0-458C-9FC0-228B18C42C35}"/>
    <hyperlink ref="E1829" r:id="rId1771" display="https://treas-secure.state.mi.us/LAFDocSearch/tl41R01.aspx?&amp;lu_id=3527&amp;doc_yr=2016&amp;doc_code=AUD" xr:uid="{54096913-09FA-4937-89F2-C2C60C49B246}"/>
    <hyperlink ref="E1830" r:id="rId1772" display="https://treas-secure.state.mi.us/LAFDocSearch/tl41R01.aspx?&amp;lu_id=3585&amp;doc_yr=2016&amp;doc_code=AUD" xr:uid="{23788980-2783-4607-BB7C-8E14CC1FD0AF}"/>
    <hyperlink ref="E1831" r:id="rId1773" display="https://treas-secure.state.mi.us/LAFDocSearch/tl41R01.aspx?&amp;lu_id=3528&amp;doc_yr=2016&amp;doc_code=AUD" xr:uid="{E3F92471-D291-4215-8AE5-DB71AA3AD754}"/>
    <hyperlink ref="E1832" r:id="rId1774" display="https://treas-secure.state.mi.us/LAFDocSearch/tl41R01.aspx?&amp;lu_id=3544&amp;doc_yr=2016&amp;doc_code=AUD" xr:uid="{8F0A310D-DEE0-45B0-B929-D21A0842D6D4}"/>
    <hyperlink ref="E1833" r:id="rId1775" display="https://treas-secure.state.mi.us/LAFDocSearch/tl41R01.aspx?&amp;lu_id=3529&amp;doc_yr=2016&amp;doc_code=AUD" xr:uid="{BD192A4D-FA17-4B58-9B0F-448111DA03F1}"/>
    <hyperlink ref="E1834" r:id="rId1776" display="https://treas-secure.state.mi.us/LAFDocSearch/tl41R01.aspx?&amp;lu_id=3545&amp;doc_yr=2016&amp;doc_code=AUD" xr:uid="{8C8E4FF2-0586-415A-A1D8-5F0F50545840}"/>
    <hyperlink ref="E1835" r:id="rId1777" display="https://treas-secure.state.mi.us/LAFDocSearch/tl41R01.aspx?&amp;lu_id=3584&amp;doc_yr=2016&amp;doc_code=AUD" xr:uid="{6BD416E9-4D6D-4A2E-B45E-848D755AAE77}"/>
    <hyperlink ref="E1836" r:id="rId1778" display="https://treas-secure.state.mi.us/LAFDocSearch/tl41R01.aspx?&amp;lu_id=3530&amp;doc_yr=2016&amp;doc_code=AUD" xr:uid="{62A8E344-B2C0-4E73-B417-289A0116AF36}"/>
    <hyperlink ref="E1837" r:id="rId1779" display="https://treas-secure.state.mi.us/LAFDocSearch/tl41R01.aspx?&amp;lu_id=3546&amp;doc_yr=2016&amp;doc_code=AUD" xr:uid="{AD0AF2D4-EDBF-4DB2-9822-81B0F6129A97}"/>
    <hyperlink ref="E1838" r:id="rId1780" display="https://treas-secure.state.mi.us/LAFDocSearch/tl41R01.aspx?&amp;lu_id=3531&amp;doc_yr=2016&amp;doc_code=AUD" xr:uid="{DDD9A502-2C49-41E9-A05A-33982FE5DD34}"/>
    <hyperlink ref="E1839" r:id="rId1781" display="https://treas-secure.state.mi.us/LAFDocSearch/tl41R01.aspx?&amp;lu_id=3573&amp;doc_yr=2016&amp;doc_code=AUD" xr:uid="{BACEC50B-56B5-4BE5-A3C8-68A0B9D66E97}"/>
    <hyperlink ref="E1840" r:id="rId1782" display="https://treas-secure.state.mi.us/LAFDocSearch/tl41R01.aspx?&amp;lu_id=3532&amp;doc_yr=2016&amp;doc_code=AUD" xr:uid="{4B8E3E43-B6AD-4047-903F-2B9ADA413B91}"/>
    <hyperlink ref="E1841" r:id="rId1783" display="https://treas-secure.state.mi.us/LAFDocSearch/tl41R01.aspx?&amp;lu_id=3533&amp;doc_yr=2016&amp;doc_code=AUD" xr:uid="{B127B36E-74A2-43A1-A0CA-5FE0C5344B15}"/>
    <hyperlink ref="E1842" r:id="rId1784" display="https://treas-secure.state.mi.us/LAFDocSearch/tl41R01.aspx?&amp;lu_id=3578&amp;doc_yr=2016&amp;doc_code=AUD" xr:uid="{84BD9508-F236-4BEB-A2EB-7FCFFF1BEEDE}"/>
    <hyperlink ref="E1843" r:id="rId1785" display="https://treas-secure.state.mi.us/LAFDocSearch/tl41R01.aspx?&amp;lu_id=3534&amp;doc_yr=2016&amp;doc_code=AUD" xr:uid="{0E29F13E-A10B-451A-90EE-E35F5CACE728}"/>
    <hyperlink ref="E1844" r:id="rId1786" display="https://treas-secure.state.mi.us/LAFDocSearch/tl41R01.aspx?&amp;lu_id=3535&amp;doc_yr=2016&amp;doc_code=AUD" xr:uid="{05269965-FF98-4E87-BBF5-D473F4870A46}"/>
    <hyperlink ref="E1845" r:id="rId1787" display="https://treas-secure.state.mi.us/LAFDocSearch/tl41R01.aspx?&amp;lu_id=3576&amp;doc_yr=2016&amp;doc_code=AUD" xr:uid="{A3C8E9AE-8C2C-4F5B-8679-93A389AF2406}"/>
    <hyperlink ref="E1846" r:id="rId1788" display="https://treas-secure.state.mi.us/LAFDocSearch/tl41R01.aspx?&amp;lu_id=3583&amp;doc_yr=2016&amp;doc_code=AUD" xr:uid="{9227AF90-4636-4D28-BB6A-2907D224709A}"/>
    <hyperlink ref="E1847" r:id="rId1789" display="https://treas-secure.state.mi.us/LAFDocSearch/tl41R01.aspx?&amp;lu_id=3536&amp;doc_yr=2016&amp;doc_code=AUD" xr:uid="{B93F8EFD-B9EF-409A-B713-D8A3D03D18D0}"/>
    <hyperlink ref="E1848" r:id="rId1790" display="https://treas-secure.state.mi.us/LAFDocSearch/tl41R01.aspx?&amp;lu_id=3542&amp;doc_yr=2016&amp;doc_code=AUD" xr:uid="{AC77ADCD-217A-465E-9823-11B5E849118F}"/>
    <hyperlink ref="E1849" r:id="rId1791" display="https://treas-secure.state.mi.us/LAFDocSearch/tl41R01.aspx?&amp;lu_id=3524&amp;doc_yr=2016&amp;doc_code=AUD" xr:uid="{BDD5169F-B320-412F-90AF-3AFEC5EB33CF}"/>
    <hyperlink ref="E1850" r:id="rId1792" display="https://treas-secure.state.mi.us/LAFDocSearch/tl41R01.aspx?&amp;lu_id=3537&amp;doc_yr=2016&amp;doc_code=AUD" xr:uid="{34466FFC-5A2F-43DB-BCDC-9B5A8839149F}"/>
    <hyperlink ref="E1851" r:id="rId1793" display="https://treas-secure.state.mi.us/LAFDocSearch/tl41R01.aspx?&amp;lu_id=3587&amp;doc_yr=2016&amp;doc_code=AUD" xr:uid="{35A63242-782D-4EDE-AFFD-02B85E54EB71}"/>
    <hyperlink ref="E1852" r:id="rId1794" display="https://treas-secure.state.mi.us/LAFDocSearch/tl41R01.aspx?&amp;lu_id=3586&amp;doc_yr=2016&amp;doc_code=AUD" xr:uid="{9B9C3891-F9A2-489D-8BEB-13DB25736681}"/>
    <hyperlink ref="E1853" r:id="rId1795" display="https://treas-secure.state.mi.us/LAFDocSearch/tl41R01.aspx?&amp;lu_id=3575&amp;doc_yr=2016&amp;doc_code=AUD" xr:uid="{7C0C0213-8BD3-4BE8-8D82-E55001259057}"/>
    <hyperlink ref="E1854" r:id="rId1796" display="https://treas-secure.state.mi.us/LAFDocSearch/tl41R01.aspx?&amp;lu_id=6163&amp;doc_yr=2016&amp;doc_code=AUD" xr:uid="{9113B47A-67CF-4AC5-A165-762ED697B62F}"/>
    <hyperlink ref="E1855" r:id="rId1797" display="https://treas-secure.state.mi.us/LAFDocSearch/tl41R01.aspx?&amp;lu_id=3582&amp;doc_yr=2016&amp;doc_code=AUD" xr:uid="{6EAE9A95-02D2-46B0-A784-D37C6F3C6B9C}"/>
    <hyperlink ref="E1856" r:id="rId1798" display="https://treas-secure.state.mi.us/LAFDocSearch/tl41R01.aspx?&amp;lu_id=3581&amp;doc_yr=2016&amp;doc_code=AUD" xr:uid="{2A338DEF-5E6E-430F-9C6A-F120EE46505C}"/>
    <hyperlink ref="E1857" r:id="rId1799" display="https://treas-secure.state.mi.us/LAFDocSearch/tl41R01.aspx?&amp;lu_id=3568&amp;doc_yr=2016&amp;doc_code=AUD" xr:uid="{6A519A82-BAF6-4502-A06E-9E070E48FBF9}"/>
    <hyperlink ref="E1858" r:id="rId1800" display="https://treas-secure.state.mi.us/LAFDocSearch/tl41R01.aspx?&amp;lu_id=3561&amp;doc_yr=2016&amp;doc_code=AUD" xr:uid="{C066BCC6-1E4C-4B11-A5FD-F589F6C253F7}"/>
    <hyperlink ref="E1859" r:id="rId1801" display="https://treas-secure.state.mi.us/LAFDocSearch/tl41R01.aspx?&amp;lu_id=3592&amp;doc_yr=2016&amp;doc_code=AUD" xr:uid="{F043BE38-C2F6-44A8-B092-0FCB60557532}"/>
    <hyperlink ref="E1860" r:id="rId1802" display="https://treas-secure.state.mi.us/LAFDocSearch/tl41R01.aspx?&amp;lu_id=3525&amp;doc_yr=2016&amp;doc_code=AUD" xr:uid="{2F2ED90D-5C52-419F-8D39-FBB3B71DA7A9}"/>
    <hyperlink ref="E1861" r:id="rId1803" display="https://treas-secure.state.mi.us/LAFDocSearch/tl41R01.aspx?&amp;lu_id=3579&amp;doc_yr=2016&amp;doc_code=AUD" xr:uid="{7297D885-74F7-48E9-BE0E-68990A5D8563}"/>
    <hyperlink ref="E1862" r:id="rId1804" display="https://treas-secure.state.mi.us/LAFDocSearch/tl41R01.aspx?&amp;lu_id=3590&amp;doc_yr=2016&amp;doc_code=AUD" xr:uid="{A158CFB4-8C3A-4FA0-9217-2620D7DB1FE5}"/>
    <hyperlink ref="E1863" r:id="rId1805" display="https://treas-secure.state.mi.us/LAFDocSearch/tl41R01.aspx?&amp;lu_id=3580&amp;doc_yr=2016&amp;doc_code=AUD" xr:uid="{B2DBDB7D-DD7D-4661-9968-CD53EB032DF0}"/>
    <hyperlink ref="E1864" r:id="rId1806" display="https://treas-secure.state.mi.us/LAFDocSearch/tl41R01.aspx?&amp;lu_id=3543&amp;doc_yr=2016&amp;doc_code=AUD" xr:uid="{42AB0644-9CAD-4E4C-968D-86F03124EA3F}"/>
    <hyperlink ref="E1865" r:id="rId1807" display="https://treas-secure.state.mi.us/LAFDocSearch/tl41R01.aspx?&amp;lu_id=3574&amp;doc_yr=2016&amp;doc_code=AUD" xr:uid="{7CE7DD2A-01A0-4C03-9853-797FBD5FA111}"/>
    <hyperlink ref="E1866" r:id="rId1808" display="https://treas-secure.state.mi.us/LAFDocSearch/tl41R01.aspx?&amp;lu_id=3538&amp;doc_yr=2016&amp;doc_code=AUD" xr:uid="{D25B3361-728C-4174-AAB1-A601CB7654E3}"/>
    <hyperlink ref="E1867" r:id="rId1809" display="https://treas-secure.state.mi.us/LAFDocSearch/tl41R01.aspx?&amp;lu_id=3548&amp;doc_yr=2016&amp;doc_code=AUD" xr:uid="{F5B8BB07-2AB0-48D1-B911-AD1B8EBDC1D1}"/>
    <hyperlink ref="E1868" r:id="rId1810" display="https://treas-secure.state.mi.us/LAFDocSearch/tl41R01.aspx?&amp;lu_id=3539&amp;doc_yr=2016&amp;doc_code=AUD" xr:uid="{A05F37F0-F4D6-485A-9947-C5F92B59C891}"/>
    <hyperlink ref="E1869" r:id="rId1811" display="https://treas-secure.state.mi.us/LAFDocSearch/tl41R01.aspx?&amp;lu_id=3540&amp;doc_yr=2016&amp;doc_code=AUD" xr:uid="{D7F8F5E0-7A44-42AB-AF82-6062FA0C84AD}"/>
    <hyperlink ref="E1871" r:id="rId1812" display="https://treas-secure.state.mi.us/LAFDocSearch/tl41R01.aspx?&amp;lu_id=3595&amp;doc_yr=2016&amp;doc_code=AUD" xr:uid="{884D245E-35B4-4CEE-AC85-22F64BCF03B4}"/>
    <hyperlink ref="E1872" r:id="rId1813" display="https://treas-secure.state.mi.us/LAFDocSearch/tl41R01.aspx?&amp;lu_id=3596&amp;doc_yr=2016&amp;doc_code=AUD" xr:uid="{0DF60718-4B0C-4F90-954B-7D6B2216FDD6}"/>
    <hyperlink ref="E1873" r:id="rId1814" display="https://treas-secure.state.mi.us/LAFDocSearch/tl41R01.aspx?&amp;lu_id=3615&amp;doc_yr=2016&amp;doc_code=AUD" xr:uid="{0FEDBC79-961C-410C-95D3-EC76C5FC608B}"/>
    <hyperlink ref="E1874" r:id="rId1815" display="https://treas-secure.state.mi.us/LAFDocSearch/tl41R01.aspx?&amp;lu_id=3598&amp;doc_yr=2016&amp;doc_code=AUD" xr:uid="{D1C897FD-7D55-4DA6-9BA4-83D88D43FAAC}"/>
    <hyperlink ref="E1875" r:id="rId1816" display="https://treas-secure.state.mi.us/LAFDocSearch/tl41R01.aspx?&amp;lu_id=3656&amp;doc_yr=2016&amp;doc_code=AUD" xr:uid="{EAB23E1A-304F-453D-BF30-110E794FD728}"/>
    <hyperlink ref="E1876" r:id="rId1817" display="https://treas-secure.state.mi.us/LAFDocSearch/tl41R01.aspx?&amp;lu_id=3654&amp;doc_yr=2016&amp;doc_code=AUD" xr:uid="{25B35738-EC9B-4682-9689-D1918AF6491C}"/>
    <hyperlink ref="E1877" r:id="rId1818" display="https://treas-secure.state.mi.us/LAFDocSearch/tl41R01.aspx?&amp;lu_id=3599&amp;doc_yr=2016&amp;doc_code=AUD" xr:uid="{FFE65B71-69A6-46BF-A5E1-F4A492297285}"/>
    <hyperlink ref="E1878" r:id="rId1819" display="https://treas-secure.state.mi.us/LAFDocSearch/tl41R01.aspx?&amp;lu_id=3618&amp;doc_yr=2016&amp;doc_code=AUD" xr:uid="{75DABD1A-5423-43F1-A2FF-2C68EBE59BA3}"/>
    <hyperlink ref="E1879" r:id="rId1820" display="https://treas-secure.state.mi.us/LAFDocSearch/tl41R01.aspx?&amp;lu_id=3602&amp;doc_yr=2016&amp;doc_code=AUD" xr:uid="{E8A0D8F3-387E-4E9E-B5D5-D85CA5A3202F}"/>
    <hyperlink ref="E1880" r:id="rId1821" display="https://treas-secure.state.mi.us/LAFDocSearch/tl41R01.aspx?&amp;lu_id=3603&amp;doc_yr=2016&amp;doc_code=AUD" xr:uid="{899973DB-34C4-4BE3-AAB1-7B2E19DC0209}"/>
    <hyperlink ref="E1881" r:id="rId1822" display="https://treas-secure.state.mi.us/LAFDocSearch/tl41R01.aspx?&amp;lu_id=3604&amp;doc_yr=2016&amp;doc_code=AUD" xr:uid="{370B62B4-DD18-4576-83EA-987067DD4E05}"/>
    <hyperlink ref="E1882" r:id="rId1823" display="https://treas-secure.state.mi.us/LAFDocSearch/tl41R01.aspx?&amp;lu_id=3605&amp;doc_yr=2016&amp;doc_code=AUD" xr:uid="{F4D106F4-354C-4EB3-A456-BC10EBDA8B9A}"/>
    <hyperlink ref="E1883" r:id="rId1824" display="https://treas-secure.state.mi.us/LAFDocSearch/tl41R01.aspx?&amp;lu_id=3658&amp;doc_yr=2016&amp;doc_code=AUD" xr:uid="{E65B7842-D35B-40C0-A3DB-08ED9994CDDF}"/>
    <hyperlink ref="E1884" r:id="rId1825" display="https://treas-secure.state.mi.us/LAFDocSearch/tl41R01.aspx?&amp;lu_id=3616&amp;doc_yr=2016&amp;doc_code=AUD" xr:uid="{AA5326CB-FBF3-40EE-9AF1-36ADB93F9499}"/>
    <hyperlink ref="E1885" r:id="rId1826" display="https://treas-secure.state.mi.us/LAFDocSearch/tl41R01.aspx?&amp;lu_id=3651&amp;doc_yr=2016&amp;doc_code=AUD" xr:uid="{1395DE03-4171-4BA2-A6CB-B0BC0AC55279}"/>
    <hyperlink ref="E1886" r:id="rId1827" display="https://treas-secure.state.mi.us/LAFDocSearch/tl41R01.aspx?&amp;lu_id=3606&amp;doc_yr=2016&amp;doc_code=AUD" xr:uid="{B3F9C7A5-082B-416A-A7D5-E97EEB0BF1B6}"/>
    <hyperlink ref="E1887" r:id="rId1828" display="https://treas-secure.state.mi.us/LAFDocSearch/tl41R01.aspx?&amp;lu_id=3661&amp;doc_yr=2016&amp;doc_code=AUD" xr:uid="{2CBC3D76-B596-4BC7-9E40-33D5E315EC05}"/>
    <hyperlink ref="E1888" r:id="rId1829" display="https://treas-secure.state.mi.us/LAFDocSearch/tl41R01.aspx?&amp;lu_id=3619&amp;doc_yr=2016&amp;doc_code=AUD" xr:uid="{6B29E2D9-67B0-4ADF-8FC6-117FB4B38B1F}"/>
    <hyperlink ref="E1889" r:id="rId1830" display="https://treas-secure.state.mi.us/LAFDocSearch/tl41R01.aspx?&amp;lu_id=3620&amp;doc_yr=2016&amp;doc_code=AUD" xr:uid="{0F84AA0C-6654-48B0-8C2C-C58024735383}"/>
    <hyperlink ref="E1890" r:id="rId1831" display="https://treas-secure.state.mi.us/LAFDocSearch/tl41R01.aspx?&amp;lu_id=3650&amp;doc_yr=2016&amp;doc_code=AUD" xr:uid="{C88ADA13-E45D-4045-95DE-B8F129B0A524}"/>
    <hyperlink ref="E1891" r:id="rId1832" display="https://treas-secure.state.mi.us/LAFDocSearch/tl41R01.aspx?&amp;lu_id=3655&amp;doc_yr=2016&amp;doc_code=AUD" xr:uid="{2E8327A2-C79E-42B8-AA09-F50433DDCA64}"/>
    <hyperlink ref="E1892" r:id="rId1833" display="https://treas-secure.state.mi.us/LAFDocSearch/tl41R01.aspx?&amp;lu_id=3593&amp;doc_yr=2016&amp;doc_code=AUD" xr:uid="{36AA7E5A-2281-4A6C-A17E-E28C436E2936}"/>
    <hyperlink ref="E1893" r:id="rId1834" display="https://treas-secure.state.mi.us/LAFDocSearch/tl41R01.aspx?&amp;lu_id=3652&amp;doc_yr=2016&amp;doc_code=AUD" xr:uid="{6E142285-FB7F-4116-9BCE-53AE9BA522D4}"/>
    <hyperlink ref="E1894" r:id="rId1835" display="https://treas-secure.state.mi.us/LAFDocSearch/tl41R01.aspx?&amp;lu_id=3653&amp;doc_yr=2016&amp;doc_code=AUD" xr:uid="{BE1F1492-E412-4E83-B352-80584134FCA5}"/>
    <hyperlink ref="E1895" r:id="rId1836" display="https://treas-secure.state.mi.us/LAFDocSearch/tl41R01.aspx?&amp;lu_id=3633&amp;doc_yr=2016&amp;doc_code=AUD" xr:uid="{CC657E87-697A-4F61-9397-ABEA5DA142F4}"/>
    <hyperlink ref="E1896" r:id="rId1837" display="https://treas-secure.state.mi.us/LAFDocSearch/tl41R01.aspx?&amp;lu_id=3594&amp;doc_yr=2016&amp;doc_code=AUD" xr:uid="{9F0D3514-116C-4B46-8FD1-D7C21744410F}"/>
    <hyperlink ref="E1897" r:id="rId1838" display="https://treas-secure.state.mi.us/LAFDocSearch/tl41R01.aspx?&amp;lu_id=3609&amp;doc_yr=2016&amp;doc_code=AUD" xr:uid="{1D90CFFD-96CD-4C28-9D5C-99325BC03C6A}"/>
    <hyperlink ref="E1898" r:id="rId1839" display="https://treas-secure.state.mi.us/LAFDocSearch/tl41R01.aspx?&amp;lu_id=3610&amp;doc_yr=2016&amp;doc_code=AUD" xr:uid="{F4A5483B-11CB-4B26-882E-B9A95A3B9449}"/>
    <hyperlink ref="E1899" r:id="rId1840" display="https://treas-secure.state.mi.us/LAFDocSearch/tl41R01.aspx?&amp;lu_id=3611&amp;doc_yr=2016&amp;doc_code=AUD" xr:uid="{AE72A785-BC77-4BC7-8776-5A626EEFB435}"/>
    <hyperlink ref="E1900" r:id="rId1841" display="https://treas-secure.state.mi.us/LAFDocSearch/tl41R01.aspx?&amp;lu_id=3612&amp;doc_yr=2016&amp;doc_code=AUD" xr:uid="{6B4DC9A6-A91C-466D-BB5F-6C5FDA4C4B99}"/>
    <hyperlink ref="E1901" r:id="rId1842" display="https://treas-secure.state.mi.us/LAFDocSearch/tl41R01.aspx?&amp;lu_id=3623&amp;doc_yr=2016&amp;doc_code=AUD" xr:uid="{63E7AC2A-15D0-4E93-8C19-D65901BA6E56}"/>
    <hyperlink ref="E1902" r:id="rId1843" display="https://treas-secure.state.mi.us/LAFDocSearch/tl41R01.aspx?&amp;lu_id=3613&amp;doc_yr=2016&amp;doc_code=AUD" xr:uid="{4C353B38-1FAF-4132-ADC4-2DE62AC85758}"/>
    <hyperlink ref="E1903" r:id="rId1844" display="https://treas-secure.state.mi.us/LAFDocSearch/tl41R01.aspx?&amp;lu_id=3617&amp;doc_yr=2016&amp;doc_code=AUD" xr:uid="{81AD6B3A-B4D3-4C14-B17E-3438E58AB94B}"/>
    <hyperlink ref="E1904" r:id="rId1845" display="https://treas-secure.state.mi.us/LAFDocSearch/tl41R01.aspx?&amp;lu_id=3659&amp;doc_yr=2016&amp;doc_code=AUD" xr:uid="{3D7A6FE9-2B53-4511-B3DF-EC0A4BB525AA}"/>
    <hyperlink ref="E1905" r:id="rId1846" display="https://treas-secure.state.mi.us/LAFDocSearch/tl41R01.aspx?&amp;lu_id=6199&amp;doc_yr=2016&amp;doc_code=AUD" xr:uid="{4F2407F3-CF42-4FFD-9AFB-5807B2613E72}"/>
    <hyperlink ref="E1906" r:id="rId1847" display="https://treas-secure.state.mi.us/LAFDocSearch/tl41R01.aspx?&amp;lu_id=3614&amp;doc_yr=2016&amp;doc_code=AUD" xr:uid="{C3588FD3-5FD5-477A-9359-6AC156C77ED2}"/>
    <hyperlink ref="E1908" r:id="rId1848" display="https://treas-secure.state.mi.us/LAFDocSearch/tl41R01.aspx?&amp;lu_id=3667&amp;doc_yr=2016&amp;doc_code=AUD" xr:uid="{1CE98B25-F1B1-4C4D-9603-02DC21ECE446}"/>
    <hyperlink ref="E1909" r:id="rId1849" display="https://treas-secure.state.mi.us/LAFDocSearch/tl41R01.aspx?&amp;lu_id=3669&amp;doc_yr=2016&amp;doc_code=AUD" xr:uid="{31B2B6C2-0E21-41B1-A82B-1FE1BE7C7B6F}"/>
    <hyperlink ref="E1910" r:id="rId1850" display="https://treas-secure.state.mi.us/LAFDocSearch/tl41R01.aspx?&amp;lu_id=3670&amp;doc_yr=2016&amp;doc_code=AUD" xr:uid="{718127E5-2474-4644-919B-5C2F58BB1EE4}"/>
    <hyperlink ref="E1911" r:id="rId1851" display="https://treas-secure.state.mi.us/LAFDocSearch/tl41R01.aspx?&amp;lu_id=3675&amp;doc_yr=2016&amp;doc_code=AUD" xr:uid="{5451BDB7-AE8C-4328-9F0B-87C0C110995B}"/>
    <hyperlink ref="E1912" r:id="rId1852" display="https://treas-secure.state.mi.us/LAFDocSearch/tl41R01.aspx?&amp;lu_id=3683&amp;doc_yr=2016&amp;doc_code=AUD" xr:uid="{C4ECA11D-E082-4073-B84E-C6A4805C6D70}"/>
    <hyperlink ref="E1913" r:id="rId1853" display="https://treas-secure.state.mi.us/LAFDocSearch/tl41R01.aspx?&amp;lu_id=3671&amp;doc_yr=2016&amp;doc_code=AUD" xr:uid="{DA3CC014-280E-4C12-8D0F-7AD27E869179}"/>
    <hyperlink ref="E1914" r:id="rId1854" display="https://treas-secure.state.mi.us/LAFDocSearch/tl41R01.aspx?&amp;lu_id=3665&amp;doc_yr=2016&amp;doc_code=AUD" xr:uid="{ABF3782E-9B29-44CE-B240-1F2539073E51}"/>
    <hyperlink ref="E1915" r:id="rId1855" display="https://treas-secure.state.mi.us/LAFDocSearch/tl41R01.aspx?&amp;lu_id=3666&amp;doc_yr=2016&amp;doc_code=AUD" xr:uid="{2B9CF293-3619-48A6-98F1-E31E6104BD25}"/>
    <hyperlink ref="E1916" r:id="rId1856" display="https://treas-secure.state.mi.us/LAFDocSearch/tl41R01.aspx?&amp;lu_id=3684&amp;doc_yr=2016&amp;doc_code=AUD" xr:uid="{D1093B3F-20E1-4CD9-989B-E803A594C728}"/>
    <hyperlink ref="E1917" r:id="rId1857" display="https://treas-secure.state.mi.us/LAFDocSearch/tl41R01.aspx?&amp;lu_id=3680&amp;doc_yr=2016&amp;doc_code=AUD" xr:uid="{60C0C585-87D1-4E20-B7FD-FD10C6FDE3DD}"/>
    <hyperlink ref="E1918" r:id="rId1858" display="https://treas-secure.state.mi.us/LAFDocSearch/tl41R01.aspx?&amp;lu_id=3682&amp;doc_yr=2016&amp;doc_code=AUD" xr:uid="{6226BEB5-9809-4D90-A2F4-66304D67D48B}"/>
    <hyperlink ref="E1919" r:id="rId1859" display="https://treas-secure.state.mi.us/LAFDocSearch/tl41R01.aspx?&amp;lu_id=3674&amp;doc_yr=2016&amp;doc_code=AUD" xr:uid="{00AE4CCB-95AA-4779-BA04-3AF980AA92F4}"/>
    <hyperlink ref="E1921" r:id="rId1860" display="https://treas-secure.state.mi.us/LAFDocSearch/tl41R01.aspx?&amp;lu_id=3687&amp;doc_yr=2016&amp;doc_code=AUD" xr:uid="{4246633D-E527-4FF5-B4FE-344A999D7845}"/>
    <hyperlink ref="E1922" r:id="rId1861" display="https://treas-secure.state.mi.us/LAFDocSearch/tl41R01.aspx?&amp;lu_id=3688&amp;doc_yr=2016&amp;doc_code=AUD" xr:uid="{503110DA-2964-4CFE-A8B5-8364F5B33BAC}"/>
    <hyperlink ref="E1923" r:id="rId1862" display="https://treas-secure.state.mi.us/LAFDocSearch/tl41R01.aspx?&amp;lu_id=3710&amp;doc_yr=2016&amp;doc_code=AUD" xr:uid="{7289F65E-0DCD-4C55-BA7A-5539E802512B}"/>
    <hyperlink ref="E1924" r:id="rId1863" display="https://treas-secure.state.mi.us/LAFDocSearch/tl41R01.aspx?&amp;lu_id=3689&amp;doc_yr=2016&amp;doc_code=AUD" xr:uid="{3DD83CA3-76C9-4EB0-9C45-060CCC69D54C}"/>
    <hyperlink ref="E1925" r:id="rId1864" display="https://treas-secure.state.mi.us/LAFDocSearch/tl41R01.aspx?&amp;lu_id=3690&amp;doc_yr=2016&amp;doc_code=AUD" xr:uid="{4A6BB5DD-D466-40A4-8554-B8D0460A55D4}"/>
    <hyperlink ref="E1926" r:id="rId1865" display="https://treas-secure.state.mi.us/LAFDocSearch/tl41R01.aspx?&amp;lu_id=3691&amp;doc_yr=2016&amp;doc_code=AUD" xr:uid="{DE1FE71B-BF59-417E-B442-F5FB1B931F2A}"/>
    <hyperlink ref="E1927" r:id="rId1866" display="https://treas-secure.state.mi.us/LAFDocSearch/tl41R01.aspx?&amp;lu_id=3692&amp;doc_yr=2016&amp;doc_code=AUD" xr:uid="{5136DFE2-4018-4B30-8E8D-4F777E3F79EE}"/>
    <hyperlink ref="E1928" r:id="rId1867" display="https://treas-secure.state.mi.us/LAFDocSearch/tl41R01.aspx?&amp;lu_id=3711&amp;doc_yr=2016&amp;doc_code=AUD" xr:uid="{B6704256-F2FF-430E-B1B9-04C28A575189}"/>
    <hyperlink ref="E1929" r:id="rId1868" display="https://treas-secure.state.mi.us/LAFDocSearch/tl41R01.aspx?&amp;lu_id=3693&amp;doc_yr=2016&amp;doc_code=AUD" xr:uid="{FD919F87-9760-4822-8E86-28C00A611B5C}"/>
    <hyperlink ref="E1930" r:id="rId1869" display="https://treas-secure.state.mi.us/LAFDocSearch/tl41R01.aspx?&amp;lu_id=3758&amp;doc_yr=2016&amp;doc_code=AUD" xr:uid="{6769AE50-0AAE-4736-8301-8913417969E3}"/>
    <hyperlink ref="E1931" r:id="rId1870" display="https://treas-secure.state.mi.us/LAFDocSearch/tl41R01.aspx?&amp;lu_id=3755&amp;doc_yr=2016&amp;doc_code=AUD" xr:uid="{BC001CD1-6289-43E3-84D7-26C5BE8860EA}"/>
    <hyperlink ref="E1932" r:id="rId1871" display="https://treas-secure.state.mi.us/LAFDocSearch/tl41R01.aspx?&amp;lu_id=3694&amp;doc_yr=2016&amp;doc_code=AUD" xr:uid="{A21EB791-EF49-44E9-8902-70E3E8D0F270}"/>
    <hyperlink ref="E1933" r:id="rId1872" display="https://treas-secure.state.mi.us/LAFDocSearch/tl41R01.aspx?&amp;lu_id=7574&amp;doc_yr=2016&amp;doc_code=AUD" xr:uid="{9AD679E2-5B50-4D8C-A7D3-40F8A16AE69F}"/>
    <hyperlink ref="E1934" r:id="rId1873" display="https://treas-secure.state.mi.us/LAFDocSearch/tl41R01.aspx?&amp;lu_id=3695&amp;doc_yr=2016&amp;doc_code=AUD" xr:uid="{1A3FB20B-1D2F-47AC-BEFD-4D7C5CD80CD3}"/>
    <hyperlink ref="E1935" r:id="rId1874" display="https://treas-secure.state.mi.us/LAFDocSearch/tl41R01.aspx?&amp;lu_id=3712&amp;doc_yr=2016&amp;doc_code=AUD" xr:uid="{7EB1EF48-33FD-4D20-8EAE-2C3178FABB70}"/>
    <hyperlink ref="E1936" r:id="rId1875" display="https://treas-secure.state.mi.us/LAFDocSearch/tl41R01.aspx?&amp;lu_id=3703&amp;doc_yr=2016&amp;doc_code=AUD" xr:uid="{E05D318E-CC94-450A-829B-14A1D9D94FFF}"/>
    <hyperlink ref="E1937" r:id="rId1876" display="https://treas-secure.state.mi.us/LAFDocSearch/tl41R01.aspx?&amp;lu_id=3696&amp;doc_yr=2016&amp;doc_code=AUD" xr:uid="{AF37F193-8B7A-4FF9-A6B9-E458915D85F9}"/>
    <hyperlink ref="E1938" r:id="rId1877" display="https://treas-secure.state.mi.us/LAFDocSearch/tl41R01.aspx?&amp;lu_id=3754&amp;doc_yr=2016&amp;doc_code=AUD" xr:uid="{CE0D02A7-8D09-4E57-8B0C-D6620B64AB0B}"/>
    <hyperlink ref="E1939" r:id="rId1878" display="https://treas-secure.state.mi.us/LAFDocSearch/tl41R01.aspx?&amp;lu_id=3697&amp;doc_yr=2016&amp;doc_code=AUD" xr:uid="{8DC6514D-2469-43D9-8F94-226EA9ABFCF1}"/>
    <hyperlink ref="E1940" r:id="rId1879" display="https://treas-secure.state.mi.us/LAFDocSearch/tl41R01.aspx?&amp;lu_id=3704&amp;doc_yr=2016&amp;doc_code=AUD" xr:uid="{BC23A744-FD63-4B26-B139-9B8F818E783C}"/>
    <hyperlink ref="E1941" r:id="rId1880" display="https://treas-secure.state.mi.us/LAFDocSearch/tl41R01.aspx?&amp;lu_id=3685&amp;doc_yr=2016&amp;doc_code=AUD" xr:uid="{A4ABEECA-628D-4D79-97AB-BD0AAE0B5F07}"/>
    <hyperlink ref="E1942" r:id="rId1881" display="https://treas-secure.state.mi.us/LAFDocSearch/tl41R01.aspx?&amp;lu_id=3760&amp;doc_yr=2016&amp;doc_code=AUD" xr:uid="{81C4CFC9-F4DE-4FA2-BB59-387611F39EBE}"/>
    <hyperlink ref="E1943" r:id="rId1882" display="https://treas-secure.state.mi.us/LAFDocSearch/tl41R01.aspx?&amp;lu_id=3750&amp;doc_yr=2016&amp;doc_code=AUD" xr:uid="{6E037E84-11C2-4635-B956-DC37BF476F08}"/>
    <hyperlink ref="E1944" r:id="rId1883" display="https://treas-secure.state.mi.us/LAFDocSearch/tl41R01.aspx?&amp;lu_id=3698&amp;doc_yr=2016&amp;doc_code=AUD" xr:uid="{1EF1048B-1D23-4D8A-A918-37CA83E46532}"/>
    <hyperlink ref="E1945" r:id="rId1884" display="https://treas-secure.state.mi.us/LAFDocSearch/tl41R01.aspx?&amp;lu_id=3732&amp;doc_yr=2016&amp;doc_code=AUD" xr:uid="{80F3E01F-BBE6-4EC2-A100-699DE0C2A7E8}"/>
    <hyperlink ref="E1946" r:id="rId1885" display="https://treas-secure.state.mi.us/LAFDocSearch/tl41R01.aspx?&amp;lu_id=3686&amp;doc_yr=2016&amp;doc_code=AUD" xr:uid="{708196B4-9B9C-4DDA-A4F4-A43A1B345274}"/>
    <hyperlink ref="E1947" r:id="rId1886" display="https://treas-secure.state.mi.us/LAFDocSearch/tl41R01.aspx?&amp;lu_id=3705&amp;doc_yr=2016&amp;doc_code=AUD" xr:uid="{43753169-14F2-4FA0-B8A3-B321B8979354}"/>
    <hyperlink ref="E1948" r:id="rId1887" display="https://treas-secure.state.mi.us/LAFDocSearch/tl41R01.aspx?&amp;lu_id=3749&amp;doc_yr=2016&amp;doc_code=AUD" xr:uid="{1A2CCC1E-05DA-4775-A35E-A376FF1DA5A6}"/>
    <hyperlink ref="E1949" r:id="rId1888" display="https://treas-secure.state.mi.us/LAFDocSearch/tl41R01.aspx?&amp;lu_id=3706&amp;doc_yr=2016&amp;doc_code=AUD" xr:uid="{8A5EFD28-1513-4F1D-B904-1E6BA6EEE70E}"/>
    <hyperlink ref="E1950" r:id="rId1889" display="https://treas-secure.state.mi.us/LAFDocSearch/tl41R01.aspx?&amp;lu_id=3707&amp;doc_yr=2016&amp;doc_code=AUD" xr:uid="{CB35FCAB-1E36-4B03-8B7D-F832A84515B8}"/>
    <hyperlink ref="E1951" r:id="rId1890" display="https://treas-secure.state.mi.us/LAFDocSearch/tl41R01.aspx?&amp;lu_id=3699&amp;doc_yr=2016&amp;doc_code=AUD" xr:uid="{590F7C18-4687-461F-B563-ABEE4CF1DA44}"/>
    <hyperlink ref="E1952" r:id="rId1891" display="https://treas-secure.state.mi.us/LAFDocSearch/tl41R01.aspx?&amp;lu_id=3713&amp;doc_yr=2016&amp;doc_code=AUD" xr:uid="{51689A1E-6F58-4E13-B8EE-532D881F105C}"/>
    <hyperlink ref="E1953" r:id="rId1892" display="https://treas-secure.state.mi.us/LAFDocSearch/tl41R01.aspx?&amp;lu_id=3708&amp;doc_yr=2016&amp;doc_code=AUD" xr:uid="{C931092E-8E5E-479A-A395-BFC5C24B984A}"/>
    <hyperlink ref="E1954" r:id="rId1893" display="https://treas-secure.state.mi.us/LAFDocSearch/tl41R01.aspx?&amp;lu_id=3700&amp;doc_yr=2016&amp;doc_code=AUD" xr:uid="{A507C413-6E0D-4CE7-B399-93AC71F3FC83}"/>
    <hyperlink ref="E1955" r:id="rId1894" display="https://treas-secure.state.mi.us/LAFDocSearch/tl41R01.aspx?&amp;lu_id=7283&amp;doc_yr=2016&amp;doc_code=AUD" xr:uid="{3791E362-76DA-4319-9308-BAAD5900F893}"/>
    <hyperlink ref="E1956" r:id="rId1895" display="https://treas-secure.state.mi.us/LAFDocSearch/tl41R01.aspx?&amp;lu_id=3751&amp;doc_yr=2016&amp;doc_code=AUD" xr:uid="{3A0862DC-50FD-40B3-B8CE-D6332A3F4ACE}"/>
    <hyperlink ref="E1957" r:id="rId1896" display="https://treas-secure.state.mi.us/LAFDocSearch/tl41R01.aspx?&amp;lu_id=3748&amp;doc_yr=2016&amp;doc_code=AUD" xr:uid="{BFA9B9ED-B25F-49A6-B7F6-B2E882B0588D}"/>
    <hyperlink ref="E1958" r:id="rId1897" display="https://treas-secure.state.mi.us/LAFDocSearch/tl41R01.aspx?&amp;lu_id=3746&amp;doc_yr=2016&amp;doc_code=AUD" xr:uid="{1F49B51E-F7BB-4A3E-BF32-BDD1E5CDC3E0}"/>
    <hyperlink ref="E1959" r:id="rId1898" display="https://treas-secure.state.mi.us/LAFDocSearch/tl41R01.aspx?&amp;lu_id=3759&amp;doc_yr=2016&amp;doc_code=AUD" xr:uid="{1E7BE610-8448-44AD-BD2B-A0B579AED53E}"/>
    <hyperlink ref="E1960" r:id="rId1899" display="https://treas-secure.state.mi.us/LAFDocSearch/tl41R01.aspx?&amp;lu_id=3752&amp;doc_yr=2016&amp;doc_code=AUD" xr:uid="{6891F812-5607-4593-B417-F32785E25012}"/>
    <hyperlink ref="E1961" r:id="rId1900" display="https://treas-secure.state.mi.us/LAFDocSearch/tl41R01.aspx?&amp;lu_id=3702&amp;doc_yr=2016&amp;doc_code=AUD" xr:uid="{F79477D8-885E-4B4C-9964-AB9445B5ECEC}"/>
    <hyperlink ref="E1962" r:id="rId1901" display="https://treas-secure.state.mi.us/LAFDocSearch/tl41R01.aspx?&amp;lu_id=3709&amp;doc_yr=2016&amp;doc_code=AUD" xr:uid="{4830CC57-9B54-4212-8B57-7A632F24ED4B}"/>
    <hyperlink ref="E1963" r:id="rId1902" display="https://treas-secure.state.mi.us/LAFDocSearch/tl41R01.aspx?&amp;lu_id=3701&amp;doc_yr=2016&amp;doc_code=AUD" xr:uid="{59EC0400-44A3-43C6-9D35-174CE9C004A4}"/>
    <hyperlink ref="E1965" r:id="rId1903" display="https://treas-secure.state.mi.us/LAFDocSearch/tl41R01.aspx?&amp;lu_id=3813&amp;doc_yr=2016&amp;doc_code=AUD" xr:uid="{9A8A8E0B-444B-45E8-BEE0-703EDDC8CDA0}"/>
    <hyperlink ref="E1966" r:id="rId1904" display="https://treas-secure.state.mi.us/LAFDocSearch/tl41R01.aspx?&amp;lu_id=3765&amp;doc_yr=2016&amp;doc_code=AUD" xr:uid="{3A3A57C8-2FD9-42DB-90A7-869F2E481296}"/>
    <hyperlink ref="E1967" r:id="rId1905" display="https://treas-secure.state.mi.us/LAFDocSearch/tl41R01.aspx?&amp;lu_id=3766&amp;doc_yr=2016&amp;doc_code=AUD" xr:uid="{A66B9928-2C85-4DE0-A821-0AA8149C4153}"/>
    <hyperlink ref="E1968" r:id="rId1906" display="https://treas-secure.state.mi.us/LAFDocSearch/tl41R01.aspx?&amp;lu_id=3811&amp;doc_yr=2016&amp;doc_code=AUD" xr:uid="{C5F9AD8F-EDAC-4BCB-8E3E-9E069B5C577D}"/>
    <hyperlink ref="E1969" r:id="rId1907" display="https://treas-secure.state.mi.us/LAFDocSearch/tl41R01.aspx?&amp;lu_id=3768&amp;doc_yr=2016&amp;doc_code=AUD" xr:uid="{551B5872-888F-4692-BC44-48181E80A307}"/>
    <hyperlink ref="E1970" r:id="rId1908" display="https://treas-secure.state.mi.us/LAFDocSearch/tl41R01.aspx?&amp;lu_id=3769&amp;doc_yr=2016&amp;doc_code=AUD" xr:uid="{40DB3F3E-1065-4687-9F97-DD6D1580535A}"/>
    <hyperlink ref="E1971" r:id="rId1909" display="https://treas-secure.state.mi.us/LAFDocSearch/tl41R01.aspx?&amp;lu_id=3812&amp;doc_yr=2016&amp;doc_code=AUD" xr:uid="{C344623F-8603-458F-BA2A-64A7D4221B66}"/>
    <hyperlink ref="E1972" r:id="rId1910" display="https://treas-secure.state.mi.us/LAFDocSearch/tl41R01.aspx?&amp;lu_id=3770&amp;doc_yr=2016&amp;doc_code=AUD" xr:uid="{C1396074-1F57-4080-A7CC-F27A15012E79}"/>
    <hyperlink ref="E1973" r:id="rId1911" display="https://treas-secure.state.mi.us/LAFDocSearch/tl41R01.aspx?&amp;lu_id=3771&amp;doc_yr=2016&amp;doc_code=AUD" xr:uid="{C5AFB8D3-1E9C-4ACC-8EF7-82E0C38B1C90}"/>
    <hyperlink ref="E1974" r:id="rId1912" display="https://treas-secure.state.mi.us/LAFDocSearch/tl41R01.aspx?&amp;lu_id=3772&amp;doc_yr=2016&amp;doc_code=AUD" xr:uid="{9BD116B5-2135-4A06-BC97-19F6C89FC794}"/>
    <hyperlink ref="E1975" r:id="rId1913" display="https://treas-secure.state.mi.us/LAFDocSearch/tl41R01.aspx?&amp;lu_id=3774&amp;doc_yr=2016&amp;doc_code=AUD" xr:uid="{C7626EA5-8608-4EE5-8C34-DF14C3199E8F}"/>
    <hyperlink ref="E1976" r:id="rId1914" display="https://treas-secure.state.mi.us/LAFDocSearch/tl41R01.aspx?&amp;lu_id=3788&amp;doc_yr=2016&amp;doc_code=AUD" xr:uid="{130BB3AF-E42B-480C-AF45-1EE91902764F}"/>
    <hyperlink ref="E1977" r:id="rId1915" display="https://treas-secure.state.mi.us/LAFDocSearch/tl41R01.aspx?&amp;lu_id=3820&amp;doc_yr=2016&amp;doc_code=AUD" xr:uid="{B072B589-023C-4109-8AFF-A5428BC998A1}"/>
    <hyperlink ref="E1978" r:id="rId1916" display="https://treas-secure.state.mi.us/LAFDocSearch/tl41R01.aspx?&amp;lu_id=7061&amp;doc_yr=2016&amp;doc_code=AUD" xr:uid="{D0A8D159-08F2-40E5-99CE-EBFF616D97A2}"/>
    <hyperlink ref="E1979" r:id="rId1917" display="https://treas-secure.state.mi.us/LAFDocSearch/tl41R01.aspx?&amp;lu_id=3789&amp;doc_yr=2016&amp;doc_code=AUD" xr:uid="{FFEC8C73-FE20-43C3-9BED-FDC8F081BB32}"/>
    <hyperlink ref="E1980" r:id="rId1918" display="https://treas-secure.state.mi.us/LAFDocSearch/tl41R01.aspx?&amp;lu_id=3821&amp;doc_yr=2016&amp;doc_code=AUD" xr:uid="{78D04167-8863-43BA-B4DD-D49C1FC2358C}"/>
    <hyperlink ref="E1981" r:id="rId1919" display="https://treas-secure.state.mi.us/LAFDocSearch/tl41R01.aspx?&amp;lu_id=3822&amp;doc_yr=2016&amp;doc_code=AUD" xr:uid="{D6B1CEA5-608E-4EF9-8CCC-606D3A5826A1}"/>
    <hyperlink ref="E1982" r:id="rId1920" display="https://treas-secure.state.mi.us/LAFDocSearch/tl41R01.aspx?&amp;lu_id=3778&amp;doc_yr=2016&amp;doc_code=AUD" xr:uid="{4E6DF30D-A308-460E-A3A5-7B9D75B49926}"/>
    <hyperlink ref="E1983" r:id="rId1921" display="https://treas-secure.state.mi.us/LAFDocSearch/tl41R01.aspx?&amp;lu_id=3779&amp;doc_yr=2016&amp;doc_code=AUD" xr:uid="{0FF1E52C-C583-45AD-A824-DF653FF71650}"/>
    <hyperlink ref="E1984" r:id="rId1922" display="https://treas-secure.state.mi.us/LAFDocSearch/tl41R01.aspx?&amp;lu_id=3782&amp;doc_yr=2016&amp;doc_code=AUD" xr:uid="{86ADE147-0557-4E01-90FD-14ECFDBF9B07}"/>
    <hyperlink ref="E1985" r:id="rId1923" display="https://treas-secure.state.mi.us/LAFDocSearch/tl41R01.aspx?&amp;lu_id=3790&amp;doc_yr=2016&amp;doc_code=AUD" xr:uid="{D088DB5D-6DE2-485C-AD34-1FDB3D8C4EEB}"/>
    <hyperlink ref="E1986" r:id="rId1924" display="https://treas-secure.state.mi.us/LAFDocSearch/tl41R01.aspx?&amp;lu_id=3762&amp;doc_yr=2016&amp;doc_code=AUD" xr:uid="{FE8C262B-927D-45B8-89BB-E373E49832EA}"/>
    <hyperlink ref="E1987" r:id="rId1925" display="https://treas-secure.state.mi.us/LAFDocSearch/tl41R01.aspx?&amp;lu_id=3824&amp;doc_yr=2016&amp;doc_code=AUD" xr:uid="{BBC0CC65-A961-4833-8502-31DFA79ADF6E}"/>
    <hyperlink ref="E1988" r:id="rId1926" display="https://treas-secure.state.mi.us/LAFDocSearch/tl41R01.aspx?&amp;lu_id=5968&amp;doc_yr=2016&amp;doc_code=AUD" xr:uid="{15596BED-92B7-46CA-829A-70363DDA24B2}"/>
    <hyperlink ref="E1989" r:id="rId1927" display="https://treas-secure.state.mi.us/LAFDocSearch/tl41R01.aspx?&amp;lu_id=3763&amp;doc_yr=2016&amp;doc_code=AUD" xr:uid="{D574D0A7-9418-4D16-951C-E93206A22491}"/>
    <hyperlink ref="E1990" r:id="rId1928" display="https://treas-secure.state.mi.us/LAFDocSearch/tl41R01.aspx?&amp;lu_id=3817&amp;doc_yr=2016&amp;doc_code=AUD" xr:uid="{00435D1C-F3C6-4373-8B9A-2FF09419EF7C}"/>
    <hyperlink ref="E1991" r:id="rId1929" display="https://treas-secure.state.mi.us/LAFDocSearch/tl41R01.aspx?&amp;lu_id=3816&amp;doc_yr=2016&amp;doc_code=AUD" xr:uid="{C203667A-BD90-4116-A640-E9C159C0911C}"/>
    <hyperlink ref="E1992" r:id="rId1930" display="https://treas-secure.state.mi.us/LAFDocSearch/tl41R01.aspx?&amp;lu_id=3819&amp;doc_yr=2016&amp;doc_code=AUD" xr:uid="{CE0D9550-C34C-4003-8767-3C56EA2B124F}"/>
    <hyperlink ref="E1993" r:id="rId1931" display="https://treas-secure.state.mi.us/LAFDocSearch/tl41R01.aspx?&amp;lu_id=3784&amp;doc_yr=2016&amp;doc_code=AUD" xr:uid="{3752CAB9-2B83-4381-83E1-EF0EF029FC4D}"/>
    <hyperlink ref="E1994" r:id="rId1932" display="https://treas-secure.state.mi.us/LAFDocSearch/tl41R01.aspx?&amp;lu_id=3785&amp;doc_yr=2016&amp;doc_code=AUD" xr:uid="{22540F98-311E-4451-BF70-7B0AD3C98034}"/>
    <hyperlink ref="E1995" r:id="rId1933" display="https://treas-secure.state.mi.us/LAFDocSearch/tl41R01.aspx?&amp;lu_id=3786&amp;doc_yr=2016&amp;doc_code=AUD" xr:uid="{5BC14D3C-7B23-4DA3-8CB7-7E00923A8039}"/>
    <hyperlink ref="E1996" r:id="rId1934" display="https://treas-secure.state.mi.us/LAFDocSearch/tl41R01.aspx?&amp;lu_id=3791&amp;doc_yr=2016&amp;doc_code=AUD" xr:uid="{3EDDD831-7C23-4A5B-BB55-B583701882CF}"/>
    <hyperlink ref="E1997" r:id="rId1935" display="https://treas-secure.state.mi.us/LAFDocSearch/tl41R01.aspx?&amp;lu_id=3814&amp;doc_yr=2016&amp;doc_code=AUD" xr:uid="{29A4B8D5-743E-4DC3-BF84-6E93658F6DAE}"/>
    <hyperlink ref="E1998" r:id="rId1936" display="https://treas-secure.state.mi.us/LAFDocSearch/tl41R01.aspx?&amp;lu_id=7072&amp;doc_yr=2016&amp;doc_code=AUD" xr:uid="{F92BC10E-7EC3-4398-91D0-1787CB8C2A8B}"/>
    <hyperlink ref="E1999" r:id="rId1937" display="https://treas-secure.state.mi.us/LAFDocSearch/tl41R01.aspx?&amp;lu_id=3823&amp;doc_yr=2016&amp;doc_code=AUD" xr:uid="{E0FC8DA3-78C1-461A-AE8D-6135DF17861C}"/>
    <hyperlink ref="E2000" r:id="rId1938" display="https://treas-secure.state.mi.us/LAFDocSearch/tl41R01.aspx?&amp;lu_id=3815&amp;doc_yr=2016&amp;doc_code=AUD" xr:uid="{B671BA86-6335-40AE-9F6B-AAD654C5BE33}"/>
    <hyperlink ref="E2002" r:id="rId1939" display="https://treas-secure.state.mi.us/LAFDocSearch/tl41R01.aspx?&amp;lu_id=4146&amp;doc_yr=2016&amp;doc_code=AUD" xr:uid="{0F0A68AE-9132-4B25-8454-458E529A8FD8}"/>
    <hyperlink ref="E2003" r:id="rId1940" display="https://treas-secure.state.mi.us/LAFDocSearch/tl41R01.aspx?&amp;lu_id=4152&amp;doc_yr=2016&amp;doc_code=AUD" xr:uid="{19F26CF8-FCC1-4082-96C9-5834EA7A6AD4}"/>
    <hyperlink ref="E2004" r:id="rId1941" display="https://treas-secure.state.mi.us/LAFDocSearch/tl41R01.aspx?&amp;lu_id=4139&amp;doc_yr=2016&amp;doc_code=AUD" xr:uid="{63ACD38A-9DD1-4BED-AD16-9CE4F5A03E86}"/>
    <hyperlink ref="E2005" r:id="rId1942" display="https://treas-secure.state.mi.us/LAFDocSearch/tl41R01.aspx?&amp;lu_id=3828&amp;doc_yr=2016&amp;doc_code=AUD" xr:uid="{F745CB0F-085E-4C35-BDB8-1BEC27C71B85}"/>
    <hyperlink ref="E2006" r:id="rId1943" display="https://treas-secure.state.mi.us/LAFDocSearch/tl41R01.aspx?&amp;lu_id=4188&amp;doc_yr=2016&amp;doc_code=AUD" xr:uid="{D5F88A5D-581B-4F06-9C0F-68420BB1CCC6}"/>
    <hyperlink ref="E2007" r:id="rId1944" display="https://treas-secure.state.mi.us/LAFDocSearch/tl41R01.aspx?&amp;lu_id=3849&amp;doc_yr=2016&amp;doc_code=AUD" xr:uid="{C2946A91-AF41-49B8-83CC-62E28CB8CC87}"/>
    <hyperlink ref="E2008" r:id="rId1945" display="https://treas-secure.state.mi.us/LAFDocSearch/tl41R01.aspx?&amp;lu_id=4179&amp;doc_yr=2016&amp;doc_code=AUD" xr:uid="{713383E4-3202-4C3D-BBCB-A0686E4A4310}"/>
    <hyperlink ref="E2009" r:id="rId1946" display="https://treas-secure.state.mi.us/LAFDocSearch/tl41R01.aspx?&amp;lu_id=4180&amp;doc_yr=2016&amp;doc_code=AUD" xr:uid="{0B37C444-8A81-445C-8076-B9D21B629B4B}"/>
    <hyperlink ref="E2010" r:id="rId1947" display="https://treas-secure.state.mi.us/LAFDocSearch/tl41R01.aspx?&amp;lu_id=3850&amp;doc_yr=2016&amp;doc_code=AUD" xr:uid="{8D515C8C-B189-4768-A67E-8626A783FE58}"/>
    <hyperlink ref="E2011" r:id="rId1948" display="https://treas-secure.state.mi.us/LAFDocSearch/tl41R01.aspx?&amp;lu_id=3878&amp;doc_yr=2016&amp;doc_code=AUD" xr:uid="{B06D5E9E-EB50-40C4-B32E-F5F672152337}"/>
    <hyperlink ref="E2012" r:id="rId1949" display="https://treas-secure.state.mi.us/LAFDocSearch/tl41R01.aspx?&amp;lu_id=3879&amp;doc_yr=2016&amp;doc_code=AUD" xr:uid="{8C31A94A-1E1F-4267-BE1E-15012A79D23A}"/>
    <hyperlink ref="E2013" r:id="rId1950" display="https://treas-secure.state.mi.us/LAFDocSearch/tl41R01.aspx?&amp;lu_id=3851&amp;doc_yr=2016&amp;doc_code=AUD" xr:uid="{39113A4B-B098-4749-88B9-4B2D79493C69}"/>
    <hyperlink ref="E2014" r:id="rId1951" display="https://treas-secure.state.mi.us/LAFDocSearch/tl41R01.aspx?&amp;lu_id=4144&amp;doc_yr=2016&amp;doc_code=AUD" xr:uid="{46EEA1C2-D30E-4663-8116-53C12B92E9F8}"/>
    <hyperlink ref="E2015" r:id="rId1952" display="https://treas-secure.state.mi.us/LAFDocSearch/tl41R01.aspx?&amp;lu_id=3829&amp;doc_yr=2016&amp;doc_code=AUD" xr:uid="{7A759030-8D52-4B0C-8AB3-BCF9D1446088}"/>
    <hyperlink ref="E2016" r:id="rId1953" display="https://treas-secure.state.mi.us/LAFDocSearch/tl41R01.aspx?&amp;lu_id=3852&amp;doc_yr=2016&amp;doc_code=AUD" xr:uid="{FC79CC21-F245-4003-9FB2-2CC753A7C2FF}"/>
    <hyperlink ref="E2017" r:id="rId1954" display="https://treas-secure.state.mi.us/LAFDocSearch/tl41R01.aspx?&amp;lu_id=4181&amp;doc_yr=2016&amp;doc_code=AUD" xr:uid="{3A5EA0F6-AA87-4D79-8784-9A848597E811}"/>
    <hyperlink ref="E2018" r:id="rId1955" display="https://treas-secure.state.mi.us/LAFDocSearch/tl41R01.aspx?&amp;lu_id=3830&amp;doc_yr=2016&amp;doc_code=AUD" xr:uid="{41865022-E851-4DC7-9942-4F80819E4CB2}"/>
    <hyperlink ref="E2019" r:id="rId1956" display="https://treas-secure.state.mi.us/LAFDocSearch/tl41R01.aspx?&amp;lu_id=4182&amp;doc_yr=2016&amp;doc_code=AUD" xr:uid="{54F5DB07-0233-4537-BA3B-66DB2393C690}"/>
    <hyperlink ref="E2020" r:id="rId1957" display="https://treas-secure.state.mi.us/LAFDocSearch/tl41R01.aspx?&amp;lu_id=4183&amp;doc_yr=2016&amp;doc_code=AUD" xr:uid="{8042D31D-C40A-47D4-B645-9DCD883A5A81}"/>
    <hyperlink ref="E2021" r:id="rId1958" display="https://treas-secure.state.mi.us/LAFDocSearch/tl41R01.aspx?&amp;lu_id=3862&amp;doc_yr=2016&amp;doc_code=AUD" xr:uid="{7F2D62CA-815D-4FA8-AB0B-E47CE088B077}"/>
    <hyperlink ref="E2022" r:id="rId1959" display="https://treas-secure.state.mi.us/LAFDocSearch/tl41R01.aspx?&amp;lu_id=4123&amp;doc_yr=2016&amp;doc_code=AUD" xr:uid="{FD02A1D9-8B8A-4F3F-9E83-4F8CE3529F03}"/>
    <hyperlink ref="E2023" r:id="rId1960" display="https://treas-secure.state.mi.us/LAFDocSearch/tl41R01.aspx?&amp;lu_id=3853&amp;doc_yr=2016&amp;doc_code=AUD" xr:uid="{FE253453-4A48-4CFB-8C52-C08D3A7BF543}"/>
    <hyperlink ref="E2024" r:id="rId1961" display="https://treas-secure.state.mi.us/LAFDocSearch/tl41R01.aspx?&amp;lu_id=6124&amp;doc_yr=2016&amp;doc_code=AUD" xr:uid="{6E389CA0-1A3E-4AFA-BBCC-700CFF147738}"/>
    <hyperlink ref="E2025" r:id="rId1962" display="https://treas-secure.state.mi.us/LAFDocSearch/tl41R01.aspx?&amp;lu_id=3854&amp;doc_yr=2016&amp;doc_code=AUD" xr:uid="{50C4B2A0-D2BD-40A6-A288-BD0BFC40537D}"/>
    <hyperlink ref="E2026" r:id="rId1963" display="https://treas-secure.state.mi.us/LAFDocSearch/tl41R01.aspx?&amp;lu_id=3831&amp;doc_yr=2016&amp;doc_code=AUD" xr:uid="{9D95BE9C-1F53-43A8-B903-C7F860E5E976}"/>
    <hyperlink ref="E2027" r:id="rId1964" display="https://treas-secure.state.mi.us/LAFDocSearch/tl41R01.aspx?&amp;lu_id=3855&amp;doc_yr=2016&amp;doc_code=AUD" xr:uid="{BB3BC676-7DE9-4EA0-9037-4DB35E65CFB1}"/>
    <hyperlink ref="E2028" r:id="rId1965" display="https://treas-secure.state.mi.us/LAFDocSearch/tl41R01.aspx?&amp;lu_id=4175&amp;doc_yr=2016&amp;doc_code=AUD" xr:uid="{DF1395DA-8D19-4FC1-8B31-2FED402C0489}"/>
    <hyperlink ref="E2029" r:id="rId1966" display="https://treas-secure.state.mi.us/LAFDocSearch/tl41R01.aspx?&amp;lu_id=3856&amp;doc_yr=2016&amp;doc_code=AUD" xr:uid="{FB02765A-2211-4219-A505-56408A563D3A}"/>
    <hyperlink ref="E2030" r:id="rId1967" display="https://treas-secure.state.mi.us/LAFDocSearch/tl41R01.aspx?&amp;lu_id=3857&amp;doc_yr=2016&amp;doc_code=AUD" xr:uid="{F6444264-86C4-4B31-86E8-224628C66247}"/>
    <hyperlink ref="E2031" r:id="rId1968" display="https://treas-secure.state.mi.us/LAFDocSearch/tl41R01.aspx?&amp;lu_id=7641&amp;doc_yr=2016&amp;doc_code=AUD" xr:uid="{B8B53274-F0CA-470B-8C26-ADDB956CC57C}"/>
    <hyperlink ref="E2032" r:id="rId1969" display="https://treas-secure.state.mi.us/LAFDocSearch/tl41R01.aspx?&amp;lu_id=3880&amp;doc_yr=2016&amp;doc_code=AUD" xr:uid="{0D76E0BF-B2CA-4A90-851D-CFAA1ED9992C}"/>
    <hyperlink ref="E2033" r:id="rId1970" display="https://treas-secure.state.mi.us/LAFDocSearch/tl41R01.aspx?&amp;lu_id=4190&amp;doc_yr=2016&amp;doc_code=AUD" xr:uid="{AF4DB045-08F0-4946-BD46-194F6F00951B}"/>
    <hyperlink ref="E2034" r:id="rId1971" display="https://treas-secure.state.mi.us/LAFDocSearch/tl41R01.aspx?&amp;lu_id=3832&amp;doc_yr=2016&amp;doc_code=AUD" xr:uid="{9C3A213B-FCC4-48FA-9D81-71B7DBFA4816}"/>
    <hyperlink ref="E2035" r:id="rId1972" display="https://treas-secure.state.mi.us/LAFDocSearch/tl41R01.aspx?&amp;lu_id=3858&amp;doc_yr=2016&amp;doc_code=AUD" xr:uid="{14F10DDC-E4CE-4058-B4EC-A7CBAB5669FB}"/>
    <hyperlink ref="E2036" r:id="rId1973" display="https://treas-secure.state.mi.us/LAFDocSearch/tl41R01.aspx?&amp;lu_id=4177&amp;doc_yr=2016&amp;doc_code=AUD" xr:uid="{B34C11C4-A0D8-40F5-BC4D-0A3900639C11}"/>
    <hyperlink ref="E2037" r:id="rId1974" display="https://treas-secure.state.mi.us/LAFDocSearch/tl41R01.aspx?&amp;lu_id=3833&amp;doc_yr=2016&amp;doc_code=AUD" xr:uid="{2A66611E-3BF9-42D0-B86D-05BAB415AAB3}"/>
    <hyperlink ref="E2038" r:id="rId1975" display="https://treas-secure.state.mi.us/LAFDocSearch/tl41R01.aspx?&amp;lu_id=4186&amp;doc_yr=2016&amp;doc_code=AUD" xr:uid="{B1D0B756-CE0D-4F13-87D7-04BB330F60EF}"/>
    <hyperlink ref="E2039" r:id="rId1976" display="https://treas-secure.state.mi.us/LAFDocSearch/tl41R01.aspx?&amp;lu_id=3834&amp;doc_yr=2016&amp;doc_code=AUD" xr:uid="{2240FC1B-394B-47B1-80EC-D0872BBB03D1}"/>
    <hyperlink ref="E2040" r:id="rId1977" display="https://treas-secure.state.mi.us/LAFDocSearch/tl41R01.aspx?&amp;lu_id=3881&amp;doc_yr=2016&amp;doc_code=AUD" xr:uid="{0BBA7A0B-B9EF-4A7C-B3BD-43B70EE6A7A7}"/>
    <hyperlink ref="E2041" r:id="rId1978" display="https://treas-secure.state.mi.us/LAFDocSearch/tl41R01.aspx?&amp;lu_id=3859&amp;doc_yr=2016&amp;doc_code=AUD" xr:uid="{3BFABDB5-99E0-467E-8DAE-BCA3CF59D850}"/>
    <hyperlink ref="E2042" r:id="rId1979" display="https://treas-secure.state.mi.us/LAFDocSearch/tl41R01.aspx?&amp;lu_id=3835&amp;doc_yr=2016&amp;doc_code=AUD" xr:uid="{7B4DE50A-F049-40AB-8853-D4D4D3C8BE49}"/>
    <hyperlink ref="E2043" r:id="rId1980" display="https://treas-secure.state.mi.us/LAFDocSearch/tl41R01.aspx?&amp;lu_id=3860&amp;doc_yr=2016&amp;doc_code=AUD" xr:uid="{6BD16BBA-3991-4B31-8E56-14E866681224}"/>
    <hyperlink ref="E2044" r:id="rId1981" display="https://treas-secure.state.mi.us/LAFDocSearch/tl41R01.aspx?&amp;lu_id=3861&amp;doc_yr=2016&amp;doc_code=AUD" xr:uid="{3E27F376-72C8-4A4B-84A6-5299F7B322A7}"/>
    <hyperlink ref="E2045" r:id="rId1982" display="https://treas-secure.state.mi.us/LAFDocSearch/tl41R01.aspx?&amp;lu_id=3882&amp;doc_yr=2016&amp;doc_code=AUD" xr:uid="{22507E0B-2764-473B-9746-E4D8B036603E}"/>
    <hyperlink ref="E2046" r:id="rId1983" display="https://treas-secure.state.mi.us/LAFDocSearch/tl41R01.aspx?&amp;lu_id=3883&amp;doc_yr=2016&amp;doc_code=AUD" xr:uid="{37CCD063-022B-47E7-8B75-B33FDAE93AB0}"/>
    <hyperlink ref="E2047" r:id="rId1984" display="https://treas-secure.state.mi.us/LAFDocSearch/tl41R01.aspx?&amp;lu_id=3836&amp;doc_yr=2016&amp;doc_code=AUD" xr:uid="{FBDB1A95-16B4-4D91-BE64-384F69B37A9F}"/>
    <hyperlink ref="E2048" r:id="rId1985" display="https://treas-secure.state.mi.us/LAFDocSearch/tl41R01.aspx?&amp;lu_id=3863&amp;doc_yr=2016&amp;doc_code=AUD" xr:uid="{9CAE4ACF-B387-48EE-9DDA-D49928818D43}"/>
    <hyperlink ref="E2049" r:id="rId1986" display="https://treas-secure.state.mi.us/LAFDocSearch/tl41R01.aspx?&amp;lu_id=3884&amp;doc_yr=2016&amp;doc_code=AUD" xr:uid="{9ED45737-1CEE-4287-95E5-71ED18FAB2FF}"/>
    <hyperlink ref="E2050" r:id="rId1987" display="https://treas-secure.state.mi.us/LAFDocSearch/tl41R01.aspx?&amp;lu_id=3837&amp;doc_yr=2016&amp;doc_code=AUD" xr:uid="{51B99DB8-FD8D-408B-A368-D3EE1A99161F}"/>
    <hyperlink ref="E2051" r:id="rId1988" display="https://treas-secure.state.mi.us/LAFDocSearch/tl41R01.aspx?&amp;lu_id=4151&amp;doc_yr=2016&amp;doc_code=AUD" xr:uid="{FE428FD3-E417-4861-AD1E-75658CBDEAD4}"/>
    <hyperlink ref="E2052" r:id="rId1989" display="https://treas-secure.state.mi.us/LAFDocSearch/tl41R01.aspx?&amp;lu_id=4154&amp;doc_yr=2016&amp;doc_code=AUD" xr:uid="{9BFBF934-29EF-4C5A-9C67-9E7C565B93F6}"/>
    <hyperlink ref="E2053" r:id="rId1990" display="https://treas-secure.state.mi.us/LAFDocSearch/tl41R01.aspx?&amp;lu_id=3864&amp;doc_yr=2016&amp;doc_code=AUD" xr:uid="{2D5279AC-9E3C-45D5-90B7-049153AC6ADC}"/>
    <hyperlink ref="E2054" r:id="rId1991" display="https://treas-secure.state.mi.us/LAFDocSearch/tl41R01.aspx?&amp;lu_id=3838&amp;doc_yr=2016&amp;doc_code=AUD" xr:uid="{A844A0AB-88CF-4341-BBA0-A582C428BF85}"/>
    <hyperlink ref="E2055" r:id="rId1992" display="https://treas-secure.state.mi.us/LAFDocSearch/tl41R01.aspx?&amp;lu_id=3865&amp;doc_yr=2016&amp;doc_code=AUD" xr:uid="{ED00FCBD-8487-4D78-8982-28B35C1D10B1}"/>
    <hyperlink ref="E2056" r:id="rId1993" display="https://treas-secure.state.mi.us/LAFDocSearch/tl41R01.aspx?&amp;lu_id=3826&amp;doc_yr=2016&amp;doc_code=AUD" xr:uid="{523F9DA5-6302-4DF1-9D4D-2C6CEEBAA9D0}"/>
    <hyperlink ref="E2057" r:id="rId1994" display="https://treas-secure.state.mi.us/LAFDocSearch/tl41R01.aspx?&amp;lu_id=3839&amp;doc_yr=2016&amp;doc_code=AUD" xr:uid="{8A45782A-E7E2-4B90-882F-A5F0D56C8B1D}"/>
    <hyperlink ref="E2058" r:id="rId1995" display="https://treas-secure.state.mi.us/LAFDocSearch/tl41R01.aspx?&amp;lu_id=4156&amp;doc_yr=2016&amp;doc_code=AUD" xr:uid="{859AC2F3-0046-4E55-9723-F21B175F0EE1}"/>
    <hyperlink ref="E2059" r:id="rId1996" display="https://treas-secure.state.mi.us/LAFDocSearch/tl41R01.aspx?&amp;lu_id=4160&amp;doc_yr=2016&amp;doc_code=AUD" xr:uid="{4D448521-85CB-4330-9659-9DBA83334D79}"/>
    <hyperlink ref="E2060" r:id="rId1997" display="https://treas-secure.state.mi.us/LAFDocSearch/tl41R01.aspx?&amp;lu_id=7011&amp;doc_yr=2016&amp;doc_code=AUD" xr:uid="{10CA7326-D777-4384-BBE7-68F6E6B9655E}"/>
    <hyperlink ref="E2061" r:id="rId1998" display="https://treas-secure.state.mi.us/LAFDocSearch/tl41R01.aspx?&amp;lu_id=6074&amp;doc_yr=2016&amp;doc_code=AUD" xr:uid="{33F1E8F7-617A-4492-A21B-F5CAC02101C3}"/>
    <hyperlink ref="E2062" r:id="rId1999" display="https://treas-secure.state.mi.us/LAFDocSearch/tl41R01.aspx?&amp;lu_id=3827&amp;doc_yr=2016&amp;doc_code=AUD" xr:uid="{1F19FFB0-68E3-4967-BFB6-C1998FF2AF32}"/>
    <hyperlink ref="E2063" r:id="rId2000" display="https://treas-secure.state.mi.us/LAFDocSearch/tl41R01.aspx?&amp;lu_id=4141&amp;doc_yr=2016&amp;doc_code=AUD" xr:uid="{3C4B707E-86F2-49A4-9E3B-45D70D421085}"/>
    <hyperlink ref="E2064" r:id="rId2001" display="https://treas-secure.state.mi.us/LAFDocSearch/tl41R01.aspx?&amp;lu_id=4174&amp;doc_yr=2016&amp;doc_code=AUD" xr:uid="{40FA9DDC-6ACF-441E-82EC-41FE4D990C3C}"/>
    <hyperlink ref="E2065" r:id="rId2002" display="https://treas-secure.state.mi.us/LAFDocSearch/tl41R01.aspx?&amp;lu_id=3866&amp;doc_yr=2016&amp;doc_code=AUD" xr:uid="{D74BDEC7-7145-4D94-8189-9FAC6CBCB8AA}"/>
    <hyperlink ref="E2066" r:id="rId2003" display="https://treas-secure.state.mi.us/LAFDocSearch/tl41R01.aspx?&amp;lu_id=3840&amp;doc_yr=2016&amp;doc_code=AUD" xr:uid="{C7196A61-707B-45D0-BC5D-5FC21D459348}"/>
    <hyperlink ref="E2067" r:id="rId2004" display="https://treas-secure.state.mi.us/LAFDocSearch/tl41R01.aspx?&amp;lu_id=4185&amp;doc_yr=2016&amp;doc_code=AUD" xr:uid="{3CC4BFDE-EFF6-4AF6-B2EA-93C9290D0E33}"/>
    <hyperlink ref="E2068" r:id="rId2005" display="https://treas-secure.state.mi.us/LAFDocSearch/tl41R01.aspx?&amp;lu_id=3885&amp;doc_yr=2016&amp;doc_code=AUD" xr:uid="{10529490-D837-41DF-8570-DA612AD35619}"/>
    <hyperlink ref="E2069" r:id="rId2006" display="https://treas-secure.state.mi.us/LAFDocSearch/tl41R01.aspx?&amp;lu_id=3886&amp;doc_yr=2016&amp;doc_code=AUD" xr:uid="{B36ABAB9-3097-4A46-A6EC-E6884E37C7E3}"/>
    <hyperlink ref="E2070" r:id="rId2007" display="https://treas-secure.state.mi.us/LAFDocSearch/tl41R01.aspx?&amp;lu_id=3841&amp;doc_yr=2016&amp;doc_code=AUD" xr:uid="{8008F836-3BAE-408F-83A9-E6E008476A03}"/>
    <hyperlink ref="E2071" r:id="rId2008" display="https://treas-secure.state.mi.us/LAFDocSearch/tl41R01.aspx?&amp;lu_id=4201&amp;doc_yr=2016&amp;doc_code=AUD" xr:uid="{F9BC949B-52C4-4D85-9BA1-CC9542C3358F}"/>
    <hyperlink ref="E2072" r:id="rId2009" display="https://treas-secure.state.mi.us/LAFDocSearch/tl41R01.aspx?&amp;lu_id=4145&amp;doc_yr=2016&amp;doc_code=AUD" xr:uid="{0FD118AE-5C36-4DF2-AD87-124D6454BB67}"/>
    <hyperlink ref="E2073" r:id="rId2010" display="https://treas-secure.state.mi.us/LAFDocSearch/tl41R01.aspx?&amp;lu_id=3867&amp;doc_yr=2016&amp;doc_code=AUD" xr:uid="{4185A5FA-E7D0-4F44-A8EA-F58522183D1C}"/>
    <hyperlink ref="E2074" r:id="rId2011" display="https://treas-secure.state.mi.us/LAFDocSearch/tl41R01.aspx?&amp;lu_id=3868&amp;doc_yr=2016&amp;doc_code=AUD" xr:uid="{35FA22C8-6126-4836-9535-EF58C577380B}"/>
    <hyperlink ref="E2075" r:id="rId2012" display="https://treas-secure.state.mi.us/LAFDocSearch/tl41R01.aspx?&amp;lu_id=4130&amp;doc_yr=2016&amp;doc_code=AUD" xr:uid="{215DEEBF-271D-49FE-B38D-3F259C1DF4F2}"/>
    <hyperlink ref="E2076" r:id="rId2013" display="https://treas-secure.state.mi.us/LAFDocSearch/tl41R01.aspx?&amp;lu_id=4129&amp;doc_yr=2016&amp;doc_code=AUD" xr:uid="{57F8985C-5EB4-419A-8AAA-C759A116F40F}"/>
    <hyperlink ref="E2077" r:id="rId2014" display="https://treas-secure.state.mi.us/LAFDocSearch/tl41R01.aspx?&amp;lu_id=6130&amp;doc_yr=2016&amp;doc_code=AUD" xr:uid="{8A3E3DE0-882C-4EB3-B4E7-BBA2923A7C22}"/>
    <hyperlink ref="E2078" r:id="rId2015" display="https://treas-secure.state.mi.us/LAFDocSearch/tl41R01.aspx?&amp;lu_id=4136&amp;doc_yr=2016&amp;doc_code=AUD" xr:uid="{EADD3D31-DEBB-4709-840E-E5FE61C21B80}"/>
    <hyperlink ref="E2079" r:id="rId2016" display="https://treas-secure.state.mi.us/LAFDocSearch/tl41R01.aspx?&amp;lu_id=3869&amp;doc_yr=2016&amp;doc_code=AUD" xr:uid="{F64C71F6-8A3F-4577-8707-478B20121895}"/>
    <hyperlink ref="E2080" r:id="rId2017" display="https://treas-secure.state.mi.us/LAFDocSearch/tl41R01.aspx?&amp;lu_id=6005&amp;doc_yr=2016&amp;doc_code=AUD" xr:uid="{E788F4FC-0052-4C9D-9975-41B8291B4A9F}"/>
    <hyperlink ref="E2081" r:id="rId2018" display="https://treas-secure.state.mi.us/LAFDocSearch/tl41R01.aspx?&amp;lu_id=3870&amp;doc_yr=2016&amp;doc_code=AUD" xr:uid="{3BC21A64-C152-4057-BDD3-F761470BA5DE}"/>
    <hyperlink ref="E2082" r:id="rId2019" display="https://treas-secure.state.mi.us/LAFDocSearch/tl41R01.aspx?&amp;lu_id=4184&amp;doc_yr=2016&amp;doc_code=AUD" xr:uid="{FFE53413-3509-4CA8-AD91-0555BBDD18D3}"/>
    <hyperlink ref="E2083" r:id="rId2020" display="https://treas-secure.state.mi.us/LAFDocSearch/tl41R01.aspx?&amp;lu_id=6004&amp;doc_yr=2016&amp;doc_code=AUD" xr:uid="{C4F35D22-4414-419F-A297-D1D60A6FB97A}"/>
    <hyperlink ref="E2084" r:id="rId2021" display="https://treas-secure.state.mi.us/LAFDocSearch/tl41R01.aspx?&amp;lu_id=3842&amp;doc_yr=2016&amp;doc_code=AUD" xr:uid="{AD2F8762-ECB2-4645-B303-E99A340DBEED}"/>
    <hyperlink ref="E2085" r:id="rId2022" display="https://treas-secure.state.mi.us/LAFDocSearch/tl41R01.aspx?&amp;lu_id=3871&amp;doc_yr=2016&amp;doc_code=AUD" xr:uid="{611FD9B4-0DDB-43E4-8950-0FA25D224A23}"/>
    <hyperlink ref="E2086" r:id="rId2023" display="https://treas-secure.state.mi.us/LAFDocSearch/tl41R01.aspx?&amp;lu_id=4153&amp;doc_yr=2016&amp;doc_code=AUD" xr:uid="{D4138240-513A-4670-9AEF-E78A0C65F489}"/>
    <hyperlink ref="E2087" r:id="rId2024" display="https://treas-secure.state.mi.us/LAFDocSearch/tl41R01.aspx?&amp;lu_id=4176&amp;doc_yr=2016&amp;doc_code=AUD" xr:uid="{31EBBC2C-4495-4D79-A6B9-45465C9BE678}"/>
    <hyperlink ref="E2088" r:id="rId2025" display="https://treas-secure.state.mi.us/LAFDocSearch/tl41R01.aspx?&amp;lu_id=3873&amp;doc_yr=2016&amp;doc_code=AUD" xr:uid="{DAD564D0-9302-4DFC-A419-3A431B5CC507}"/>
    <hyperlink ref="E2089" r:id="rId2026" display="https://treas-secure.state.mi.us/LAFDocSearch/tl41R01.aspx?&amp;lu_id=4143&amp;doc_yr=2016&amp;doc_code=AUD" xr:uid="{70BB1445-5D94-4789-9268-3A7C3A35240F}"/>
    <hyperlink ref="E2090" r:id="rId2027" display="https://treas-secure.state.mi.us/LAFDocSearch/tl41R01.aspx?&amp;lu_id=4138&amp;doc_yr=2016&amp;doc_code=AUD" xr:uid="{BF6F86D5-8040-44D4-A120-652036CF2708}"/>
    <hyperlink ref="E2091" r:id="rId2028" display="https://treas-secure.state.mi.us/LAFDocSearch/tl41R01.aspx?&amp;lu_id=4082&amp;doc_yr=2016&amp;doc_code=AUD" xr:uid="{033FF306-22C9-4C55-80FF-62FF3FF3DF22}"/>
    <hyperlink ref="E2092" r:id="rId2029" display="https://treas-secure.state.mi.us/LAFDocSearch/tl41R01.aspx?&amp;lu_id=3872&amp;doc_yr=2016&amp;doc_code=AUD" xr:uid="{83F274AF-1559-4FEB-9D51-F793A7B28CCC}"/>
    <hyperlink ref="E2093" r:id="rId2030" display="https://treas-secure.state.mi.us/LAFDocSearch/tl41R01.aspx?&amp;lu_id=3844&amp;doc_yr=2016&amp;doc_code=AUD" xr:uid="{33F884F6-6CAD-45C2-BA20-3F1149691ADE}"/>
    <hyperlink ref="E2094" r:id="rId2031" display="https://treas-secure.state.mi.us/LAFDocSearch/tl41R01.aspx?&amp;lu_id=4148&amp;doc_yr=2016&amp;doc_code=AUD" xr:uid="{0CF37720-D955-4DE5-BDC1-9FE8EE509125}"/>
    <hyperlink ref="E2095" r:id="rId2032" display="https://treas-secure.state.mi.us/LAFDocSearch/tl41R01.aspx?&amp;lu_id=3845&amp;doc_yr=2016&amp;doc_code=AUD" xr:uid="{C1E77C0D-2E60-448A-83EB-79E50E4759A8}"/>
    <hyperlink ref="E2096" r:id="rId2033" display="https://treas-secure.state.mi.us/LAFDocSearch/tl41R01.aspx?&amp;lu_id=7833&amp;doc_yr=2016&amp;doc_code=AUD" xr:uid="{1AE95582-C5EE-46F9-9B39-9CA5D9C14670}"/>
    <hyperlink ref="E2097" r:id="rId2034" display="https://treas-secure.state.mi.us/LAFDocSearch/tl41R01.aspx?&amp;lu_id=3874&amp;doc_yr=2016&amp;doc_code=AUD" xr:uid="{70AC6EE1-E77B-4D72-BFEB-C8384E03F7DC}"/>
    <hyperlink ref="E2098" r:id="rId2035" display="https://treas-secure.state.mi.us/LAFDocSearch/tl41R01.aspx?&amp;lu_id=4150&amp;doc_yr=2016&amp;doc_code=AUD" xr:uid="{B8683052-EDA8-40D8-B084-F41A29FCE1A3}"/>
    <hyperlink ref="E2099" r:id="rId2036" display="https://treas-secure.state.mi.us/LAFDocSearch/tl41R01.aspx?&amp;lu_id=3875&amp;doc_yr=2016&amp;doc_code=AUD" xr:uid="{DC74FDA0-6CF1-4BEE-A154-FB31F216E19A}"/>
    <hyperlink ref="E2100" r:id="rId2037" display="https://treas-secure.state.mi.us/LAFDocSearch/tl41R01.aspx?&amp;lu_id=3876&amp;doc_yr=2016&amp;doc_code=AUD" xr:uid="{A1DCF50E-5C9B-4447-834E-8B5725F50F2C}"/>
    <hyperlink ref="E2101" r:id="rId2038" display="https://treas-secure.state.mi.us/LAFDocSearch/tl41R01.aspx?&amp;lu_id=3846&amp;doc_yr=2016&amp;doc_code=AUD" xr:uid="{B11B8861-12DE-4CCD-9BAC-987550107730}"/>
    <hyperlink ref="E2102" r:id="rId2039" display="https://treas-secure.state.mi.us/LAFDocSearch/tl41R01.aspx?&amp;lu_id=3847&amp;doc_yr=2016&amp;doc_code=AUD" xr:uid="{372BA780-4EBB-47B0-8196-AB68A6A54FEA}"/>
    <hyperlink ref="E2103" r:id="rId2040" display="https://treas-secure.state.mi.us/LAFDocSearch/tl41R01.aspx?&amp;lu_id=4178&amp;doc_yr=2016&amp;doc_code=AUD" xr:uid="{1ECAC235-786D-4CAA-BB1F-E83C6D3166F9}"/>
    <hyperlink ref="E2104" r:id="rId2041" display="https://treas-secure.state.mi.us/LAFDocSearch/tl41R01.aspx?&amp;lu_id=4134&amp;doc_yr=2016&amp;doc_code=AUD" xr:uid="{8DE36193-91EA-4209-9C48-91B2449212BE}"/>
    <hyperlink ref="E2105" r:id="rId2042" display="https://treas-secure.state.mi.us/LAFDocSearch/tl41R01.aspx?&amp;lu_id=3848&amp;doc_yr=2016&amp;doc_code=AUD" xr:uid="{CE503E17-482B-4CF5-AF2E-A8BE015B1B15}"/>
    <hyperlink ref="E2106" r:id="rId2043" display="https://treas-secure.state.mi.us/LAFDocSearch/tl41R01.aspx?&amp;lu_id=4187&amp;doc_yr=2016&amp;doc_code=AUD" xr:uid="{5B5D49E4-7E33-4C86-820B-6BC494475781}"/>
    <hyperlink ref="E2107" r:id="rId2044" display="https://treas-secure.state.mi.us/LAFDocSearch/tl41R01.aspx?&amp;lu_id=3877&amp;doc_yr=2016&amp;doc_code=AUD" xr:uid="{ADC5B7A2-4412-41B7-9A80-D6E3C062B865}"/>
    <hyperlink ref="E2108" r:id="rId2045" display="https://treas-secure.state.mi.us/LAFDocSearch/tl41R01.aspx?&amp;lu_id=4189&amp;doc_yr=2016&amp;doc_code=AUD" xr:uid="{6E2D1237-1C8E-41F0-9723-F87FC30B3DF8}"/>
    <hyperlink ref="E2109" r:id="rId2046" display="https://treas-secure.state.mi.us/LAFDocSearch/tl41R01.aspx?&amp;lu_id=3887&amp;doc_yr=2016&amp;doc_code=AUD" xr:uid="{20EE8692-FB38-4C27-BB49-D21E0FD7CCD1}"/>
    <hyperlink ref="E2111" r:id="rId2047" display="https://treas-secure.state.mi.us/LAFDocSearch/tl41R01.aspx?&amp;lu_id=4214&amp;doc_yr=2016&amp;doc_code=AUD" xr:uid="{A2D09463-2667-4252-939C-BCA0141B6CC4}"/>
    <hyperlink ref="E2112" r:id="rId2048" display="https://treas-secure.state.mi.us/LAFDocSearch/tl41R01.aspx?&amp;lu_id=4217&amp;doc_yr=2016&amp;doc_code=AUD" xr:uid="{D1ADF44B-5C26-4D8D-A5CF-DD3249C77FCC}"/>
    <hyperlink ref="E2113" r:id="rId2049" display="https://treas-secure.state.mi.us/LAFDocSearch/tl41R01.aspx?&amp;lu_id=4220&amp;doc_yr=2016&amp;doc_code=AUD" xr:uid="{6FB3BF03-4580-4083-8290-1545997C6FA6}"/>
    <hyperlink ref="E2114" r:id="rId2050" display="https://treas-secure.state.mi.us/LAFDocSearch/tl41R01.aspx?&amp;lu_id=4221&amp;doc_yr=2016&amp;doc_code=AUD" xr:uid="{5F557D3B-9A71-4E50-B93C-D301774975D9}"/>
    <hyperlink ref="E2115" r:id="rId2051" display="https://treas-secure.state.mi.us/LAFDocSearch/tl41R01.aspx?&amp;lu_id=4230&amp;doc_yr=2016&amp;doc_code=AUD" xr:uid="{8488F5B3-B1EA-48C7-A73F-BFBA910E12A5}"/>
    <hyperlink ref="E2116" r:id="rId2052" display="https://treas-secure.state.mi.us/LAFDocSearch/tl41R01.aspx?&amp;lu_id=4223&amp;doc_yr=2016&amp;doc_code=AUD" xr:uid="{DDB20411-80A0-482B-B62A-48E286E72044}"/>
    <hyperlink ref="E2117" r:id="rId2053" display="https://treas-secure.state.mi.us/LAFDocSearch/tl41R01.aspx?&amp;lu_id=4249&amp;doc_yr=2016&amp;doc_code=AUD" xr:uid="{43784CE2-68B4-4249-A07B-2350890FA885}"/>
    <hyperlink ref="E2118" r:id="rId2054" display="https://treas-secure.state.mi.us/LAFDocSearch/tl41R01.aspx?&amp;lu_id=4257&amp;doc_yr=2016&amp;doc_code=AUD" xr:uid="{133D0499-EA40-4A69-A723-CCFEFCCC686E}"/>
    <hyperlink ref="E2119" r:id="rId2055" display="https://treas-secure.state.mi.us/LAFDocSearch/tl41R01.aspx?&amp;lu_id=4231&amp;doc_yr=2016&amp;doc_code=AUD" xr:uid="{5B5D20DB-C9EB-4C08-B593-F9A7E8517088}"/>
    <hyperlink ref="E2120" r:id="rId2056" display="https://treas-secure.state.mi.us/LAFDocSearch/tl41R01.aspx?&amp;lu_id=4252&amp;doc_yr=2016&amp;doc_code=AUD" xr:uid="{52195B0C-FD5C-4933-9240-882FA5D73685}"/>
    <hyperlink ref="E2121" r:id="rId2057" display="https://treas-secure.state.mi.us/LAFDocSearch/tl41R01.aspx?&amp;lu_id=4225&amp;doc_yr=2016&amp;doc_code=AUD" xr:uid="{CDD99188-C956-4F39-B586-B75B516F1641}"/>
    <hyperlink ref="E2122" r:id="rId2058" display="https://treas-secure.state.mi.us/LAFDocSearch/tl41R01.aspx?&amp;lu_id=4212&amp;doc_yr=2016&amp;doc_code=AUD" xr:uid="{EA55BE1B-88DC-4B78-9B13-335F00B327EB}"/>
    <hyperlink ref="E2123" r:id="rId2059" display="https://treas-secure.state.mi.us/LAFDocSearch/tl41R01.aspx?&amp;lu_id=4255&amp;doc_yr=2016&amp;doc_code=AUD" xr:uid="{91FCA580-9AC1-40CA-A757-C78CC0C1003A}"/>
    <hyperlink ref="E2124" r:id="rId2060" display="https://treas-secure.state.mi.us/LAFDocSearch/tl41R01.aspx?&amp;lu_id=4213&amp;doc_yr=2016&amp;doc_code=AUD" xr:uid="{FFCAC97F-C5D9-464D-BAE6-6556ABE217A5}"/>
    <hyperlink ref="E2125" r:id="rId2061" display="https://treas-secure.state.mi.us/LAFDocSearch/tl41R01.aspx?&amp;lu_id=4226&amp;doc_yr=2016&amp;doc_code=AUD" xr:uid="{B09BE805-2B1D-4434-824B-051FF10B3123}"/>
    <hyperlink ref="E2126" r:id="rId2062" display="https://treas-secure.state.mi.us/LAFDocSearch/tl41R01.aspx?&amp;lu_id=4227&amp;doc_yr=2016&amp;doc_code=AUD" xr:uid="{1AA58407-A8FA-448D-9437-27058C9A15A9}"/>
    <hyperlink ref="E2127" r:id="rId2063" display="https://treas-secure.state.mi.us/LAFDocSearch/tl41R01.aspx?&amp;lu_id=4233&amp;doc_yr=2016&amp;doc_code=AUD" xr:uid="{2D055A05-CD64-4571-B80E-C136A8FAFC48}"/>
    <hyperlink ref="E2128" r:id="rId2064" display="https://treas-secure.state.mi.us/LAFDocSearch/tl41R01.aspx?&amp;lu_id=4228&amp;doc_yr=2016&amp;doc_code=AUD" xr:uid="{6E85D2CF-311D-45F2-A8E8-21F7A1263ADC}"/>
    <hyperlink ref="E2129" r:id="rId2065" display="https://treas-secure.state.mi.us/LAFDocSearch/tl41R01.aspx?&amp;lu_id=4235&amp;doc_yr=2016&amp;doc_code=AUD" xr:uid="{3CDD6793-9941-48B0-93F0-EB563CAA44B1}"/>
    <hyperlink ref="E2130" r:id="rId2066" display="https://treas-secure.state.mi.us/LAFDocSearch/tl41R01.aspx?&amp;lu_id=4258&amp;doc_yr=2016&amp;doc_code=AUD" xr:uid="{FF224388-8A63-479E-B1A5-72BCC832E92E}"/>
    <hyperlink ref="E2131" r:id="rId2067" display="https://treas-secure.state.mi.us/LAFDocSearch/tl41R01.aspx?&amp;lu_id=4253&amp;doc_yr=2016&amp;doc_code=AUD" xr:uid="{2F0CE241-D6CF-4093-848C-374B2CDE3767}"/>
    <hyperlink ref="E2132" r:id="rId2068" display="https://treas-secure.state.mi.us/LAFDocSearch/tl41R01.aspx?&amp;lu_id=4236&amp;doc_yr=2016&amp;doc_code=AUD" xr:uid="{41BA7227-022A-4FAD-A6E8-8AD34368B49F}"/>
    <hyperlink ref="E2133" r:id="rId2069" display="https://treas-secure.state.mi.us/LAFDocSearch/tl41R01.aspx?&amp;lu_id=4254&amp;doc_yr=2016&amp;doc_code=AUD" xr:uid="{82CF2CC6-138E-4F79-87F6-A1BAA28E0690}"/>
    <hyperlink ref="E2134" r:id="rId2070" display="https://treas-secure.state.mi.us/LAFDocSearch/tl41R01.aspx?&amp;lu_id=4229&amp;doc_yr=2016&amp;doc_code=AUD" xr:uid="{0512363D-356B-4A86-8345-C0C337E4CF9E}"/>
    <hyperlink ref="E2136" r:id="rId2071" display="https://treas-secure.state.mi.us/LAFDocSearch/tl41R01.aspx?&amp;lu_id=4264&amp;doc_yr=2016&amp;doc_code=AUD" xr:uid="{5E3385C4-B203-4321-AE75-8F7804C1AED5}"/>
    <hyperlink ref="E2137" r:id="rId2072" display="https://treas-secure.state.mi.us/LAFDocSearch/tl41R01.aspx?&amp;lu_id=4289&amp;doc_yr=2016&amp;doc_code=AUD" xr:uid="{B01720C8-0811-4D7C-88A9-EF69EB5A4F44}"/>
    <hyperlink ref="E2138" r:id="rId2073" display="https://treas-secure.state.mi.us/LAFDocSearch/tl41R01.aspx?&amp;lu_id=4266&amp;doc_yr=2016&amp;doc_code=AUD" xr:uid="{93854D0A-CD7E-487E-A514-1A56554253C9}"/>
    <hyperlink ref="E2139" r:id="rId2074" display="https://treas-secure.state.mi.us/LAFDocSearch/tl41R01.aspx?&amp;lu_id=4267&amp;doc_yr=2016&amp;doc_code=AUD" xr:uid="{A7D64CFC-63D6-4FA5-ACA8-5EBCD30D2460}"/>
    <hyperlink ref="E2140" r:id="rId2075" display="https://treas-secure.state.mi.us/LAFDocSearch/tl41R01.aspx?&amp;lu_id=4268&amp;doc_yr=2016&amp;doc_code=AUD" xr:uid="{0A643656-5263-4E1C-A0C6-DFFA4B732BD8}"/>
    <hyperlink ref="E2141" r:id="rId2076" display="https://treas-secure.state.mi.us/LAFDocSearch/tl41R01.aspx?&amp;lu_id=4271&amp;doc_yr=2016&amp;doc_code=AUD" xr:uid="{D1457C46-0C86-4417-A3A2-C6964F41220E}"/>
    <hyperlink ref="E2142" r:id="rId2077" display="https://treas-secure.state.mi.us/LAFDocSearch/tl41R01.aspx?&amp;lu_id=4272&amp;doc_yr=2016&amp;doc_code=AUD" xr:uid="{D342B210-8243-4655-928E-38A6BA70B6F6}"/>
    <hyperlink ref="E2143" r:id="rId2078" display="https://treas-secure.state.mi.us/LAFDocSearch/tl41R01.aspx?&amp;lu_id=4261&amp;doc_yr=2016&amp;doc_code=AUD" xr:uid="{6A337684-7706-4F30-A94B-EE04F946DB84}"/>
    <hyperlink ref="E2144" r:id="rId2079" display="https://treas-secure.state.mi.us/LAFDocSearch/tl41R01.aspx?&amp;lu_id=4273&amp;doc_yr=2016&amp;doc_code=AUD" xr:uid="{2FFBF01E-C064-4606-9254-70C2F5580A43}"/>
    <hyperlink ref="E2145" r:id="rId2080" display="https://treas-secure.state.mi.us/LAFDocSearch/tl41R01.aspx?&amp;lu_id=4291&amp;doc_yr=2016&amp;doc_code=AUD" xr:uid="{3EDD4743-2FD2-48DF-BF9F-C632A7D569C5}"/>
    <hyperlink ref="E2146" r:id="rId2081" display="https://treas-secure.state.mi.us/LAFDocSearch/tl41R01.aspx?&amp;lu_id=4262&amp;doc_yr=2016&amp;doc_code=AUD" xr:uid="{68225BB8-5F00-495D-9514-8AD615BF0F74}"/>
    <hyperlink ref="E2147" r:id="rId2082" display="https://treas-secure.state.mi.us/LAFDocSearch/tl41R01.aspx?&amp;lu_id=4294&amp;doc_yr=2016&amp;doc_code=AUD" xr:uid="{1B4E6364-0740-4B03-A257-FFCC8CEF9E88}"/>
    <hyperlink ref="E2148" r:id="rId2083" display="https://treas-secure.state.mi.us/LAFDocSearch/tl41R01.aspx?&amp;lu_id=4286&amp;doc_yr=2016&amp;doc_code=AUD" xr:uid="{CF26C8F7-D0C0-4F39-8A5F-FD3C403F9608}"/>
    <hyperlink ref="E2149" r:id="rId2084" display="https://treas-secure.state.mi.us/LAFDocSearch/tl41R01.aspx?&amp;lu_id=4279&amp;doc_yr=2016&amp;doc_code=AUD" xr:uid="{210BA86E-5BB4-40C1-B4C2-3774852E7AFF}"/>
    <hyperlink ref="E2150" r:id="rId2085" display="https://treas-secure.state.mi.us/LAFDocSearch/tl41R01.aspx?&amp;lu_id=4274&amp;doc_yr=2016&amp;doc_code=AUD" xr:uid="{3259E2B6-6E72-45CA-A1E7-18AD8F3DFCF1}"/>
    <hyperlink ref="E2151" r:id="rId2086" display="https://treas-secure.state.mi.us/LAFDocSearch/tl41R01.aspx?&amp;lu_id=4285&amp;doc_yr=2016&amp;doc_code=AUD" xr:uid="{32E6D30D-ED33-4CD4-97CE-ACA54A28CD5E}"/>
    <hyperlink ref="E2152" r:id="rId2087" display="https://treas-secure.state.mi.us/LAFDocSearch/tl41R01.aspx?&amp;lu_id=4277&amp;doc_yr=2016&amp;doc_code=AUD" xr:uid="{4E0F8630-E42B-4F4E-9A2C-837BA62B2AFB}"/>
    <hyperlink ref="E2153" r:id="rId2088" display="https://treas-secure.state.mi.us/LAFDocSearch/tl41R01.aspx?&amp;lu_id=4290&amp;doc_yr=2016&amp;doc_code=AUD" xr:uid="{982E0F4B-1285-4AE0-9FF8-83FA36F1D0B2}"/>
    <hyperlink ref="E2154" r:id="rId2089" display="https://treas-secure.state.mi.us/LAFDocSearch/tl41R01.aspx?&amp;lu_id=4292&amp;doc_yr=2016&amp;doc_code=AUD" xr:uid="{12998D2A-FD67-4D20-93FF-D47B158830A9}"/>
    <hyperlink ref="E2155" r:id="rId2090" display="https://treas-secure.state.mi.us/LAFDocSearch/tl41R01.aspx?&amp;lu_id=4278&amp;doc_yr=2016&amp;doc_code=AUD" xr:uid="{DFFD6969-04A7-4F95-A664-92142BB89494}"/>
    <hyperlink ref="E2156" r:id="rId2091" display="https://treas-secure.state.mi.us/LAFDocSearch/tl41R01.aspx?&amp;lu_id=4276&amp;doc_yr=2016&amp;doc_code=AUD" xr:uid="{048B7A80-54EF-4A1D-B3BA-048D87107199}"/>
    <hyperlink ref="E2157" r:id="rId2092" display="https://treas-secure.state.mi.us/LAFDocSearch/tl41R01.aspx?&amp;lu_id=4293&amp;doc_yr=2016&amp;doc_code=AUD" xr:uid="{2FBD0ECE-C9FA-4E14-9AE2-6EA1ED283663}"/>
    <hyperlink ref="E2158" r:id="rId2093" display="https://treas-secure.state.mi.us/LAFDocSearch/tl41R01.aspx?&amp;lu_id=7544&amp;doc_yr=2016&amp;doc_code=AUD" xr:uid="{E0B3735A-F50F-4413-AEBB-048C392F7520}"/>
    <hyperlink ref="E2159" r:id="rId2094" display="https://treas-secure.state.mi.us/LAFDocSearch/tl41R01.aspx?&amp;lu_id=4295&amp;doc_yr=2016&amp;doc_code=AUD" xr:uid="{ED09C98F-0830-452A-B799-A29EA4F81FDF}"/>
    <hyperlink ref="E2161" r:id="rId2095" display="https://treas-secure.state.mi.us/LAFDocSearch/tl41R01.aspx?&amp;lu_id=4299&amp;doc_yr=2016&amp;doc_code=AUD" xr:uid="{6FB91B75-8DA5-485D-9A37-41CFB64BDAA3}"/>
    <hyperlink ref="E2162" r:id="rId2096" display="https://treas-secure.state.mi.us/LAFDocSearch/tl41R01.aspx?&amp;lu_id=4301&amp;doc_yr=2016&amp;doc_code=AUD" xr:uid="{754905BD-CB93-4AEB-BE48-74EA4EF3166A}"/>
    <hyperlink ref="E2163" r:id="rId2097" display="https://treas-secure.state.mi.us/LAFDocSearch/tl41R01.aspx?&amp;lu_id=4303&amp;doc_yr=2016&amp;doc_code=AUD" xr:uid="{9819526F-05B1-4238-8460-927076A1D98C}"/>
    <hyperlink ref="E2164" r:id="rId2098" display="https://treas-secure.state.mi.us/LAFDocSearch/tl41R01.aspx?&amp;lu_id=4305&amp;doc_yr=2016&amp;doc_code=AUD" xr:uid="{14609081-FEDC-4372-9F02-16F6F3D1ECBE}"/>
    <hyperlink ref="E2165" r:id="rId2099" display="https://treas-secure.state.mi.us/LAFDocSearch/tl41R01.aspx?&amp;lu_id=4306&amp;doc_yr=2016&amp;doc_code=AUD" xr:uid="{5A5FAECF-F377-4915-84F0-360EB9352A6F}"/>
    <hyperlink ref="E2166" r:id="rId2100" display="https://treas-secure.state.mi.us/LAFDocSearch/tl41R01.aspx?&amp;lu_id=4297&amp;doc_yr=2016&amp;doc_code=AUD" xr:uid="{7C59C082-B4F9-46C2-BB10-B355BC4AEF91}"/>
    <hyperlink ref="E2167" r:id="rId2101" display="https://treas-secure.state.mi.us/LAFDocSearch/tl41R01.aspx?&amp;lu_id=4310&amp;doc_yr=2016&amp;doc_code=AUD" xr:uid="{C09996FD-0A0A-4FF3-AD3D-95F7B5618589}"/>
    <hyperlink ref="E2168" r:id="rId2102" display="https://treas-secure.state.mi.us/LAFDocSearch/tl41R01.aspx?&amp;lu_id=4318&amp;doc_yr=2016&amp;doc_code=AUD" xr:uid="{0F7532A6-6A8D-4A45-9503-F6D123AECCE6}"/>
    <hyperlink ref="E2169" r:id="rId2103" display="https://treas-secure.state.mi.us/LAFDocSearch/tl41R01.aspx?&amp;lu_id=4298&amp;doc_yr=2016&amp;doc_code=AUD" xr:uid="{C1E17BA3-B85E-4953-B91E-A36A4F4EFC71}"/>
    <hyperlink ref="E2170" r:id="rId2104" display="https://treas-secure.state.mi.us/LAFDocSearch/tl41R01.aspx?&amp;lu_id=4320&amp;doc_yr=2016&amp;doc_code=AUD" xr:uid="{0CA84B06-E00D-4CD9-8826-91262F96B72A}"/>
    <hyperlink ref="E2171" r:id="rId2105" display="https://treas-secure.state.mi.us/LAFDocSearch/tl41R01.aspx?&amp;lu_id=4308&amp;doc_yr=2016&amp;doc_code=AUD" xr:uid="{BFE9C59C-5FFB-470C-8CAE-AD50BEDD15F0}"/>
    <hyperlink ref="E2172" r:id="rId2106" display="https://treas-secure.state.mi.us/LAFDocSearch/tl41R01.aspx?&amp;lu_id=4309&amp;doc_yr=2016&amp;doc_code=AUD" xr:uid="{B42A1C6A-8497-4284-B4C3-F57B17E46E52}"/>
    <hyperlink ref="E2174" r:id="rId2107" display="https://treas-secure.state.mi.us/LAFDocSearch/tl41R01.aspx?&amp;lu_id=4327&amp;doc_yr=2016&amp;doc_code=AUD" xr:uid="{BE8FFDD2-CEE5-470C-9949-634FFF88B123}"/>
    <hyperlink ref="E2175" r:id="rId2108" display="https://treas-secure.state.mi.us/LAFDocSearch/tl41R01.aspx?&amp;lu_id=4342&amp;doc_yr=2016&amp;doc_code=AUD" xr:uid="{0A90EBB5-8669-4E78-AFD4-092EF85B5DB7}"/>
    <hyperlink ref="E2176" r:id="rId2109" display="https://treas-secure.state.mi.us/LAFDocSearch/tl41R01.aspx?&amp;lu_id=4364&amp;doc_yr=2016&amp;doc_code=AUD" xr:uid="{FA906E5C-3913-4BFB-8E5C-D61E155786D8}"/>
    <hyperlink ref="E2177" r:id="rId2110" display="https://treas-secure.state.mi.us/LAFDocSearch/tl41R01.aspx?&amp;lu_id=4362&amp;doc_yr=2016&amp;doc_code=AUD" xr:uid="{E6A58770-1224-46AB-9DA9-B18E48E25CC8}"/>
    <hyperlink ref="E2178" r:id="rId2111" display="https://treas-secure.state.mi.us/LAFDocSearch/tl41R01.aspx?&amp;lu_id=4366&amp;doc_yr=2016&amp;doc_code=AUD" xr:uid="{F1778A68-5FB4-4B27-91B3-5C7EC3655452}"/>
    <hyperlink ref="E2179" r:id="rId2112" display="https://treas-secure.state.mi.us/LAFDocSearch/tl41R01.aspx?&amp;lu_id=4330&amp;doc_yr=2016&amp;doc_code=AUD" xr:uid="{F0C80E59-DDA1-4711-AB04-95113B389210}"/>
    <hyperlink ref="E2180" r:id="rId2113" display="https://treas-secure.state.mi.us/LAFDocSearch/tl41R01.aspx?&amp;lu_id=4344&amp;doc_yr=2016&amp;doc_code=AUD" xr:uid="{8C76FD71-5CE5-452B-AD2F-A747210061AD}"/>
    <hyperlink ref="E2181" r:id="rId2114" display="https://treas-secure.state.mi.us/LAFDocSearch/tl41R01.aspx?&amp;lu_id=4365&amp;doc_yr=2016&amp;doc_code=AUD" xr:uid="{E2F3DC48-9D4B-4BE1-8A61-91D1C8F5A184}"/>
    <hyperlink ref="E2182" r:id="rId2115" display="https://treas-secure.state.mi.us/LAFDocSearch/tl41R01.aspx?&amp;lu_id=4360&amp;doc_yr=2016&amp;doc_code=AUD" xr:uid="{58ECC5D3-11C0-4C7D-A15C-879D7A1B3442}"/>
    <hyperlink ref="E2183" r:id="rId2116" display="https://treas-secure.state.mi.us/LAFDocSearch/tl41R01.aspx?&amp;lu_id=4333&amp;doc_yr=2016&amp;doc_code=AUD" xr:uid="{CB73BD0F-DE5E-4EDA-B36C-8F0428245A6F}"/>
    <hyperlink ref="E2184" r:id="rId2117" display="https://treas-secure.state.mi.us/LAFDocSearch/tl41R01.aspx?&amp;lu_id=4334&amp;doc_yr=2016&amp;doc_code=AUD" xr:uid="{3AA6DADE-D882-4DD7-9F21-422F1F0B6C39}"/>
    <hyperlink ref="E2185" r:id="rId2118" display="https://treas-secure.state.mi.us/LAFDocSearch/tl41R01.aspx?&amp;lu_id=4346&amp;doc_yr=2016&amp;doc_code=AUD" xr:uid="{6C9192CD-5A5A-4FB6-BC86-52FED89678A1}"/>
    <hyperlink ref="E2186" r:id="rId2119" display="https://treas-secure.state.mi.us/LAFDocSearch/tl41R01.aspx?&amp;lu_id=4336&amp;doc_yr=2016&amp;doc_code=AUD" xr:uid="{2DFFA11E-3054-4E21-8E51-511CE92D5733}"/>
    <hyperlink ref="E2187" r:id="rId2120" display="https://treas-secure.state.mi.us/LAFDocSearch/tl41R01.aspx?&amp;lu_id=4324&amp;doc_yr=2016&amp;doc_code=AUD" xr:uid="{0804C8F7-3763-4665-8CF5-CDC25C0FC0AE}"/>
    <hyperlink ref="E2188" r:id="rId2121" display="https://treas-secure.state.mi.us/LAFDocSearch/tl41R01.aspx?&amp;lu_id=4337&amp;doc_yr=2016&amp;doc_code=AUD" xr:uid="{1186A085-0DA7-4596-8792-0127D3CFBD75}"/>
    <hyperlink ref="E2189" r:id="rId2122" display="https://treas-secure.state.mi.us/LAFDocSearch/tl41R01.aspx?&amp;lu_id=4325&amp;doc_yr=2016&amp;doc_code=AUD" xr:uid="{7D0A1775-FF8E-4787-97A0-B26D69BE2369}"/>
    <hyperlink ref="E2190" r:id="rId2123" display="https://treas-secure.state.mi.us/LAFDocSearch/tl41R01.aspx?&amp;lu_id=4343&amp;doc_yr=2016&amp;doc_code=AUD" xr:uid="{23E480E5-2EAE-4967-9A72-BEB9897BD92E}"/>
    <hyperlink ref="E2191" r:id="rId2124" display="https://treas-secure.state.mi.us/LAFDocSearch/tl41R01.aspx?&amp;lu_id=7058&amp;doc_yr=2016&amp;doc_code=AUD" xr:uid="{D945539E-BE01-46D1-80CF-16F1E6544898}"/>
    <hyperlink ref="E2192" r:id="rId2125" display="https://treas-secure.state.mi.us/LAFDocSearch/tl41R01.aspx?&amp;lu_id=4361&amp;doc_yr=2016&amp;doc_code=AUD" xr:uid="{36ADF8C9-70A9-4F43-BE78-5C01B2D0D754}"/>
    <hyperlink ref="E2193" r:id="rId2126" display="https://treas-secure.state.mi.us/LAFDocSearch/tl41R01.aspx?&amp;lu_id=4339&amp;doc_yr=2016&amp;doc_code=AUD" xr:uid="{A9DF872F-7776-4DE7-9199-D1D7E62B4632}"/>
    <hyperlink ref="E2194" r:id="rId2127" display="https://treas-secure.state.mi.us/LAFDocSearch/tl41R01.aspx?&amp;lu_id=4341&amp;doc_yr=2016&amp;doc_code=AUD" xr:uid="{9FAC1364-4888-43FB-AE38-8545C2DC00E7}"/>
    <hyperlink ref="E2195" r:id="rId2128" display="https://treas-secure.state.mi.us/LAFDocSearch/tl41R01.aspx?&amp;lu_id=4347&amp;doc_yr=2016&amp;doc_code=AUD" xr:uid="{77C961C8-CE1A-4DA1-8DB8-16B55B3D2765}"/>
    <hyperlink ref="E2196" r:id="rId2129" display="https://treas-secure.state.mi.us/LAFDocSearch/tl41R01.aspx?&amp;lu_id=4357&amp;doc_yr=2016&amp;doc_code=AUD" xr:uid="{6D191599-6304-4E34-9FF5-83154620424A}"/>
    <hyperlink ref="E2198" r:id="rId2130" display="https://treas-secure.state.mi.us/LAFDocSearch/tl41R01.aspx?&amp;lu_id=4371&amp;doc_yr=2016&amp;doc_code=AUD" xr:uid="{98E027A7-4DDA-4A99-9414-C90E6FB04618}"/>
    <hyperlink ref="E2199" r:id="rId2131" display="https://treas-secure.state.mi.us/LAFDocSearch/tl41R01.aspx?&amp;lu_id=4381&amp;doc_yr=2016&amp;doc_code=AUD" xr:uid="{F6CE5700-2FB2-4A0C-AEB4-203E711FFBC6}"/>
    <hyperlink ref="E2200" r:id="rId2132" display="https://treas-secure.state.mi.us/LAFDocSearch/tl41R01.aspx?&amp;lu_id=4372&amp;doc_yr=2016&amp;doc_code=AUD" xr:uid="{E166F1E3-8AAF-4B55-8C24-86EA9FDAC2EE}"/>
    <hyperlink ref="E2201" r:id="rId2133" display="https://treas-secure.state.mi.us/LAFDocSearch/tl41R01.aspx?&amp;lu_id=4373&amp;doc_yr=2016&amp;doc_code=AUD" xr:uid="{D33A2387-9640-4F1D-B5D4-337559F9025C}"/>
    <hyperlink ref="E2202" r:id="rId2134" display="https://treas-secure.state.mi.us/LAFDocSearch/tl41R01.aspx?&amp;lu_id=4374&amp;doc_yr=2016&amp;doc_code=AUD" xr:uid="{0C228E40-4321-4C2E-9B8C-9A35C4C7C87E}"/>
    <hyperlink ref="E2203" r:id="rId2135" display="https://treas-secure.state.mi.us/LAFDocSearch/tl41R01.aspx?&amp;lu_id=4375&amp;doc_yr=2016&amp;doc_code=AUD" xr:uid="{216C242E-7223-45CD-B633-05DCB4EE9D1C}"/>
    <hyperlink ref="E2204" r:id="rId2136" display="https://treas-secure.state.mi.us/LAFDocSearch/tl41R01.aspx?&amp;lu_id=4376&amp;doc_yr=2016&amp;doc_code=AUD" xr:uid="{8AC8E885-5784-4847-962A-4A3FB1FADA75}"/>
    <hyperlink ref="E2205" r:id="rId2137" display="https://treas-secure.state.mi.us/LAFDocSearch/tl41R01.aspx?&amp;lu_id=4369&amp;doc_yr=2016&amp;doc_code=AUD" xr:uid="{61B9C009-BBF7-48B9-8648-626786AB8FA9}"/>
    <hyperlink ref="E2206" r:id="rId2138" display="https://treas-secure.state.mi.us/LAFDocSearch/tl41R01.aspx?&amp;lu_id=4370&amp;doc_yr=2016&amp;doc_code=AUD" xr:uid="{000D05BF-75EE-4F6A-BB57-066061ED4311}"/>
    <hyperlink ref="E2207" r:id="rId2139" display="https://treas-secure.state.mi.us/LAFDocSearch/tl41R01.aspx?&amp;lu_id=4382&amp;doc_yr=2016&amp;doc_code=AUD" xr:uid="{2227F5B9-6C1D-4738-8ECA-320F3C825774}"/>
    <hyperlink ref="E2209" r:id="rId2140" display="https://treas-secure.state.mi.us/LAFDocSearch/tl41R01.aspx?&amp;lu_id=4386&amp;doc_yr=2016&amp;doc_code=AUD" xr:uid="{3B5F8D0C-21EB-4E2D-B20C-220597C0F284}"/>
    <hyperlink ref="E2210" r:id="rId2141" display="https://treas-secure.state.mi.us/LAFDocSearch/tl41R01.aspx?&amp;lu_id=4405&amp;doc_yr=2016&amp;doc_code=AUD" xr:uid="{D6F408B7-CB0D-4A82-8BD5-0CBC6CCF4FD0}"/>
    <hyperlink ref="E2211" r:id="rId2142" display="https://treas-secure.state.mi.us/LAFDocSearch/tl41R01.aspx?&amp;lu_id=4387&amp;doc_yr=2016&amp;doc_code=AUD" xr:uid="{27C920C2-A635-4126-BEB9-1FFC8FCFFA9E}"/>
    <hyperlink ref="E2212" r:id="rId2143" display="https://treas-secure.state.mi.us/LAFDocSearch/tl41R01.aspx?&amp;lu_id=4388&amp;doc_yr=2016&amp;doc_code=AUD" xr:uid="{546054BD-C755-435F-A854-FB40E8CF6A57}"/>
    <hyperlink ref="E2213" r:id="rId2144" display="https://treas-secure.state.mi.us/LAFDocSearch/tl41R01.aspx?&amp;lu_id=4389&amp;doc_yr=2016&amp;doc_code=AUD" xr:uid="{554340C1-A32E-4BEE-9073-AEFABD7FB5F0}"/>
    <hyperlink ref="E2214" r:id="rId2145" display="https://treas-secure.state.mi.us/LAFDocSearch/tl41R01.aspx?&amp;lu_id=4390&amp;doc_yr=2016&amp;doc_code=AUD" xr:uid="{7234EF30-6DB9-4503-BF4C-367F96B2CDAE}"/>
    <hyperlink ref="E2215" r:id="rId2146" display="https://treas-secure.state.mi.us/LAFDocSearch/tl41R01.aspx?&amp;lu_id=4391&amp;doc_yr=2016&amp;doc_code=AUD" xr:uid="{F34B7B44-3AF9-46E1-8209-D0BD901D6A7D}"/>
    <hyperlink ref="E2216" r:id="rId2147" display="https://treas-secure.state.mi.us/LAFDocSearch/tl41R01.aspx?&amp;lu_id=4395&amp;doc_yr=2016&amp;doc_code=AUD" xr:uid="{FE18F0E4-171B-4906-81B7-A58A23DBA9DB}"/>
    <hyperlink ref="E2217" r:id="rId2148" display="https://treas-secure.state.mi.us/LAFDocSearch/tl41R01.aspx?&amp;lu_id=4392&amp;doc_yr=2016&amp;doc_code=AUD" xr:uid="{88D9D247-F3F9-49DE-861C-6C8C33C86B82}"/>
    <hyperlink ref="E2218" r:id="rId2149" display="https://treas-secure.state.mi.us/LAFDocSearch/tl41R01.aspx?&amp;lu_id=4393&amp;doc_yr=2016&amp;doc_code=AUD" xr:uid="{CC00A70C-3E88-40F5-ACDB-9B6D18E375E2}"/>
    <hyperlink ref="E2219" r:id="rId2150" display="https://treas-secure.state.mi.us/LAFDocSearch/tl41R01.aspx?&amp;lu_id=4384&amp;doc_yr=2016&amp;doc_code=AUD" xr:uid="{7575FA7B-9624-4E26-8EFF-2AB1B201F3E0}"/>
    <hyperlink ref="E2220" r:id="rId2151" display="https://treas-secure.state.mi.us/LAFDocSearch/tl41R01.aspx?&amp;lu_id=4411&amp;doc_yr=2016&amp;doc_code=AUD" xr:uid="{C8C91FC1-CD06-4025-97A7-39F40A69602D}"/>
    <hyperlink ref="E2221" r:id="rId2152" display="https://treas-secure.state.mi.us/LAFDocSearch/tl41R01.aspx?&amp;lu_id=4409&amp;doc_yr=2016&amp;doc_code=AUD" xr:uid="{A0F977A3-5C22-4C20-A48B-BE361B4301E5}"/>
    <hyperlink ref="E2222" r:id="rId2153" display="https://treas-secure.state.mi.us/LAFDocSearch/tl41R01.aspx?&amp;lu_id=4385&amp;doc_yr=2016&amp;doc_code=AUD" xr:uid="{65E28FA0-6A65-40FC-A0BF-422B1C6C32FA}"/>
    <hyperlink ref="E2223" r:id="rId2154" display="https://treas-secure.state.mi.us/LAFDocSearch/tl41R01.aspx?&amp;lu_id=4394&amp;doc_yr=2016&amp;doc_code=AUD" xr:uid="{71404F54-E70E-43D7-BC6C-97FAA9836F23}"/>
    <hyperlink ref="E2224" r:id="rId2155" display="https://treas-secure.state.mi.us/LAFDocSearch/tl41R01.aspx?&amp;lu_id=4396&amp;doc_yr=2016&amp;doc_code=AUD" xr:uid="{63859B0D-C728-4D9A-B03B-C03C7DBE0747}"/>
    <hyperlink ref="E2225" r:id="rId2156" display="https://treas-secure.state.mi.us/LAFDocSearch/tl41R01.aspx?&amp;lu_id=4408&amp;doc_yr=2016&amp;doc_code=AUD" xr:uid="{28CA80C4-270F-44B6-A334-AA987707FDE9}"/>
    <hyperlink ref="E2227" r:id="rId2157" display="https://treas-secure.state.mi.us/LAFDocSearch/tl41R01.aspx?&amp;lu_id=4416&amp;doc_yr=2016&amp;doc_code=AUD" xr:uid="{E27CEB3F-1EA2-4D41-975B-69008A97CA2C}"/>
    <hyperlink ref="E2228" r:id="rId2158" display="https://treas-secure.state.mi.us/LAFDocSearch/tl41R01.aspx?&amp;lu_id=4417&amp;doc_yr=2016&amp;doc_code=AUD" xr:uid="{E88BFBE4-A666-4C6B-92DB-CE4CFC183969}"/>
    <hyperlink ref="E2229" r:id="rId2159" display="https://treas-secure.state.mi.us/LAFDocSearch/tl41R01.aspx?&amp;lu_id=4493&amp;doc_yr=2016&amp;doc_code=AUD" xr:uid="{362119EE-56CE-4610-968D-D02D430A7541}"/>
    <hyperlink ref="E2230" r:id="rId2160" display="https://treas-secure.state.mi.us/LAFDocSearch/tl41R01.aspx?&amp;lu_id=4433&amp;doc_yr=2016&amp;doc_code=AUD" xr:uid="{192ACBDD-0A26-4DC7-8527-7B472ECC1BF5}"/>
    <hyperlink ref="E2231" r:id="rId2161" display="https://treas-secure.state.mi.us/LAFDocSearch/tl41R01.aspx?&amp;lu_id=4501&amp;doc_yr=2016&amp;doc_code=AUD" xr:uid="{66C685A8-4494-4BC3-ACFA-6F3ECAAC688A}"/>
    <hyperlink ref="E2232" r:id="rId2162" display="https://treas-secure.state.mi.us/LAFDocSearch/tl41R01.aspx?&amp;lu_id=4488&amp;doc_yr=2016&amp;doc_code=AUD" xr:uid="{5F128171-7D0C-4CDD-97F6-58F278F15B4A}"/>
    <hyperlink ref="E2233" r:id="rId2163" display="https://treas-secure.state.mi.us/LAFDocSearch/tl41R01.aspx?&amp;lu_id=4419&amp;doc_yr=2016&amp;doc_code=AUD" xr:uid="{A6CBA594-5EEC-423D-BBC4-0802DF3D9538}"/>
    <hyperlink ref="E2234" r:id="rId2164" display="https://treas-secure.state.mi.us/LAFDocSearch/tl41R01.aspx?&amp;lu_id=4434&amp;doc_yr=2016&amp;doc_code=AUD" xr:uid="{92B0EF77-2D12-4F99-A568-6DD4A53FAEAD}"/>
    <hyperlink ref="E2235" r:id="rId2165" display="https://treas-secure.state.mi.us/LAFDocSearch/tl41R01.aspx?&amp;lu_id=4420&amp;doc_yr=2016&amp;doc_code=AUD" xr:uid="{7C30D075-23AB-4107-8BF7-72EEDE5C2E78}"/>
    <hyperlink ref="E2236" r:id="rId2166" display="https://treas-secure.state.mi.us/LAFDocSearch/tl41R01.aspx?&amp;lu_id=4435&amp;doc_yr=2016&amp;doc_code=AUD" xr:uid="{CDBBD9DF-807B-4BFC-ADCA-968682BE1C39}"/>
    <hyperlink ref="E2237" r:id="rId2167" display="https://treas-secure.state.mi.us/LAFDocSearch/tl41R01.aspx?&amp;lu_id=6057&amp;doc_yr=2016&amp;doc_code=AUD" xr:uid="{88EA5A07-0950-41B1-9B18-935264298B8B}"/>
    <hyperlink ref="E2238" r:id="rId2168" display="https://treas-secure.state.mi.us/LAFDocSearch/tl41R01.aspx?&amp;lu_id=4421&amp;doc_yr=2016&amp;doc_code=AUD" xr:uid="{3092E28F-E119-48B2-9331-10BB4225EADA}"/>
    <hyperlink ref="E2239" r:id="rId2169" display="https://treas-secure.state.mi.us/LAFDocSearch/tl41R01.aspx?&amp;lu_id=4461&amp;doc_yr=2016&amp;doc_code=AUD" xr:uid="{549D6D12-A600-4C15-9171-DCA226A4068D}"/>
    <hyperlink ref="E2240" r:id="rId2170" display="https://treas-secure.state.mi.us/LAFDocSearch/tl41R01.aspx?&amp;lu_id=4479&amp;doc_yr=2016&amp;doc_code=AUD" xr:uid="{8FF47DF2-BA00-4B78-AFCD-57618853E77F}"/>
    <hyperlink ref="E2241" r:id="rId2171" display="https://treas-secure.state.mi.us/LAFDocSearch/tl41R01.aspx?&amp;lu_id=4499&amp;doc_yr=2016&amp;doc_code=AUD" xr:uid="{7D0AC804-65BF-4A30-814C-BC57A0904B4F}"/>
    <hyperlink ref="E2242" r:id="rId2172" display="https://treas-secure.state.mi.us/LAFDocSearch/tl41R01.aspx?&amp;lu_id=4436&amp;doc_yr=2016&amp;doc_code=AUD" xr:uid="{76A4EDC2-2BBE-4495-9376-3AB12D249E7D}"/>
    <hyperlink ref="E2243" r:id="rId2173" display="https://treas-secure.state.mi.us/LAFDocSearch/tl41R01.aspx?&amp;lu_id=4480&amp;doc_yr=2016&amp;doc_code=AUD" xr:uid="{85517E13-704A-4538-9A3F-C9A3ABD5538A}"/>
    <hyperlink ref="E2244" r:id="rId2174" display="https://treas-secure.state.mi.us/LAFDocSearch/tl41R01.aspx?&amp;lu_id=4471&amp;doc_yr=2016&amp;doc_code=AUD" xr:uid="{F6160B0D-C388-4FF9-8946-317E95945B31}"/>
    <hyperlink ref="E2245" r:id="rId2175" display="https://treas-secure.state.mi.us/LAFDocSearch/tl41R01.aspx?&amp;lu_id=4422&amp;doc_yr=2016&amp;doc_code=AUD" xr:uid="{892AED06-775C-46B8-AEF2-193A4A512A36}"/>
    <hyperlink ref="E2246" r:id="rId2176" display="https://treas-secure.state.mi.us/LAFDocSearch/tl41R01.aspx?&amp;lu_id=4491&amp;doc_yr=2016&amp;doc_code=AUD" xr:uid="{1918D42F-776C-4D17-854C-A56614665B72}"/>
    <hyperlink ref="E2247" r:id="rId2177" display="https://treas-secure.state.mi.us/LAFDocSearch/tl41R01.aspx?&amp;lu_id=4437&amp;doc_yr=2016&amp;doc_code=AUD" xr:uid="{398ABEB8-1F43-4481-A349-AAB01431888D}"/>
    <hyperlink ref="E2248" r:id="rId2178" display="https://treas-secure.state.mi.us/LAFDocSearch/tl41R01.aspx?&amp;lu_id=4423&amp;doc_yr=2016&amp;doc_code=AUD" xr:uid="{DF054B0F-45B0-493C-A7BB-5F4AE66AB712}"/>
    <hyperlink ref="E2249" r:id="rId2179" display="https://treas-secure.state.mi.us/LAFDocSearch/tl41R01.aspx?&amp;lu_id=4500&amp;doc_yr=2016&amp;doc_code=AUD" xr:uid="{A9D844DB-AE90-46AF-B4AB-4740F5531D6D}"/>
    <hyperlink ref="E2250" r:id="rId2180" display="https://treas-secure.state.mi.us/LAFDocSearch/tl41R01.aspx?&amp;lu_id=4494&amp;doc_yr=2016&amp;doc_code=AUD" xr:uid="{420B029E-0FB1-4F0A-A24A-6DEC610992F5}"/>
    <hyperlink ref="E2251" r:id="rId2181" display="https://treas-secure.state.mi.us/LAFDocSearch/tl41R01.aspx?&amp;lu_id=4482&amp;doc_yr=2016&amp;doc_code=AUD" xr:uid="{7BF7CD29-C4F4-42DA-AC85-3BC037284766}"/>
    <hyperlink ref="E2252" r:id="rId2182" display="https://treas-secure.state.mi.us/LAFDocSearch/tl41R01.aspx?&amp;lu_id=4489&amp;doc_yr=2016&amp;doc_code=AUD" xr:uid="{349E023E-D314-414F-87E1-9AC6197F0184}"/>
    <hyperlink ref="E2253" r:id="rId2183" display="https://treas-secure.state.mi.us/LAFDocSearch/tl41R01.aspx?&amp;lu_id=4484&amp;doc_yr=2016&amp;doc_code=AUD" xr:uid="{81886E0D-3552-44DF-94A5-4EB19B7FE66A}"/>
    <hyperlink ref="E2254" r:id="rId2184" display="https://treas-secure.state.mi.us/LAFDocSearch/tl41R01.aspx?&amp;lu_id=4424&amp;doc_yr=2016&amp;doc_code=AUD" xr:uid="{142ABC1C-1F94-4E43-9056-C8ED31678F82}"/>
    <hyperlink ref="E2255" r:id="rId2185" display="https://treas-secure.state.mi.us/LAFDocSearch/tl41R01.aspx?&amp;lu_id=4414&amp;doc_yr=2016&amp;doc_code=AUD" xr:uid="{D4D99391-9D6C-4676-B70A-957C080ADF66}"/>
    <hyperlink ref="E2256" r:id="rId2186" display="https://treas-secure.state.mi.us/LAFDocSearch/tl41R01.aspx?&amp;lu_id=4415&amp;doc_yr=2016&amp;doc_code=AUD" xr:uid="{316D9F7A-7E36-4D37-8E3B-1EAEF776B09F}"/>
    <hyperlink ref="E2257" r:id="rId2187" display="https://treas-secure.state.mi.us/LAFDocSearch/tl41R01.aspx?&amp;lu_id=4485&amp;doc_yr=2016&amp;doc_code=AUD" xr:uid="{7870510E-7CAA-4412-95F5-3114458C80DA}"/>
    <hyperlink ref="E2258" r:id="rId2188" display="https://treas-secure.state.mi.us/LAFDocSearch/tl41R01.aspx?&amp;lu_id=4486&amp;doc_yr=2016&amp;doc_code=AUD" xr:uid="{CF060C73-0797-4652-88B2-5785E025A9EF}"/>
    <hyperlink ref="E2259" r:id="rId2189" display="https://treas-secure.state.mi.us/LAFDocSearch/tl41R01.aspx?&amp;lu_id=4487&amp;doc_yr=2016&amp;doc_code=AUD" xr:uid="{450D754B-0993-4EC1-B8AA-6310361BB1A0}"/>
    <hyperlink ref="E2260" r:id="rId2190" display="https://treas-secure.state.mi.us/LAFDocSearch/tl41R01.aspx?&amp;lu_id=4425&amp;doc_yr=2016&amp;doc_code=AUD" xr:uid="{1C8AE9E8-534D-4A66-BD47-EB99DCAB689C}"/>
    <hyperlink ref="E2261" r:id="rId2191" display="https://treas-secure.state.mi.us/LAFDocSearch/tl41R01.aspx?&amp;lu_id=4470&amp;doc_yr=2016&amp;doc_code=AUD" xr:uid="{3928DB22-82DA-4395-9746-C27119D0597C}"/>
    <hyperlink ref="E2262" r:id="rId2192" display="https://treas-secure.state.mi.us/LAFDocSearch/tl41R01.aspx?&amp;lu_id=4426&amp;doc_yr=2016&amp;doc_code=AUD" xr:uid="{61A223D2-71C7-4FB6-908A-AA705DD5ED00}"/>
    <hyperlink ref="E2263" r:id="rId2193" display="https://treas-secure.state.mi.us/LAFDocSearch/tl41R01.aspx?&amp;lu_id=4427&amp;doc_yr=2016&amp;doc_code=AUD" xr:uid="{0E2CEEC6-173B-4298-BB58-04FB67B56B65}"/>
    <hyperlink ref="E2264" r:id="rId2194" display="https://treas-secure.state.mi.us/LAFDocSearch/tl41R01.aspx?&amp;lu_id=4428&amp;doc_yr=2016&amp;doc_code=AUD" xr:uid="{1A64ED71-B7E5-44AA-B851-4BD960B27738}"/>
    <hyperlink ref="E2265" r:id="rId2195" display="https://treas-secure.state.mi.us/LAFDocSearch/tl41R01.aspx?&amp;lu_id=4429&amp;doc_yr=2016&amp;doc_code=AUD" xr:uid="{B6073F05-82AC-4A61-8696-7E6999D1A643}"/>
    <hyperlink ref="E2266" r:id="rId2196" display="https://treas-secure.state.mi.us/LAFDocSearch/tl41R01.aspx?&amp;lu_id=4439&amp;doc_yr=2016&amp;doc_code=AUD" xr:uid="{BC8F1ADE-DE34-4BB6-AAFB-B68C4EA8D46A}"/>
    <hyperlink ref="E2267" r:id="rId2197" display="https://treas-secure.state.mi.us/LAFDocSearch/tl41R01.aspx?&amp;lu_id=4502&amp;doc_yr=2016&amp;doc_code=AUD" xr:uid="{FAB9F5B4-A3CF-4E20-86E3-B4BA82EFC4E8}"/>
    <hyperlink ref="E2268" r:id="rId2198" display="https://treas-secure.state.mi.us/LAFDocSearch/tl41R01.aspx?&amp;lu_id=4430&amp;doc_yr=2016&amp;doc_code=AUD" xr:uid="{03FEFD9E-2207-492C-AB4A-FB5D861C8A65}"/>
    <hyperlink ref="E2269" r:id="rId2199" display="https://treas-secure.state.mi.us/LAFDocSearch/tl41R01.aspx?&amp;lu_id=4492&amp;doc_yr=2016&amp;doc_code=AUD" xr:uid="{BD3B8018-1B6B-48DF-8A28-5A863CE04D98}"/>
    <hyperlink ref="E2270" r:id="rId2200" display="https://treas-secure.state.mi.us/LAFDocSearch/tl41R01.aspx?&amp;lu_id=4496&amp;doc_yr=2016&amp;doc_code=AUD" xr:uid="{56518B72-F97C-47CF-A490-270FAED038C7}"/>
    <hyperlink ref="E2271" r:id="rId2201" display="https://treas-secure.state.mi.us/LAFDocSearch/tl41R01.aspx?&amp;lu_id=4431&amp;doc_yr=2016&amp;doc_code=AUD" xr:uid="{A6C0CC8D-E162-47F0-8470-94A1CB4D4EDE}"/>
    <hyperlink ref="E2272" r:id="rId2202" display="https://treas-secure.state.mi.us/LAFDocSearch/tl41R01.aspx?&amp;lu_id=4438&amp;doc_yr=2016&amp;doc_code=AUD" xr:uid="{5F9EAEF4-9CA0-4D3D-8876-D2971F5B0CC8}"/>
    <hyperlink ref="E2273" r:id="rId2203" display="https://treas-secure.state.mi.us/LAFDocSearch/tl41R01.aspx?&amp;lu_id=4432&amp;doc_yr=2016&amp;doc_code=AUD" xr:uid="{FA903FA3-6F6C-4395-AE4F-8EECFC232CE2}"/>
    <hyperlink ref="E2275" r:id="rId2204" display="https://treas-secure.state.mi.us/LAFDocSearch/tl41R01.aspx?&amp;lu_id=4513&amp;doc_yr=2016&amp;doc_code=AUD" xr:uid="{9442FB64-6969-4094-9F95-257F4027E05A}"/>
    <hyperlink ref="E2276" r:id="rId2205" display="https://treas-secure.state.mi.us/LAFDocSearch/tl41R01.aspx?&amp;lu_id=4514&amp;doc_yr=2016&amp;doc_code=AUD" xr:uid="{DFE7BA85-FDFB-40E6-83F8-C31926C92FC5}"/>
    <hyperlink ref="E2277" r:id="rId2206" display="https://treas-secure.state.mi.us/LAFDocSearch/tl41R01.aspx?&amp;lu_id=4516&amp;doc_yr=2016&amp;doc_code=AUD" xr:uid="{B9FF4FF0-FCE5-44A8-A7A4-154F11934ECD}"/>
    <hyperlink ref="E2278" r:id="rId2207" display="https://treas-secure.state.mi.us/LAFDocSearch/tl41R01.aspx?&amp;lu_id=4517&amp;doc_yr=2016&amp;doc_code=AUD" xr:uid="{1F02100D-4199-44F7-A314-42E6617862DF}"/>
    <hyperlink ref="E2279" r:id="rId2208" display="https://treas-secure.state.mi.us/LAFDocSearch/tl41R01.aspx?&amp;lu_id=4518&amp;doc_yr=2016&amp;doc_code=AUD" xr:uid="{73F1F8B7-DEC6-4E42-B109-A67F629DEBAB}"/>
    <hyperlink ref="E2280" r:id="rId2209" display="https://treas-secure.state.mi.us/LAFDocSearch/tl41R01.aspx?&amp;lu_id=4528&amp;doc_yr=2016&amp;doc_code=AUD" xr:uid="{E1C814BB-8A43-4D7D-BAAD-C7AE8ADD0778}"/>
    <hyperlink ref="E2281" r:id="rId2210" display="https://treas-secure.state.mi.us/LAFDocSearch/tl41R01.aspx?&amp;lu_id=4520&amp;doc_yr=2016&amp;doc_code=AUD" xr:uid="{453D437D-131B-4B5F-9CBA-C925CD6C3473}"/>
    <hyperlink ref="E2282" r:id="rId2211" display="https://treas-secure.state.mi.us/LAFDocSearch/tl41R01.aspx?&amp;lu_id=4539&amp;doc_yr=2016&amp;doc_code=AUD" xr:uid="{B4FE701F-C8E1-4F4F-A288-F30E36F50266}"/>
    <hyperlink ref="E2283" r:id="rId2212" display="https://treas-secure.state.mi.us/LAFDocSearch/tl41R01.aspx?&amp;lu_id=4526&amp;doc_yr=2016&amp;doc_code=AUD" xr:uid="{C992562E-7F91-4039-923E-60E69D479FE3}"/>
    <hyperlink ref="E2284" r:id="rId2213" display="https://treas-secure.state.mi.us/LAFDocSearch/tl41R01.aspx?&amp;lu_id=4535&amp;doc_yr=2016&amp;doc_code=AUD" xr:uid="{30C48D57-820D-4F96-BF42-65E97D4AA207}"/>
    <hyperlink ref="E2285" r:id="rId2214" display="https://treas-secure.state.mi.us/LAFDocSearch/tl41R01.aspx?&amp;lu_id=4522&amp;doc_yr=2016&amp;doc_code=AUD" xr:uid="{B693A257-EB73-43FC-ADEB-521372627C59}"/>
    <hyperlink ref="E2286" r:id="rId2215" display="https://treas-secure.state.mi.us/LAFDocSearch/tl41R01.aspx?&amp;lu_id=4529&amp;doc_yr=2016&amp;doc_code=AUD" xr:uid="{85979272-0114-4C9A-BD60-0F5B04ABECDE}"/>
    <hyperlink ref="E2287" r:id="rId2216" display="https://treas-secure.state.mi.us/LAFDocSearch/tl41R01.aspx?&amp;lu_id=4537&amp;doc_yr=2016&amp;doc_code=AUD" xr:uid="{DE5957A1-B927-4355-B315-5629E5ADF257}"/>
    <hyperlink ref="E2288" r:id="rId2217" display="https://treas-secure.state.mi.us/LAFDocSearch/tl41R01.aspx?&amp;lu_id=4510&amp;doc_yr=2016&amp;doc_code=AUD" xr:uid="{AFA05029-D690-4A88-AD56-9CAE4A9583CF}"/>
    <hyperlink ref="E2289" r:id="rId2218" display="https://treas-secure.state.mi.us/LAFDocSearch/tl41R01.aspx?&amp;lu_id=4523&amp;doc_yr=2016&amp;doc_code=AUD" xr:uid="{631C18D3-55DD-4DC0-974A-6E5A0FB75BE3}"/>
    <hyperlink ref="E2290" r:id="rId2219" display="https://treas-secure.state.mi.us/LAFDocSearch/tl41R01.aspx?&amp;lu_id=4511&amp;doc_yr=2016&amp;doc_code=AUD" xr:uid="{2C85A77F-CCA4-4307-A221-611E6C1423D9}"/>
    <hyperlink ref="E2291" r:id="rId2220" display="https://treas-secure.state.mi.us/LAFDocSearch/tl41R01.aspx?&amp;lu_id=4543&amp;doc_yr=2016&amp;doc_code=AUD" xr:uid="{35C57C1B-7C51-4A6A-B041-CA014568C962}"/>
    <hyperlink ref="E2292" r:id="rId2221" display="https://treas-secure.state.mi.us/LAFDocSearch/tl41R01.aspx?&amp;lu_id=4524&amp;doc_yr=2016&amp;doc_code=AUD" xr:uid="{B29DB5A5-7DF1-490C-8507-342BF2A9AD2D}"/>
    <hyperlink ref="E2293" r:id="rId2222" display="https://treas-secure.state.mi.us/LAFDocSearch/tl41R01.aspx?&amp;lu_id=4525&amp;doc_yr=2016&amp;doc_code=AUD" xr:uid="{EF45CED6-D2E2-4677-A0A5-961ED1287691}"/>
    <hyperlink ref="E2294" r:id="rId2223" display="https://treas-secure.state.mi.us/LAFDocSearch/tl41R01.aspx?&amp;lu_id=4527&amp;doc_yr=2016&amp;doc_code=AUD" xr:uid="{4B3573A2-35BD-4D1F-8789-785B42EF4CF5}"/>
    <hyperlink ref="E2295" r:id="rId2224" display="https://treas-secure.state.mi.us/LAFDocSearch/tl41R01.aspx?&amp;lu_id=4536&amp;doc_yr=2016&amp;doc_code=AUD" xr:uid="{6F3922BF-017E-4B47-BA64-952DF38A3FCF}"/>
    <hyperlink ref="E2296" r:id="rId2225" display="https://treas-secure.state.mi.us/LAFDocSearch/tl41R01.aspx?&amp;lu_id=4541&amp;doc_yr=2016&amp;doc_code=AUD" xr:uid="{7D16C90A-D53B-475A-B5BA-79201A2304DF}"/>
    <hyperlink ref="E2297" r:id="rId2226" display="https://treas-secure.state.mi.us/LAFDocSearch/tl41R01.aspx?&amp;lu_id=4540&amp;doc_yr=2016&amp;doc_code=AUD" xr:uid="{9AF4346F-E3BF-42B2-A9E6-F42BCD469E1C}"/>
    <hyperlink ref="E2299" r:id="rId2227" display="https://treas-secure.state.mi.us/LAFDocSearch/tl41R01.aspx?&amp;lu_id=4547&amp;doc_yr=2016&amp;doc_code=AUD" xr:uid="{E897D6BE-2FC9-4A49-9F52-31BA8C01ADB5}"/>
    <hyperlink ref="E2300" r:id="rId2228" display="https://treas-secure.state.mi.us/LAFDocSearch/tl41R01.aspx?&amp;lu_id=4548&amp;doc_yr=2016&amp;doc_code=AUD" xr:uid="{CAE05575-724B-4D28-BD0A-6B6CAE3CF79A}"/>
    <hyperlink ref="E2301" r:id="rId2229" display="https://treas-secure.state.mi.us/LAFDocSearch/tl41R01.aspx?&amp;lu_id=4549&amp;doc_yr=2016&amp;doc_code=AUD" xr:uid="{F809BD4A-7798-4935-BCA8-07C90364AB8A}"/>
    <hyperlink ref="E2302" r:id="rId2230" display="https://treas-secure.state.mi.us/LAFDocSearch/tl41R01.aspx?&amp;lu_id=4570&amp;doc_yr=2016&amp;doc_code=AUD" xr:uid="{E9032D71-77CE-4B66-ADF0-D39E8D741CC1}"/>
    <hyperlink ref="E2303" r:id="rId2231" display="https://treas-secure.state.mi.us/LAFDocSearch/tl41R01.aspx?&amp;lu_id=4565&amp;doc_yr=2016&amp;doc_code=AUD" xr:uid="{30A6F8E8-3F6E-4DC6-9F86-A0E4BCCF4E3E}"/>
    <hyperlink ref="E2304" r:id="rId2232" display="https://treas-secure.state.mi.us/LAFDocSearch/tl41R01.aspx?&amp;lu_id=4567&amp;doc_yr=2016&amp;doc_code=AUD" xr:uid="{1C602333-D25E-48DD-A95E-FA700AEF9B73}"/>
    <hyperlink ref="E2305" r:id="rId2233" display="https://treas-secure.state.mi.us/LAFDocSearch/tl41R01.aspx?&amp;lu_id=4571&amp;doc_yr=2016&amp;doc_code=AUD" xr:uid="{431BCC1F-05D3-4BE6-82B8-C9DE8FB66938}"/>
    <hyperlink ref="E2306" r:id="rId2234" display="https://treas-secure.state.mi.us/LAFDocSearch/tl41R01.aspx?&amp;lu_id=4572&amp;doc_yr=2016&amp;doc_code=AUD" xr:uid="{00DE10A1-00C0-46B9-82E4-911906C5C8F3}"/>
    <hyperlink ref="E2307" r:id="rId2235" display="https://treas-secure.state.mi.us/LAFDocSearch/tl41R01.aspx?&amp;lu_id=4566&amp;doc_yr=2016&amp;doc_code=AUD" xr:uid="{2E5292D1-0277-4AB4-A124-99252170B9F4}"/>
    <hyperlink ref="E2308" r:id="rId2236" display="https://treas-secure.state.mi.us/LAFDocSearch/tl41R01.aspx?&amp;lu_id=6071&amp;doc_yr=2016&amp;doc_code=AUD" xr:uid="{49636AFA-7C97-436D-B72C-F976B89E1959}"/>
    <hyperlink ref="E2309" r:id="rId2237" display="https://treas-secure.state.mi.us/LAFDocSearch/tl41R01.aspx?&amp;lu_id=4552&amp;doc_yr=2016&amp;doc_code=AUD" xr:uid="{3C9A378B-5896-486C-A409-02E7BE96B3F8}"/>
    <hyperlink ref="E2310" r:id="rId2238" display="https://treas-secure.state.mi.us/LAFDocSearch/tl41R01.aspx?&amp;lu_id=4553&amp;doc_yr=2016&amp;doc_code=AUD" xr:uid="{D0057949-6E39-427B-BD8E-E0B32F15D9E4}"/>
    <hyperlink ref="E2311" r:id="rId2239" display="https://treas-secure.state.mi.us/LAFDocSearch/tl41R01.aspx?&amp;lu_id=4555&amp;doc_yr=2016&amp;doc_code=AUD" xr:uid="{1D05F10F-057E-41BB-8020-E1ED173E8964}"/>
    <hyperlink ref="E2312" r:id="rId2240" display="https://treas-secure.state.mi.us/LAFDocSearch/tl41R01.aspx?&amp;lu_id=4544&amp;doc_yr=2016&amp;doc_code=AUD" xr:uid="{2E45845C-E0CD-4805-ABEF-9D958DE53D47}"/>
    <hyperlink ref="E2313" r:id="rId2241" display="https://treas-secure.state.mi.us/LAFDocSearch/tl41R01.aspx?&amp;lu_id=4556&amp;doc_yr=2016&amp;doc_code=AUD" xr:uid="{7AC49B82-0F93-4423-8589-AAF026EB7C19}"/>
    <hyperlink ref="E2314" r:id="rId2242" display="https://treas-secure.state.mi.us/LAFDocSearch/tl41R01.aspx?&amp;lu_id=4557&amp;doc_yr=2016&amp;doc_code=AUD" xr:uid="{BC0A2600-47F5-4F2F-B5BD-40AA3B7CD855}"/>
    <hyperlink ref="E2315" r:id="rId2243" display="https://treas-secure.state.mi.us/LAFDocSearch/tl41R01.aspx?&amp;lu_id=6075&amp;doc_yr=2016&amp;doc_code=AUD" xr:uid="{EA3B197E-0F99-4F20-83FF-E63238E7B38D}"/>
    <hyperlink ref="E2316" r:id="rId2244" display="https://treas-secure.state.mi.us/LAFDocSearch/tl41R01.aspx?&amp;lu_id=4545&amp;doc_yr=2016&amp;doc_code=AUD" xr:uid="{BEF3343D-33F1-40CA-B13E-C7C10A3CB2BB}"/>
    <hyperlink ref="E2317" r:id="rId2245" display="https://treas-secure.state.mi.us/LAFDocSearch/tl41R01.aspx?&amp;lu_id=4568&amp;doc_yr=2016&amp;doc_code=AUD" xr:uid="{CEBAE3ED-BFCF-484C-BF67-7E1781B567F4}"/>
    <hyperlink ref="E2319" r:id="rId2246" display="https://treas-secure.state.mi.us/LAFDocSearch/tl41R01.aspx?&amp;lu_id=4577&amp;doc_yr=2016&amp;doc_code=AUD" xr:uid="{F907D992-D9B0-484E-8472-FD4412BE57D2}"/>
    <hyperlink ref="E2320" r:id="rId2247" display="https://treas-secure.state.mi.us/LAFDocSearch/tl41R01.aspx?&amp;lu_id=4578&amp;doc_yr=2016&amp;doc_code=AUD" xr:uid="{1B502779-08DB-4E2F-9ECF-6F2BEB789206}"/>
    <hyperlink ref="E2321" r:id="rId2248" display="https://treas-secure.state.mi.us/LAFDocSearch/tl41R01.aspx?&amp;lu_id=4607&amp;doc_yr=2016&amp;doc_code=AUD" xr:uid="{9DDD89EB-0843-43C0-B0CB-485F048929C6}"/>
    <hyperlink ref="E2322" r:id="rId2249" display="https://treas-secure.state.mi.us/LAFDocSearch/tl41R01.aspx?&amp;lu_id=4675&amp;doc_yr=2016&amp;doc_code=AUD" xr:uid="{24333D3F-5E60-459F-BE02-A084D6C27BC5}"/>
    <hyperlink ref="E2323" r:id="rId2250" display="https://treas-secure.state.mi.us/LAFDocSearch/tl41R01.aspx?&amp;lu_id=4580&amp;doc_yr=2016&amp;doc_code=AUD" xr:uid="{B098178F-74D6-4E94-B428-D69BC6C541B6}"/>
    <hyperlink ref="E2324" r:id="rId2251" display="https://treas-secure.state.mi.us/LAFDocSearch/tl41R01.aspx?&amp;lu_id=4581&amp;doc_yr=2016&amp;doc_code=AUD" xr:uid="{93A9EE67-38AE-4251-BE81-2BF71C3F3397}"/>
    <hyperlink ref="E2325" r:id="rId2252" display="https://treas-secure.state.mi.us/LAFDocSearch/tl41R01.aspx?&amp;lu_id=4582&amp;doc_yr=2016&amp;doc_code=AUD" xr:uid="{0C901D81-15FD-40C9-B58A-E62A3BC8EDE1}"/>
    <hyperlink ref="E2326" r:id="rId2253" display="https://treas-secure.state.mi.us/LAFDocSearch/tl41R01.aspx?&amp;lu_id=4716&amp;doc_yr=2016&amp;doc_code=AUD" xr:uid="{27BCEB70-3BBC-41C0-9AF2-ED1FF5F563BF}"/>
    <hyperlink ref="E2327" r:id="rId2254" display="https://treas-secure.state.mi.us/LAFDocSearch/tl41R01.aspx?&amp;lu_id=4583&amp;doc_yr=2016&amp;doc_code=AUD" xr:uid="{6BAE51DA-F465-4461-9352-502A2A0726FE}"/>
    <hyperlink ref="E2328" r:id="rId2255" display="https://treas-secure.state.mi.us/LAFDocSearch/tl41R01.aspx?&amp;lu_id=4682&amp;doc_yr=2016&amp;doc_code=AUD" xr:uid="{9D2B5D27-7591-4D38-83C4-A3C4F5ABA289}"/>
    <hyperlink ref="E2329" r:id="rId2256" display="https://treas-secure.state.mi.us/LAFDocSearch/tl41R01.aspx?&amp;lu_id=4584&amp;doc_yr=2016&amp;doc_code=AUD" xr:uid="{6A5F2851-75E3-48DF-A639-37ECDD5A1B35}"/>
    <hyperlink ref="E2330" r:id="rId2257" display="https://treas-secure.state.mi.us/LAFDocSearch/tl41R01.aspx?&amp;lu_id=4585&amp;doc_yr=2016&amp;doc_code=AUD" xr:uid="{AC1D4F16-7756-48EE-9F79-A0A72C98A4EB}"/>
    <hyperlink ref="E2331" r:id="rId2258" display="https://treas-secure.state.mi.us/LAFDocSearch/tl41R01.aspx?&amp;lu_id=4586&amp;doc_yr=2016&amp;doc_code=AUD" xr:uid="{6DBD450A-B98B-4AA9-9922-F25635BF6396}"/>
    <hyperlink ref="E2332" r:id="rId2259" display="https://treas-secure.state.mi.us/LAFDocSearch/tl41R01.aspx?&amp;lu_id=4608&amp;doc_yr=2016&amp;doc_code=AUD" xr:uid="{8B9358A4-37EA-42DB-B9A5-B80F5E004A49}"/>
    <hyperlink ref="E2333" r:id="rId2260" display="https://treas-secure.state.mi.us/LAFDocSearch/tl41R01.aspx?&amp;lu_id=4692&amp;doc_yr=2016&amp;doc_code=AUD" xr:uid="{D7E62D0A-32DF-4ADB-866E-2C35302E2FBA}"/>
    <hyperlink ref="E2334" r:id="rId2261" display="https://treas-secure.state.mi.us/LAFDocSearch/tl41R01.aspx?&amp;lu_id=4700&amp;doc_yr=2016&amp;doc_code=AUD" xr:uid="{383E66CE-F5ED-4E46-A7D1-A0A51C77C574}"/>
    <hyperlink ref="E2335" r:id="rId2262" display="https://treas-secure.state.mi.us/LAFDocSearch/tl41R01.aspx?&amp;lu_id=4635&amp;doc_yr=2016&amp;doc_code=AUD" xr:uid="{BF8AD6B7-A8A9-4E12-8977-DBBE3A8A37D3}"/>
    <hyperlink ref="E2336" r:id="rId2263" display="https://treas-secure.state.mi.us/LAFDocSearch/tl41R01.aspx?&amp;lu_id=4604&amp;doc_yr=2016&amp;doc_code=AUD" xr:uid="{3FBE4934-A6FB-4C71-B3C2-601228360161}"/>
    <hyperlink ref="E2337" r:id="rId2264" display="https://treas-secure.state.mi.us/LAFDocSearch/tl41R01.aspx?&amp;lu_id=4587&amp;doc_yr=2016&amp;doc_code=AUD" xr:uid="{53855472-7991-417C-8781-5083B4AD2CD8}"/>
    <hyperlink ref="E2338" r:id="rId2265" display="https://treas-secure.state.mi.us/LAFDocSearch/tl41R01.aspx?&amp;lu_id=4699&amp;doc_yr=2016&amp;doc_code=AUD" xr:uid="{16E48ECF-018D-46EC-A4E6-851E4287036E}"/>
    <hyperlink ref="E2339" r:id="rId2266" display="https://treas-secure.state.mi.us/LAFDocSearch/tl41R01.aspx?&amp;lu_id=4717&amp;doc_yr=2016&amp;doc_code=AUD" xr:uid="{044D567C-9476-4698-80F4-4178EFBA3D98}"/>
    <hyperlink ref="E2340" r:id="rId2267" display="https://treas-secure.state.mi.us/LAFDocSearch/tl41R01.aspx?&amp;lu_id=4588&amp;doc_yr=2016&amp;doc_code=AUD" xr:uid="{267DAB56-4665-4989-A267-12E869254E48}"/>
    <hyperlink ref="E2341" r:id="rId2268" display="https://treas-secure.state.mi.us/LAFDocSearch/tl41R01.aspx?&amp;lu_id=4589&amp;doc_yr=2016&amp;doc_code=AUD" xr:uid="{8C1FA711-B4D1-4715-9C14-71AD86ED02D1}"/>
    <hyperlink ref="E2342" r:id="rId2269" display="https://treas-secure.state.mi.us/LAFDocSearch/tl41R01.aspx?&amp;lu_id=4590&amp;doc_yr=2016&amp;doc_code=AUD" xr:uid="{534D189B-6A8D-4B84-90DC-BD90ADDB2D85}"/>
    <hyperlink ref="E2343" r:id="rId2270" display="https://treas-secure.state.mi.us/LAFDocSearch/tl41R01.aspx?&amp;lu_id=4703&amp;doc_yr=2016&amp;doc_code=AUD" xr:uid="{E42D599A-29BB-4A4F-B642-489212E618CF}"/>
    <hyperlink ref="E2344" r:id="rId2271" display="https://treas-secure.state.mi.us/LAFDocSearch/tl41R01.aspx?&amp;lu_id=4591&amp;doc_yr=2016&amp;doc_code=AUD" xr:uid="{72CD0BA8-0A47-40E8-B904-71AE5A008B7A}"/>
    <hyperlink ref="E2345" r:id="rId2272" display="https://treas-secure.state.mi.us/LAFDocSearch/tl41R01.aspx?&amp;lu_id=4592&amp;doc_yr=2016&amp;doc_code=AUD" xr:uid="{B6B3AB50-BBB7-489C-9032-F9C44EC92D90}"/>
    <hyperlink ref="E2346" r:id="rId2273" display="https://treas-secure.state.mi.us/LAFDocSearch/tl41R01.aspx?&amp;lu_id=4593&amp;doc_yr=2016&amp;doc_code=AUD" xr:uid="{18E67D97-EA41-4BE8-9A3F-17DAC9B61823}"/>
    <hyperlink ref="E2347" r:id="rId2274" display="https://treas-secure.state.mi.us/LAFDocSearch/tl41R01.aspx?&amp;lu_id=4594&amp;doc_yr=2016&amp;doc_code=AUD" xr:uid="{13DEBF3C-1AD5-47C9-A3A7-56EBEF111FD4}"/>
    <hyperlink ref="E2348" r:id="rId2275" display="https://treas-secure.state.mi.us/LAFDocSearch/tl41R01.aspx?&amp;lu_id=4702&amp;doc_yr=2016&amp;doc_code=AUD" xr:uid="{0D77A5F5-5E01-4DBA-9885-FFEB1B8CFC3F}"/>
    <hyperlink ref="E2349" r:id="rId2276" display="https://treas-secure.state.mi.us/LAFDocSearch/tl41R01.aspx?&amp;lu_id=4609&amp;doc_yr=2016&amp;doc_code=AUD" xr:uid="{F729D5CA-2A1F-40C1-98AB-1348505C0C85}"/>
    <hyperlink ref="E2350" r:id="rId2277" display="https://treas-secure.state.mi.us/LAFDocSearch/tl41R01.aspx?&amp;lu_id=4689&amp;doc_yr=2016&amp;doc_code=AUD" xr:uid="{F4DDFC8D-532B-43CC-B765-FB27625F1E54}"/>
    <hyperlink ref="E2351" r:id="rId2278" display="https://treas-secure.state.mi.us/LAFDocSearch/tl41R01.aspx?&amp;lu_id=4695&amp;doc_yr=2016&amp;doc_code=AUD" xr:uid="{81DED1E7-591E-4147-B092-210A93495960}"/>
    <hyperlink ref="E2352" r:id="rId2279" display="https://treas-secure.state.mi.us/LAFDocSearch/tl41R01.aspx?&amp;lu_id=4610&amp;doc_yr=2016&amp;doc_code=AUD" xr:uid="{87A800FE-A5DE-4D2D-86A6-AAE48AAAFE01}"/>
    <hyperlink ref="E2353" r:id="rId2280" display="https://treas-secure.state.mi.us/LAFDocSearch/tl41R01.aspx?&amp;lu_id=4711&amp;doc_yr=2016&amp;doc_code=AUD" xr:uid="{25E40495-4AB6-408A-BDB4-C85479408917}"/>
    <hyperlink ref="E2354" r:id="rId2281" display="https://treas-secure.state.mi.us/LAFDocSearch/tl41R01.aspx?&amp;lu_id=4595&amp;doc_yr=2016&amp;doc_code=AUD" xr:uid="{9D60D33E-06F2-4515-94BA-30E16D2817AA}"/>
    <hyperlink ref="E2355" r:id="rId2282" display="https://treas-secure.state.mi.us/LAFDocSearch/tl41R01.aspx?&amp;lu_id=4714&amp;doc_yr=2016&amp;doc_code=AUD" xr:uid="{524A9B5E-7C3B-4087-9B78-A5528A97C875}"/>
    <hyperlink ref="E2356" r:id="rId2283" display="https://treas-secure.state.mi.us/LAFDocSearch/tl41R01.aspx?&amp;lu_id=4605&amp;doc_yr=2016&amp;doc_code=AUD" xr:uid="{F1A8774A-F366-42A8-AC5A-E2B4EA311BCB}"/>
    <hyperlink ref="E2357" r:id="rId2284" display="https://treas-secure.state.mi.us/LAFDocSearch/tl41R01.aspx?&amp;lu_id=4575&amp;doc_yr=2016&amp;doc_code=AUD" xr:uid="{60087808-A29D-48E6-91E0-9CF14336A915}"/>
    <hyperlink ref="E2358" r:id="rId2285" display="https://treas-secure.state.mi.us/LAFDocSearch/tl41R01.aspx?&amp;lu_id=4701&amp;doc_yr=2016&amp;doc_code=AUD" xr:uid="{540D2533-B81F-471B-B169-2EB69EA76FAA}"/>
    <hyperlink ref="E2359" r:id="rId2286" display="https://treas-secure.state.mi.us/LAFDocSearch/tl41R01.aspx?&amp;lu_id=4698&amp;doc_yr=2016&amp;doc_code=AUD" xr:uid="{4357C691-4B11-49C6-B5F3-76C81E79EB3C}"/>
    <hyperlink ref="E2360" r:id="rId2287" display="https://treas-secure.state.mi.us/LAFDocSearch/tl41R01.aspx?&amp;lu_id=4596&amp;doc_yr=2016&amp;doc_code=AUD" xr:uid="{7BF4A3D9-106C-4868-A7FE-F2730A9F8015}"/>
    <hyperlink ref="E2361" r:id="rId2288" display="https://treas-secure.state.mi.us/LAFDocSearch/tl41R01.aspx?&amp;lu_id=4696&amp;doc_yr=2016&amp;doc_code=AUD" xr:uid="{831A44A0-F882-450E-82EC-AF5CB246BF1A}"/>
    <hyperlink ref="E2362" r:id="rId2289" display="https://treas-secure.state.mi.us/LAFDocSearch/tl41R01.aspx?&amp;lu_id=4686&amp;doc_yr=2016&amp;doc_code=AUD" xr:uid="{8D42D824-19AE-4B40-860F-1ABCF04D734D}"/>
    <hyperlink ref="E2363" r:id="rId2290" display="https://treas-secure.state.mi.us/LAFDocSearch/tl41R01.aspx?&amp;lu_id=4690&amp;doc_yr=2016&amp;doc_code=AUD" xr:uid="{8EDFFF9B-A693-4C88-BCEF-37E25256D546}"/>
    <hyperlink ref="E2364" r:id="rId2291" display="https://treas-secure.state.mi.us/LAFDocSearch/tl41R01.aspx?&amp;lu_id=4576&amp;doc_yr=2016&amp;doc_code=AUD" xr:uid="{D23A1330-82C5-44D2-AC0B-2A3D2E0C0AD7}"/>
    <hyperlink ref="E2365" r:id="rId2292" display="https://treas-secure.state.mi.us/LAFDocSearch/tl41R01.aspx?&amp;lu_id=4694&amp;doc_yr=2016&amp;doc_code=AUD" xr:uid="{1694F869-614F-411F-ACA6-C77F77952D15}"/>
    <hyperlink ref="E2366" r:id="rId2293" display="https://treas-secure.state.mi.us/LAFDocSearch/tl41R01.aspx?&amp;lu_id=4677&amp;doc_yr=2016&amp;doc_code=AUD" xr:uid="{E41FE38A-7030-47C5-B75C-73DB01467487}"/>
    <hyperlink ref="E2367" r:id="rId2294" display="https://treas-secure.state.mi.us/LAFDocSearch/tl41R01.aspx?&amp;lu_id=4598&amp;doc_yr=2016&amp;doc_code=AUD" xr:uid="{DA962640-FCBE-4D6F-BB05-C763CB03412B}"/>
    <hyperlink ref="E2368" r:id="rId2295" display="https://treas-secure.state.mi.us/LAFDocSearch/tl41R01.aspx?&amp;lu_id=4597&amp;doc_yr=2016&amp;doc_code=AUD" xr:uid="{D6CFD2B6-68C1-45A9-8224-3E7D680B6B27}"/>
    <hyperlink ref="E2369" r:id="rId2296" display="https://treas-secure.state.mi.us/LAFDocSearch/tl41R01.aspx?&amp;lu_id=4611&amp;doc_yr=2016&amp;doc_code=AUD" xr:uid="{3F4D2991-322D-42FE-936C-11C15F0EEC88}"/>
    <hyperlink ref="E2370" r:id="rId2297" display="https://treas-secure.state.mi.us/LAFDocSearch/tl41R01.aspx?&amp;lu_id=4713&amp;doc_yr=2016&amp;doc_code=AUD" xr:uid="{838998CC-9B47-4DE0-AA44-89C114BC16B4}"/>
    <hyperlink ref="E2371" r:id="rId2298" display="https://treas-secure.state.mi.us/LAFDocSearch/tl41R01.aspx?&amp;lu_id=4599&amp;doc_yr=2016&amp;doc_code=AUD" xr:uid="{5BCCBE15-32A4-45C9-90D7-D0A3B1DEB930}"/>
    <hyperlink ref="E2372" r:id="rId2299" display="https://treas-secure.state.mi.us/LAFDocSearch/tl41R01.aspx?&amp;lu_id=4691&amp;doc_yr=2016&amp;doc_code=AUD" xr:uid="{D2917643-6445-4F7F-A09F-70AA9AA9173D}"/>
    <hyperlink ref="E2373" r:id="rId2300" display="https://treas-secure.state.mi.us/LAFDocSearch/tl41R01.aspx?&amp;lu_id=4600&amp;doc_yr=2016&amp;doc_code=AUD" xr:uid="{C51A3C19-3C46-43F2-B6F0-3AD3B7FBB8C7}"/>
    <hyperlink ref="E2374" r:id="rId2301" display="https://treas-secure.state.mi.us/LAFDocSearch/tl41R01.aspx?&amp;lu_id=4601&amp;doc_yr=2016&amp;doc_code=AUD" xr:uid="{32224928-F5E3-4C01-AB80-FE43C578B9AD}"/>
    <hyperlink ref="E2375" r:id="rId2302" display="https://treas-secure.state.mi.us/LAFDocSearch/tl41R01.aspx?&amp;lu_id=4602&amp;doc_yr=2016&amp;doc_code=AUD" xr:uid="{D3F8C582-0F51-422F-B509-E18630D29531}"/>
    <hyperlink ref="E2376" r:id="rId2303" display="https://treas-secure.state.mi.us/LAFDocSearch/tl41R01.aspx?&amp;lu_id=4697&amp;doc_yr=2016&amp;doc_code=AUD" xr:uid="{1905EFA6-86CA-4CD5-9C23-91756AB12B32}"/>
    <hyperlink ref="E2377" r:id="rId2304" display="https://treas-secure.state.mi.us/LAFDocSearch/tl41R01.aspx?&amp;lu_id=4715&amp;doc_yr=2016&amp;doc_code=AUD" xr:uid="{4FB2B6C8-428B-40E3-B7E7-CFA04CED2705}"/>
    <hyperlink ref="E2378" r:id="rId2305" display="https://treas-secure.state.mi.us/LAFDocSearch/tl41R01.aspx?&amp;lu_id=4606&amp;doc_yr=2016&amp;doc_code=AUD" xr:uid="{D5CE7E6C-7889-46C7-972E-4FA86D1163B0}"/>
    <hyperlink ref="E2380" r:id="rId2306" display="https://treas-secure.state.mi.us/LAFDocSearch/tl41R01.aspx?&amp;lu_id=4748&amp;doc_yr=2016&amp;doc_code=AUD" xr:uid="{C9D5252D-A700-4C0A-8BE6-C68932A52214}"/>
    <hyperlink ref="E2381" r:id="rId2307" display="https://treas-secure.state.mi.us/LAFDocSearch/tl41R01.aspx?&amp;lu_id=4826&amp;doc_yr=2016&amp;doc_code=AUD" xr:uid="{034904D8-6CB4-4E2F-9F64-CF198F559BE8}"/>
    <hyperlink ref="E2382" r:id="rId2308" display="https://treas-secure.state.mi.us/LAFDocSearch/tl41R01.aspx?&amp;lu_id=4820&amp;doc_yr=2016&amp;doc_code=AUD" xr:uid="{D6F804C3-F5A5-4BFD-86B0-E114C8588689}"/>
    <hyperlink ref="E2383" r:id="rId2309" display="https://treas-secure.state.mi.us/LAFDocSearch/tl41R01.aspx?&amp;lu_id=4726&amp;doc_yr=2016&amp;doc_code=AUD" xr:uid="{239E58D6-59EC-4DCB-A07E-2DD92462A6A7}"/>
    <hyperlink ref="E2384" r:id="rId2310" display="https://treas-secure.state.mi.us/LAFDocSearch/tl41R01.aspx?&amp;lu_id=4727&amp;doc_yr=2016&amp;doc_code=AUD" xr:uid="{B091230A-E184-4C9A-990B-F27D66310B4B}"/>
    <hyperlink ref="E2385" r:id="rId2311" display="https://treas-secure.state.mi.us/LAFDocSearch/tl41R01.aspx?&amp;lu_id=4754&amp;doc_yr=2016&amp;doc_code=AUD" xr:uid="{8EB4A1AD-7BF4-4086-9A5F-0B5D2587F93E}"/>
    <hyperlink ref="E2386" r:id="rId2312" display="https://treas-secure.state.mi.us/LAFDocSearch/tl41R01.aspx?&amp;lu_id=4728&amp;doc_yr=2016&amp;doc_code=AUD" xr:uid="{AF926F8F-E34C-4D58-A50E-E19D6207498C}"/>
    <hyperlink ref="E2387" r:id="rId2313" display="https://treas-secure.state.mi.us/LAFDocSearch/tl41R01.aspx?&amp;lu_id=4729&amp;doc_yr=2016&amp;doc_code=AUD" xr:uid="{00B4FA1A-49A2-4DD4-979B-A3FE9D7FF3BF}"/>
    <hyperlink ref="E2388" r:id="rId2314" display="https://treas-secure.state.mi.us/LAFDocSearch/tl41R01.aspx?&amp;lu_id=4730&amp;doc_yr=2016&amp;doc_code=AUD" xr:uid="{44ACFE67-B69E-46C7-BF0D-72800798CCD9}"/>
    <hyperlink ref="E2389" r:id="rId2315" display="https://treas-secure.state.mi.us/LAFDocSearch/tl41R01.aspx?&amp;lu_id=4731&amp;doc_yr=2016&amp;doc_code=AUD" xr:uid="{9C4AF8C5-2A05-4F82-847F-3DF0B9140E3B}"/>
    <hyperlink ref="E2390" r:id="rId2316" display="https://treas-secure.state.mi.us/LAFDocSearch/tl41R01.aspx?&amp;lu_id=4732&amp;doc_yr=2016&amp;doc_code=AUD" xr:uid="{BDC8B5E5-F3D5-47EC-B795-90D4F987A024}"/>
    <hyperlink ref="E2391" r:id="rId2317" display="https://treas-secure.state.mi.us/LAFDocSearch/tl41R01.aspx?&amp;lu_id=4733&amp;doc_yr=2016&amp;doc_code=AUD" xr:uid="{ED21ACA5-75F2-490B-A54D-011561C03187}"/>
    <hyperlink ref="E2392" r:id="rId2318" display="https://treas-secure.state.mi.us/LAFDocSearch/tl41R01.aspx?&amp;lu_id=4734&amp;doc_yr=2016&amp;doc_code=AUD" xr:uid="{E26E98D1-A8C8-41D5-A1E3-492F1EEFED7A}"/>
    <hyperlink ref="E2393" r:id="rId2319" display="https://treas-secure.state.mi.us/LAFDocSearch/tl41R01.aspx?&amp;lu_id=4735&amp;doc_yr=2016&amp;doc_code=AUD" xr:uid="{0DD253B7-D97C-41F0-B9C7-E3DAD63A0656}"/>
    <hyperlink ref="E2394" r:id="rId2320" display="https://treas-secure.state.mi.us/LAFDocSearch/tl41R01.aspx?&amp;lu_id=4736&amp;doc_yr=2016&amp;doc_code=AUD" xr:uid="{309AE96D-0336-4AD6-93B4-A2F83E415E07}"/>
    <hyperlink ref="E2395" r:id="rId2321" display="https://treas-secure.state.mi.us/LAFDocSearch/tl41R01.aspx?&amp;lu_id=4737&amp;doc_yr=2016&amp;doc_code=AUD" xr:uid="{F4B61F6B-A75A-49A0-BE8F-DF6E9CE70EF9}"/>
    <hyperlink ref="E2396" r:id="rId2322" display="https://treas-secure.state.mi.us/LAFDocSearch/tl41R01.aspx?&amp;lu_id=4739&amp;doc_yr=2016&amp;doc_code=AUD" xr:uid="{78785514-BE1E-4FE8-87E1-3E9212C52363}"/>
    <hyperlink ref="E2397" r:id="rId2323" display="https://treas-secure.state.mi.us/LAFDocSearch/tl41R01.aspx?&amp;lu_id=4740&amp;doc_yr=2016&amp;doc_code=AUD" xr:uid="{F27ADAED-109B-4FA2-A918-687B29C624D6}"/>
    <hyperlink ref="E2398" r:id="rId2324" display="https://treas-secure.state.mi.us/LAFDocSearch/tl41R01.aspx?&amp;lu_id=4741&amp;doc_yr=2016&amp;doc_code=AUD" xr:uid="{36982FB2-E915-4D64-860E-77EA33F0224E}"/>
    <hyperlink ref="E2399" r:id="rId2325" display="https://treas-secure.state.mi.us/LAFDocSearch/tl41R01.aspx?&amp;lu_id=4742&amp;doc_yr=2016&amp;doc_code=AUD" xr:uid="{326117B2-C0B2-4FD7-A9C1-098DD9242D8F}"/>
    <hyperlink ref="E2400" r:id="rId2326" display="https://treas-secure.state.mi.us/LAFDocSearch/tl41R01.aspx?&amp;lu_id=4749&amp;doc_yr=2016&amp;doc_code=AUD" xr:uid="{D68F8922-930E-43F9-9306-7535A48BA3D0}"/>
    <hyperlink ref="E2401" r:id="rId2327" display="https://treas-secure.state.mi.us/LAFDocSearch/tl41R01.aspx?&amp;lu_id=6067&amp;doc_yr=2016&amp;doc_code=AUD" xr:uid="{55831A6F-B5B8-42E8-94E7-3B59F49BBEAB}"/>
    <hyperlink ref="E2402" r:id="rId2328" display="https://treas-secure.state.mi.us/LAFDocSearch/tl41R01.aspx?&amp;lu_id=4750&amp;doc_yr=2016&amp;doc_code=AUD" xr:uid="{E1F628AD-2CE6-4C8B-8D87-5500BCBF31A9}"/>
    <hyperlink ref="E2403" r:id="rId2329" display="https://treas-secure.state.mi.us/LAFDocSearch/tl41R01.aspx?&amp;lu_id=4828&amp;doc_yr=2016&amp;doc_code=AUD" xr:uid="{E3665CBE-D4D8-410F-BAF9-13D131456C99}"/>
    <hyperlink ref="E2404" r:id="rId2330" display="https://treas-secure.state.mi.us/LAFDocSearch/tl41R01.aspx?&amp;lu_id=4743&amp;doc_yr=2016&amp;doc_code=AUD" xr:uid="{62622A15-C3D9-4D74-852E-2C12579F0862}"/>
    <hyperlink ref="E2405" r:id="rId2331" display="https://treas-secure.state.mi.us/LAFDocSearch/tl41R01.aspx?&amp;lu_id=4751&amp;doc_yr=2016&amp;doc_code=AUD" xr:uid="{FA2E6D84-6E36-4C00-9875-F9B936E25F56}"/>
    <hyperlink ref="E2406" r:id="rId2332" display="https://treas-secure.state.mi.us/LAFDocSearch/tl41R01.aspx?&amp;lu_id=4744&amp;doc_yr=2016&amp;doc_code=AUD" xr:uid="{4E59B63F-80D9-4743-AB3B-DC1AC2A4790D}"/>
    <hyperlink ref="E2407" r:id="rId2333" display="https://treas-secure.state.mi.us/LAFDocSearch/tl41R01.aspx?&amp;lu_id=4831&amp;doc_yr=2016&amp;doc_code=AUD" xr:uid="{113754AD-7FE5-4781-A1B1-56F3382A123E}"/>
    <hyperlink ref="E2408" r:id="rId2334" display="https://treas-secure.state.mi.us/LAFDocSearch/tl41R01.aspx?&amp;lu_id=7567&amp;doc_yr=2016&amp;doc_code=AUD" xr:uid="{6FD28AE2-0E12-42EB-81B2-253DBEC0A6F9}"/>
    <hyperlink ref="E2409" r:id="rId2335" display="https://treas-secure.state.mi.us/LAFDocSearch/tl41R01.aspx?&amp;lu_id=4745&amp;doc_yr=2016&amp;doc_code=AUD" xr:uid="{089FE241-E927-489E-8899-AEAB9B669132}"/>
    <hyperlink ref="E2410" r:id="rId2336" display="https://treas-secure.state.mi.us/LAFDocSearch/tl41R01.aspx?&amp;lu_id=4752&amp;doc_yr=2016&amp;doc_code=AUD" xr:uid="{07FD48CB-63AE-4A25-963E-8A56DCA3B0B9}"/>
    <hyperlink ref="E2411" r:id="rId2337" display="https://treas-secure.state.mi.us/LAFDocSearch/tl41R01.aspx?&amp;lu_id=4723&amp;doc_yr=2016&amp;doc_code=AUD" xr:uid="{0D083BF8-1DA3-4D11-8172-CF28BDF7974D}"/>
    <hyperlink ref="E2412" r:id="rId2338" display="https://treas-secure.state.mi.us/LAFDocSearch/tl41R01.aspx?&amp;lu_id=4746&amp;doc_yr=2016&amp;doc_code=AUD" xr:uid="{081A4A8A-CE57-42B5-A62F-F10E5BB2A616}"/>
    <hyperlink ref="E2413" r:id="rId2339" display="https://treas-secure.state.mi.us/LAFDocSearch/tl41R01.aspx?&amp;lu_id=4821&amp;doc_yr=2016&amp;doc_code=AUD" xr:uid="{B24A6FE5-5682-4431-BF6A-0B29B151022D}"/>
    <hyperlink ref="E2414" r:id="rId2340" display="https://treas-secure.state.mi.us/LAFDocSearch/tl41R01.aspx?&amp;lu_id=4775&amp;doc_yr=2016&amp;doc_code=AUD" xr:uid="{2F6B51A6-94B2-40BF-A8B9-5C22CC4CED0F}"/>
    <hyperlink ref="E2415" r:id="rId2341" display="https://treas-secure.state.mi.us/LAFDocSearch/tl41R01.aspx?&amp;lu_id=4823&amp;doc_yr=2016&amp;doc_code=AUD" xr:uid="{3D15F4E5-28B6-4499-A06D-8CFCB487FC14}"/>
    <hyperlink ref="E2416" r:id="rId2342" display="https://treas-secure.state.mi.us/LAFDocSearch/tl41R01.aspx?&amp;lu_id=4829&amp;doc_yr=2016&amp;doc_code=AUD" xr:uid="{92790101-7398-4D6D-AE45-4E74E23375FB}"/>
    <hyperlink ref="E2417" r:id="rId2343" display="https://treas-secure.state.mi.us/LAFDocSearch/tl41R01.aspx?&amp;lu_id=4724&amp;doc_yr=2016&amp;doc_code=AUD" xr:uid="{104D3645-CD71-4262-9B56-F059ECB4D1E1}"/>
    <hyperlink ref="E2418" r:id="rId2344" display="https://treas-secure.state.mi.us/LAFDocSearch/tl41R01.aspx?&amp;lu_id=4830&amp;doc_yr=2016&amp;doc_code=AUD" xr:uid="{72326BEA-0999-4B82-90F8-795256C17028}"/>
    <hyperlink ref="E2419" r:id="rId2345" display="https://treas-secure.state.mi.us/LAFDocSearch/tl41R01.aspx?&amp;lu_id=4747&amp;doc_yr=2016&amp;doc_code=AUD" xr:uid="{ED40DE59-2296-49D0-A3B8-3E10A83D1474}"/>
    <hyperlink ref="E2420" r:id="rId2346" display="https://treas-secure.state.mi.us/LAFDocSearch/tl41R01.aspx?&amp;lu_id=4753&amp;doc_yr=2016&amp;doc_code=AUD" xr:uid="{DA6FC23F-E48A-47BC-879C-EDBD4FE2F01C}"/>
    <hyperlink ref="E2422" r:id="rId2347" display="https://treas-secure.state.mi.us/LAFDocSearch/tl41R01.aspx?&amp;lu_id=4839&amp;doc_yr=2016&amp;doc_code=AUD" xr:uid="{2F470531-72E3-4A7C-92B7-7C1E40FFD0FE}"/>
    <hyperlink ref="E2423" r:id="rId2348" display="https://treas-secure.state.mi.us/LAFDocSearch/tl41R01.aspx?&amp;lu_id=4857&amp;doc_yr=2016&amp;doc_code=AUD" xr:uid="{545A8283-2720-4716-B962-E7A8079296A9}"/>
    <hyperlink ref="E2424" r:id="rId2349" display="https://treas-secure.state.mi.us/LAFDocSearch/tl41R01.aspx?&amp;lu_id=4858&amp;doc_yr=2016&amp;doc_code=AUD" xr:uid="{EBC1A361-57A1-4BAF-9843-B0DE5E9CC30F}"/>
    <hyperlink ref="E2425" r:id="rId2350" display="https://treas-secure.state.mi.us/LAFDocSearch/tl41R01.aspx?&amp;lu_id=4840&amp;doc_yr=2016&amp;doc_code=AUD" xr:uid="{07BCC4B4-1FC3-4FBA-BA9E-5D5B0AB48400}"/>
    <hyperlink ref="E2426" r:id="rId2351" display="https://treas-secure.state.mi.us/LAFDocSearch/tl41R01.aspx?&amp;lu_id=4859&amp;doc_yr=2016&amp;doc_code=AUD" xr:uid="{69893C50-9942-4E16-B96C-84356DB250FE}"/>
    <hyperlink ref="E2427" r:id="rId2352" display="https://treas-secure.state.mi.us/LAFDocSearch/tl41R01.aspx?&amp;lu_id=4897&amp;doc_yr=2016&amp;doc_code=AUD" xr:uid="{37AB2E5B-6579-44B2-92F0-5792E9817046}"/>
    <hyperlink ref="E2428" r:id="rId2353" display="https://treas-secure.state.mi.us/LAFDocSearch/tl41R01.aspx?&amp;lu_id=4841&amp;doc_yr=2016&amp;doc_code=AUD" xr:uid="{FEA1FF20-CCB8-4DAC-B733-981FCA2C9713}"/>
    <hyperlink ref="E2429" r:id="rId2354" display="https://treas-secure.state.mi.us/LAFDocSearch/tl41R01.aspx?&amp;lu_id=4842&amp;doc_yr=2016&amp;doc_code=AUD" xr:uid="{5708F45D-F16D-403E-89CF-1EB432591622}"/>
    <hyperlink ref="E2430" r:id="rId2355" display="https://treas-secure.state.mi.us/LAFDocSearch/tl41R01.aspx?&amp;lu_id=4891&amp;doc_yr=2016&amp;doc_code=AUD" xr:uid="{3DFA3F5A-71BD-4E15-87CA-E819407AFE92}"/>
    <hyperlink ref="E2431" r:id="rId2356" display="https://treas-secure.state.mi.us/LAFDocSearch/tl41R01.aspx?&amp;lu_id=4843&amp;doc_yr=2016&amp;doc_code=AUD" xr:uid="{FAF7314C-CF1E-4577-B199-1298AA11E774}"/>
    <hyperlink ref="E2432" r:id="rId2357" display="https://treas-secure.state.mi.us/LAFDocSearch/tl41R01.aspx?&amp;lu_id=4844&amp;doc_yr=2016&amp;doc_code=AUD" xr:uid="{3EF0F376-6E03-4E3E-AD5F-C87EF5730E2D}"/>
    <hyperlink ref="E2433" r:id="rId2358" display="https://treas-secure.state.mi.us/LAFDocSearch/tl41R01.aspx?&amp;lu_id=4845&amp;doc_yr=2016&amp;doc_code=AUD" xr:uid="{84110E4D-6B81-431F-A3AC-0B433CF3F3F6}"/>
    <hyperlink ref="E2434" r:id="rId2359" display="https://treas-secure.state.mi.us/LAFDocSearch/tl41R01.aspx?&amp;lu_id=4873&amp;doc_yr=2016&amp;doc_code=AUD" xr:uid="{74B5BED9-B5AA-47FE-9FE7-1AEFC839A98B}"/>
    <hyperlink ref="E2435" r:id="rId2360" display="https://treas-secure.state.mi.us/LAFDocSearch/tl41R01.aspx?&amp;lu_id=4846&amp;doc_yr=2016&amp;doc_code=AUD" xr:uid="{F0490C81-6F23-4080-B797-C087E9D9B550}"/>
    <hyperlink ref="E2436" r:id="rId2361" display="https://treas-secure.state.mi.us/LAFDocSearch/tl41R01.aspx?&amp;lu_id=4861&amp;doc_yr=2016&amp;doc_code=AUD" xr:uid="{EA28AB14-43C6-4937-A1C5-60221FC616E4}"/>
    <hyperlink ref="E2437" r:id="rId2362" display="https://treas-secure.state.mi.us/LAFDocSearch/tl41R01.aspx?&amp;lu_id=4889&amp;doc_yr=2016&amp;doc_code=AUD" xr:uid="{B717F3AA-AFD2-4A0A-9AF1-2DAF8A64D34C}"/>
    <hyperlink ref="E2438" r:id="rId2363" display="https://treas-secure.state.mi.us/LAFDocSearch/tl41R01.aspx?&amp;lu_id=4849&amp;doc_yr=2016&amp;doc_code=AUD" xr:uid="{8FAC3BD2-9929-44D7-873A-9577ED40E997}"/>
    <hyperlink ref="E2439" r:id="rId2364" display="https://treas-secure.state.mi.us/LAFDocSearch/tl41R01.aspx?&amp;lu_id=4850&amp;doc_yr=2016&amp;doc_code=AUD" xr:uid="{6FE29BF2-9913-416C-891E-686E48FAC6AC}"/>
    <hyperlink ref="E2440" r:id="rId2365" display="https://treas-secure.state.mi.us/LAFDocSearch/tl41R01.aspx?&amp;lu_id=4902&amp;doc_yr=2016&amp;doc_code=AUD" xr:uid="{63EF5BBB-84C1-4192-ACBA-0B60CC898BE3}"/>
    <hyperlink ref="E2441" r:id="rId2366" display="https://treas-secure.state.mi.us/LAFDocSearch/tl41R01.aspx?&amp;lu_id=7637&amp;doc_yr=2016&amp;doc_code=AUD" xr:uid="{8C8D655B-4688-44BF-BB86-A28F12A9111E}"/>
    <hyperlink ref="E2442" r:id="rId2367" display="https://treas-secure.state.mi.us/LAFDocSearch/tl41R01.aspx?&amp;lu_id=4837&amp;doc_yr=2016&amp;doc_code=AUD" xr:uid="{7232168A-2D5C-4E88-B747-7560C7B8F5FD}"/>
    <hyperlink ref="E2443" r:id="rId2368" display="https://treas-secure.state.mi.us/LAFDocSearch/tl41R01.aspx?&amp;lu_id=4894&amp;doc_yr=2016&amp;doc_code=AUD" xr:uid="{C6FB4446-B9CC-4D63-9486-C18DB9682A7A}"/>
    <hyperlink ref="E2444" r:id="rId2369" display="https://treas-secure.state.mi.us/LAFDocSearch/tl41R01.aspx?&amp;lu_id=4885&amp;doc_yr=2016&amp;doc_code=AUD" xr:uid="{C8B8E752-B127-4567-8A8C-7EDDE0B5F865}"/>
    <hyperlink ref="E2445" r:id="rId2370" display="https://treas-secure.state.mi.us/LAFDocSearch/tl41R01.aspx?&amp;lu_id=4890&amp;doc_yr=2016&amp;doc_code=AUD" xr:uid="{4ECF6068-4ED0-4E95-A9F1-7DBC9202A84E}"/>
    <hyperlink ref="E2446" r:id="rId2371" display="https://treas-secure.state.mi.us/LAFDocSearch/tl41R01.aspx?&amp;lu_id=4838&amp;doc_yr=2016&amp;doc_code=AUD" xr:uid="{1F3E114D-7633-4126-B4A3-0608854FA0E6}"/>
    <hyperlink ref="E2447" r:id="rId2372" display="https://treas-secure.state.mi.us/LAFDocSearch/tl41R01.aspx?&amp;lu_id=4855&amp;doc_yr=2016&amp;doc_code=AUD" xr:uid="{7B20E8F5-8311-492D-ADA3-0C427DD6BEA0}"/>
    <hyperlink ref="E2448" r:id="rId2373" display="https://treas-secure.state.mi.us/LAFDocSearch/tl41R01.aspx?&amp;lu_id=4853&amp;doc_yr=2016&amp;doc_code=AUD" xr:uid="{736B0CC5-2243-4520-BAA5-084CBF4B07EE}"/>
    <hyperlink ref="E2449" r:id="rId2374" display="https://treas-secure.state.mi.us/LAFDocSearch/tl41R01.aspx?&amp;lu_id=4900&amp;doc_yr=2016&amp;doc_code=AUD" xr:uid="{2EC0D76F-F500-4A9C-880B-C9F2A4A0BFF7}"/>
    <hyperlink ref="E2450" r:id="rId2375" display="https://treas-secure.state.mi.us/LAFDocSearch/tl41R01.aspx?&amp;lu_id=4896&amp;doc_yr=2016&amp;doc_code=AUD" xr:uid="{FB805F0D-6AFE-4880-B277-B1FFB2535B56}"/>
    <hyperlink ref="E2451" r:id="rId2376" display="https://treas-secure.state.mi.us/LAFDocSearch/tl41R01.aspx?&amp;lu_id=4903&amp;doc_yr=2016&amp;doc_code=AUD" xr:uid="{D633679C-E92E-4C60-8F8A-C962695D4028}"/>
    <hyperlink ref="E2452" r:id="rId2377" display="https://treas-secure.state.mi.us/LAFDocSearch/tl41R01.aspx?&amp;lu_id=4856&amp;doc_yr=2016&amp;doc_code=AUD" xr:uid="{B1A9658F-F0B1-467D-8C55-541422F41858}"/>
    <hyperlink ref="E2453" r:id="rId2378" display="https://treas-secure.state.mi.us/LAFDocSearch/tl41R01.aspx?&amp;lu_id=4892&amp;doc_yr=2016&amp;doc_code=AUD" xr:uid="{6C9D85CB-DE7D-47BA-B493-FEB8851EE632}"/>
    <hyperlink ref="E2454" r:id="rId2379" display="https://treas-secure.state.mi.us/LAFDocSearch/tl41R01.aspx?&amp;lu_id=4854&amp;doc_yr=2016&amp;doc_code=AUD" xr:uid="{A3B4B685-A70C-4F87-BF16-99C1307C878D}"/>
    <hyperlink ref="E2455" r:id="rId2380" display="https://treas-secure.state.mi.us/LAFDocSearch/tl41R01.aspx?&amp;lu_id=4862&amp;doc_yr=2016&amp;doc_code=AUD" xr:uid="{E35196DF-CAF2-4EA8-8ED0-B510B6E3F658}"/>
    <hyperlink ref="E2456" r:id="rId2381" display="https://treas-secure.state.mi.us/LAFDocSearch/tl41R01.aspx?&amp;lu_id=4895&amp;doc_yr=2016&amp;doc_code=AUD" xr:uid="{0D1DD789-B783-44AD-A1DB-3C2054A62C8B}"/>
    <hyperlink ref="E2457" r:id="rId2382" display="https://treas-secure.state.mi.us/LAFDocSearch/tl41R01.aspx?&amp;lu_id=4901&amp;doc_yr=2016&amp;doc_code=AUD" xr:uid="{D46E9DCE-FD3E-4005-9355-44648DFCABDB}"/>
    <hyperlink ref="E2459" r:id="rId2383" display="https://treas-secure.state.mi.us/LAFDocSearch/tl41R01.aspx?&amp;lu_id=4989&amp;doc_yr=2016&amp;doc_code=AUD" xr:uid="{BE457EBE-9FFF-467A-88CF-5A1CC1D3143B}"/>
    <hyperlink ref="E2460" r:id="rId2384" display="https://treas-secure.state.mi.us/LAFDocSearch/tl41R01.aspx?&amp;lu_id=4913&amp;doc_yr=2016&amp;doc_code=AUD" xr:uid="{E314054E-C48C-4CA7-9C14-4C4376ECC9FB}"/>
    <hyperlink ref="E2461" r:id="rId2385" display="https://treas-secure.state.mi.us/LAFDocSearch/tl41R01.aspx?&amp;lu_id=4938&amp;doc_yr=2016&amp;doc_code=AUD" xr:uid="{B8F758CB-C4DB-47AD-9D28-C6ECD46CB503}"/>
    <hyperlink ref="E2462" r:id="rId2386" display="https://treas-secure.state.mi.us/LAFDocSearch/tl41R01.aspx?&amp;lu_id=4979&amp;doc_yr=2016&amp;doc_code=AUD" xr:uid="{9FA49097-6FA6-49A6-80E1-17EF49B9A6CA}"/>
    <hyperlink ref="E2463" r:id="rId2387" display="https://treas-secure.state.mi.us/LAFDocSearch/tl41R01.aspx?&amp;lu_id=4987&amp;doc_yr=2016&amp;doc_code=AUD" xr:uid="{7E5951B3-5AED-40E0-8B82-B170801D447F}"/>
    <hyperlink ref="E2464" r:id="rId2388" display="https://treas-secure.state.mi.us/LAFDocSearch/tl41R01.aspx?&amp;lu_id=4915&amp;doc_yr=2016&amp;doc_code=AUD" xr:uid="{B614DCEF-818D-4A99-B533-05BB17586157}"/>
    <hyperlink ref="E2465" r:id="rId2389" display="https://treas-secure.state.mi.us/LAFDocSearch/tl41R01.aspx?&amp;lu_id=4943&amp;doc_yr=2016&amp;doc_code=AUD" xr:uid="{A01B20A7-0139-412A-A436-5A3516D90DF8}"/>
    <hyperlink ref="E2466" r:id="rId2390" display="https://treas-secure.state.mi.us/LAFDocSearch/tl41R01.aspx?&amp;lu_id=4939&amp;doc_yr=2016&amp;doc_code=AUD" xr:uid="{5F57A680-5ADC-495D-BF44-7D63FA6AFFC3}"/>
    <hyperlink ref="E2467" r:id="rId2391" display="https://treas-secure.state.mi.us/LAFDocSearch/tl41R01.aspx?&amp;lu_id=4916&amp;doc_yr=2016&amp;doc_code=AUD" xr:uid="{25874DC8-1B7C-41DB-BCA5-194FCF2904CA}"/>
    <hyperlink ref="E2468" r:id="rId2392" display="https://treas-secure.state.mi.us/LAFDocSearch/tl41R01.aspx?&amp;lu_id=4944&amp;doc_yr=2016&amp;doc_code=AUD" xr:uid="{1C0C062D-2C9A-4659-BFE6-6484FC4D90A9}"/>
    <hyperlink ref="E2469" r:id="rId2393" display="https://treas-secure.state.mi.us/LAFDocSearch/tl41R01.aspx?&amp;lu_id=4988&amp;doc_yr=2016&amp;doc_code=AUD" xr:uid="{5EF5DD1A-8F08-47F2-BC66-F0602E5ACCFC}"/>
    <hyperlink ref="E2470" r:id="rId2394" display="https://treas-secure.state.mi.us/LAFDocSearch/tl41R01.aspx?&amp;lu_id=4917&amp;doc_yr=2016&amp;doc_code=AUD" xr:uid="{478BBC23-D78A-4FF5-AD3D-C1CF9DC2BBFA}"/>
    <hyperlink ref="E2471" r:id="rId2395" display="https://treas-secure.state.mi.us/LAFDocSearch/tl41R01.aspx?&amp;lu_id=4918&amp;doc_yr=2016&amp;doc_code=AUD" xr:uid="{0995E79C-AD2D-4799-9572-E283C1F712DE}"/>
    <hyperlink ref="E2472" r:id="rId2396" display="https://treas-secure.state.mi.us/LAFDocSearch/tl41R01.aspx?&amp;lu_id=4919&amp;doc_yr=2016&amp;doc_code=AUD" xr:uid="{A5BDD854-38B4-4D4D-B814-8B7992A8A93E}"/>
    <hyperlink ref="E2473" r:id="rId2397" display="https://treas-secure.state.mi.us/LAFDocSearch/tl41R01.aspx?&amp;lu_id=4920&amp;doc_yr=2016&amp;doc_code=AUD" xr:uid="{DBBE90E4-D397-40F4-A895-AF56DCA7EC6F}"/>
    <hyperlink ref="E2474" r:id="rId2398" display="https://treas-secure.state.mi.us/LAFDocSearch/tl41R01.aspx?&amp;lu_id=4922&amp;doc_yr=2016&amp;doc_code=AUD" xr:uid="{7EE8C73A-368A-4FF9-844A-A50F2419DA72}"/>
    <hyperlink ref="E2475" r:id="rId2399" display="https://treas-secure.state.mi.us/LAFDocSearch/tl41R01.aspx?&amp;lu_id=4945&amp;doc_yr=2016&amp;doc_code=AUD" xr:uid="{EAB7CA0C-A239-426F-A052-EC1C28AFC2E0}"/>
    <hyperlink ref="E2476" r:id="rId2400" display="https://treas-secure.state.mi.us/LAFDocSearch/tl41R01.aspx?&amp;lu_id=4923&amp;doc_yr=2016&amp;doc_code=AUD" xr:uid="{E7E76291-0D07-494B-BFA2-6B233FAFDACA}"/>
    <hyperlink ref="E2477" r:id="rId2401" display="https://treas-secure.state.mi.us/LAFDocSearch/tl41R01.aspx?&amp;lu_id=4924&amp;doc_yr=2016&amp;doc_code=AUD" xr:uid="{C2934591-7809-4718-9CAC-C35065D615E9}"/>
    <hyperlink ref="E2478" r:id="rId2402" display="https://treas-secure.state.mi.us/LAFDocSearch/tl41R01.aspx?&amp;lu_id=4925&amp;doc_yr=2016&amp;doc_code=AUD" xr:uid="{F60A0FD9-F1F1-4236-B966-601532615531}"/>
    <hyperlink ref="E2479" r:id="rId2403" display="https://treas-secure.state.mi.us/LAFDocSearch/tl41R01.aspx?&amp;lu_id=4926&amp;doc_yr=2016&amp;doc_code=AUD" xr:uid="{6AB2AA12-98CC-4F29-BEB7-AF2358FE769A}"/>
    <hyperlink ref="E2480" r:id="rId2404" display="https://treas-secure.state.mi.us/LAFDocSearch/tl41R01.aspx?&amp;lu_id=4946&amp;doc_yr=2016&amp;doc_code=AUD" xr:uid="{CCB79BF3-73E8-47FD-A10A-A2DBF7E025AB}"/>
    <hyperlink ref="E2481" r:id="rId2405" display="https://treas-secure.state.mi.us/LAFDocSearch/tl41R01.aspx?&amp;lu_id=4927&amp;doc_yr=2016&amp;doc_code=AUD" xr:uid="{0A99F8CC-2310-4572-A769-30B299FA9B13}"/>
    <hyperlink ref="E2482" r:id="rId2406" display="https://treas-secure.state.mi.us/LAFDocSearch/tl41R01.aspx?&amp;lu_id=4940&amp;doc_yr=2016&amp;doc_code=AUD" xr:uid="{FB67A922-1DAE-41C1-B1E1-4394DB4E5501}"/>
    <hyperlink ref="E2483" r:id="rId2407" display="https://treas-secure.state.mi.us/LAFDocSearch/tl41R01.aspx?&amp;lu_id=4929&amp;doc_yr=2016&amp;doc_code=AUD" xr:uid="{FBF4B724-32E3-45A8-B362-D89D526A98C1}"/>
    <hyperlink ref="E2484" r:id="rId2408" display="https://treas-secure.state.mi.us/LAFDocSearch/tl41R01.aspx?&amp;lu_id=4978&amp;doc_yr=2016&amp;doc_code=AUD" xr:uid="{A6D1549D-95F4-4F24-B668-C6F20D612E55}"/>
    <hyperlink ref="E2485" r:id="rId2409" display="https://treas-secure.state.mi.us/LAFDocSearch/tl41R01.aspx?&amp;lu_id=4983&amp;doc_yr=2016&amp;doc_code=AUD" xr:uid="{86761CC0-8BDC-4B79-929D-E7F7D6E00E87}"/>
    <hyperlink ref="E2486" r:id="rId2410" display="https://treas-secure.state.mi.us/LAFDocSearch/tl41R01.aspx?&amp;lu_id=4930&amp;doc_yr=2016&amp;doc_code=AUD" xr:uid="{3BAA4C04-BE60-4AA6-B6DE-966A0E71B030}"/>
    <hyperlink ref="E2487" r:id="rId2411" display="https://treas-secure.state.mi.us/LAFDocSearch/tl41R01.aspx?&amp;lu_id=4948&amp;doc_yr=2016&amp;doc_code=AUD" xr:uid="{9100E4E4-862D-4617-AA7F-FA130775AD7C}"/>
    <hyperlink ref="E2488" r:id="rId2412" display="https://treas-secure.state.mi.us/LAFDocSearch/tl41R01.aspx?&amp;lu_id=4931&amp;doc_yr=2016&amp;doc_code=AUD" xr:uid="{CC6F0963-B050-460E-A9F9-45D6CBFC90C6}"/>
    <hyperlink ref="E2489" r:id="rId2413" display="https://treas-secure.state.mi.us/LAFDocSearch/tl41R01.aspx?&amp;lu_id=4986&amp;doc_yr=2016&amp;doc_code=AUD" xr:uid="{EBD27AA0-FE3F-486E-A4B6-0047341757AF}"/>
    <hyperlink ref="E2490" r:id="rId2414" display="https://treas-secure.state.mi.us/LAFDocSearch/tl41R01.aspx?&amp;lu_id=4949&amp;doc_yr=2016&amp;doc_code=AUD" xr:uid="{C1099342-138E-4503-BB79-00893ADEFAC2}"/>
    <hyperlink ref="E2491" r:id="rId2415" display="https://treas-secure.state.mi.us/LAFDocSearch/tl41R01.aspx?&amp;lu_id=4950&amp;doc_yr=2016&amp;doc_code=AUD" xr:uid="{4D06ADBC-78D5-4DBB-B29E-032D1AA1071B}"/>
    <hyperlink ref="E2492" r:id="rId2416" display="https://treas-secure.state.mi.us/LAFDocSearch/tl41R01.aspx?&amp;lu_id=4941&amp;doc_yr=2016&amp;doc_code=AUD" xr:uid="{85C64009-BAFA-4DE9-A26E-1030E5ED6E25}"/>
    <hyperlink ref="E2493" r:id="rId2417" display="https://treas-secure.state.mi.us/LAFDocSearch/tl41R01.aspx?&amp;lu_id=4977&amp;doc_yr=2016&amp;doc_code=AUD" xr:uid="{D5709E69-2D67-41C4-8A51-135EF07F44DD}"/>
    <hyperlink ref="E2494" r:id="rId2418" display="https://treas-secure.state.mi.us/LAFDocSearch/tl41R01.aspx?&amp;lu_id=4984&amp;doc_yr=2016&amp;doc_code=AUD" xr:uid="{4B387D45-4147-4F87-A906-A2DAA521FA11}"/>
    <hyperlink ref="E2495" r:id="rId2419" display="https://treas-secure.state.mi.us/LAFDocSearch/tl41R01.aspx?&amp;lu_id=4910&amp;doc_yr=2016&amp;doc_code=AUD" xr:uid="{F5F8B11F-B8DA-4782-9B5F-8CE84C17CCFF}"/>
    <hyperlink ref="E2496" r:id="rId2420" display="https://treas-secure.state.mi.us/LAFDocSearch/tl41R01.aspx?&amp;lu_id=4981&amp;doc_yr=2016&amp;doc_code=AUD" xr:uid="{9842A1A0-E133-4925-AE6C-65EC2F38EED3}"/>
    <hyperlink ref="E2497" r:id="rId2421" display="https://treas-secure.state.mi.us/LAFDocSearch/tl41R01.aspx?&amp;lu_id=4911&amp;doc_yr=2016&amp;doc_code=AUD" xr:uid="{7C55CAFC-042C-49B7-91F8-AED9A1B5D246}"/>
    <hyperlink ref="E2498" r:id="rId2422" display="https://treas-secure.state.mi.us/LAFDocSearch/tl41R01.aspx?&amp;lu_id=4985&amp;doc_yr=2016&amp;doc_code=AUD" xr:uid="{78734C93-1C5F-4E4C-A1D5-D0A97A40AB8E}"/>
    <hyperlink ref="E2499" r:id="rId2423" display="https://treas-secure.state.mi.us/LAFDocSearch/tl41R01.aspx?&amp;lu_id=4982&amp;doc_yr=2016&amp;doc_code=AUD" xr:uid="{1BD3DD38-7A13-4CA6-9063-CEE5C115C89F}"/>
    <hyperlink ref="E2500" r:id="rId2424" display="https://treas-secure.state.mi.us/LAFDocSearch/tl41R01.aspx?&amp;lu_id=4933&amp;doc_yr=2016&amp;doc_code=AUD" xr:uid="{DD2BA631-1826-45FD-8FC9-B5BB994B3114}"/>
    <hyperlink ref="E2501" r:id="rId2425" display="https://treas-secure.state.mi.us/LAFDocSearch/tl41R01.aspx?&amp;lu_id=4980&amp;doc_yr=2016&amp;doc_code=AUD" xr:uid="{327C95EC-B840-4A18-927D-C5A049895C89}"/>
    <hyperlink ref="E2502" r:id="rId2426" display="https://treas-secure.state.mi.us/LAFDocSearch/tl41R01.aspx?&amp;lu_id=4934&amp;doc_yr=2016&amp;doc_code=AUD" xr:uid="{0FF37A9D-6035-412D-90C2-1C1645C076C3}"/>
    <hyperlink ref="E2503" r:id="rId2427" display="https://treas-secure.state.mi.us/LAFDocSearch/tl41R01.aspx?&amp;lu_id=4935&amp;doc_yr=2016&amp;doc_code=AUD" xr:uid="{3DEA5C6D-1579-4122-9E6F-B20DFDDA71FB}"/>
    <hyperlink ref="E2504" r:id="rId2428" display="https://treas-secure.state.mi.us/LAFDocSearch/tl41R01.aspx?&amp;lu_id=4936&amp;doc_yr=2016&amp;doc_code=AUD" xr:uid="{D5CAEDF6-9C49-4913-91B1-8051F50EB4A0}"/>
    <hyperlink ref="E2505" r:id="rId2429" display="https://treas-secure.state.mi.us/LAFDocSearch/tl41R01.aspx?&amp;lu_id=4937&amp;doc_yr=2016&amp;doc_code=AUD" xr:uid="{D2C2F439-80B7-4F1E-885D-5564AB0D4A34}"/>
    <hyperlink ref="E2507" r:id="rId2430" display="https://treas-secure.state.mi.us/LAFDocSearch/tl41R01.aspx?&amp;lu_id=4994&amp;doc_yr=2016&amp;doc_code=AUD" xr:uid="{8066B72C-266A-4A3B-AB65-D74439BEFABB}"/>
    <hyperlink ref="E2508" r:id="rId2431" display="https://treas-secure.state.mi.us/LAFDocSearch/tl41R01.aspx?&amp;lu_id=4995&amp;doc_yr=2016&amp;doc_code=AUD" xr:uid="{A6DF5EB1-D48A-44C6-AB22-8493725F37E2}"/>
    <hyperlink ref="E2509" r:id="rId2432" display="https://treas-secure.state.mi.us/LAFDocSearch/tl41R01.aspx?&amp;lu_id=5006&amp;doc_yr=2016&amp;doc_code=AUD" xr:uid="{3F894A54-E035-4279-93CD-855F682DBDC6}"/>
    <hyperlink ref="E2510" r:id="rId2433" display="https://treas-secure.state.mi.us/LAFDocSearch/tl41R01.aspx?&amp;lu_id=4996&amp;doc_yr=2016&amp;doc_code=AUD" xr:uid="{001EECE9-08AD-4A5F-BAD7-C899602B37EA}"/>
    <hyperlink ref="E2511" r:id="rId2434" display="https://treas-secure.state.mi.us/LAFDocSearch/tl41R01.aspx?&amp;lu_id=5001&amp;doc_yr=2016&amp;doc_code=AUD" xr:uid="{5E99CADA-77E1-4886-8712-DC21C42C4E8C}"/>
    <hyperlink ref="E2512" r:id="rId2435" display="https://treas-secure.state.mi.us/LAFDocSearch/tl41R01.aspx?&amp;lu_id=4997&amp;doc_yr=2016&amp;doc_code=AUD" xr:uid="{0A5AA514-625C-4D74-B834-82E76B09BD56}"/>
    <hyperlink ref="E2513" r:id="rId2436" display="https://treas-secure.state.mi.us/LAFDocSearch/tl41R01.aspx?&amp;lu_id=5009&amp;doc_yr=2016&amp;doc_code=AUD" xr:uid="{6403D28E-8625-4331-983F-9CC9C886AF56}"/>
    <hyperlink ref="E2514" r:id="rId2437" display="https://treas-secure.state.mi.us/LAFDocSearch/tl41R01.aspx?&amp;lu_id=4998&amp;doc_yr=2016&amp;doc_code=AUD" xr:uid="{4CFCCE40-CA59-4094-AE3E-DBF84289D056}"/>
    <hyperlink ref="E2515" r:id="rId2438" display="https://treas-secure.state.mi.us/LAFDocSearch/tl41R01.aspx?&amp;lu_id=4991&amp;doc_yr=2016&amp;doc_code=AUD" xr:uid="{367A5A4A-2DFB-4BCC-A10A-47ABFF825F74}"/>
    <hyperlink ref="E2516" r:id="rId2439" display="https://treas-secure.state.mi.us/LAFDocSearch/tl41R01.aspx?&amp;lu_id=5008&amp;doc_yr=2016&amp;doc_code=AUD" xr:uid="{5F493FB9-3094-45F7-85B6-A36F8AD6721A}"/>
    <hyperlink ref="E2517" r:id="rId2440" display="https://treas-secure.state.mi.us/LAFDocSearch/tl41R01.aspx?&amp;lu_id=5010&amp;doc_yr=2016&amp;doc_code=AUD" xr:uid="{FC5F8A54-A56B-4E7F-959B-D34DCC3462E6}"/>
    <hyperlink ref="E2518" r:id="rId2441" display="https://treas-secure.state.mi.us/LAFDocSearch/tl41R01.aspx?&amp;lu_id=5005&amp;doc_yr=2016&amp;doc_code=AUD" xr:uid="{BE212617-6C78-4777-91C1-C6D8158C863B}"/>
    <hyperlink ref="E2519" r:id="rId2442" display="https://treas-secure.state.mi.us/LAFDocSearch/tl41R01.aspx?&amp;lu_id=4992&amp;doc_yr=2016&amp;doc_code=AUD" xr:uid="{34E8A603-B42B-4CE9-874D-2ADFF6B6F6E4}"/>
    <hyperlink ref="E2520" r:id="rId2443" display="https://treas-secure.state.mi.us/LAFDocSearch/tl41R01.aspx?&amp;lu_id=5000&amp;doc_yr=2016&amp;doc_code=AUD" xr:uid="{7999AB9D-4204-4973-9815-8F72F94D09F2}"/>
    <hyperlink ref="E2522" r:id="rId2444" display="https://treas-secure.state.mi.us/LAFDocSearch/tl41R01.aspx?&amp;lu_id=5036&amp;doc_yr=2016&amp;doc_code=AUD" xr:uid="{46C091A4-E2ED-4FA9-AC95-89FC6D841D91}"/>
    <hyperlink ref="E2523" r:id="rId2445" display="https://treas-secure.state.mi.us/LAFDocSearch/tl41R01.aspx?&amp;lu_id=5016&amp;doc_yr=2016&amp;doc_code=AUD" xr:uid="{84D685B3-6542-4510-A345-7FEC84956433}"/>
    <hyperlink ref="E2524" r:id="rId2446" display="https://treas-secure.state.mi.us/LAFDocSearch/tl41R01.aspx?&amp;lu_id=5017&amp;doc_yr=2016&amp;doc_code=AUD" xr:uid="{BE04CF68-D52F-4D57-83D7-D34B9C346BC7}"/>
    <hyperlink ref="E2525" r:id="rId2447" display="https://treas-secure.state.mi.us/LAFDocSearch/tl41R01.aspx?&amp;lu_id=5037&amp;doc_yr=2016&amp;doc_code=AUD" xr:uid="{86C02769-FD77-44EF-B327-C9EAE12BEF2D}"/>
    <hyperlink ref="E2526" r:id="rId2448" display="https://treas-secure.state.mi.us/LAFDocSearch/tl41R01.aspx?&amp;lu_id=5086&amp;doc_yr=2016&amp;doc_code=AUD" xr:uid="{6EDF1E1C-E5E1-486E-B41E-70B8781C65BB}"/>
    <hyperlink ref="E2527" r:id="rId2449" display="https://treas-secure.state.mi.us/LAFDocSearch/tl41R01.aspx?&amp;lu_id=5031&amp;doc_yr=2016&amp;doc_code=AUD" xr:uid="{D16ADB06-6EE2-4BC2-BDE6-11627B34D2EA}"/>
    <hyperlink ref="E2528" r:id="rId2450" display="https://treas-secure.state.mi.us/LAFDocSearch/tl41R01.aspx?&amp;lu_id=5032&amp;doc_yr=2016&amp;doc_code=AUD" xr:uid="{CA738846-1548-4047-9DD3-ABD7170BA605}"/>
    <hyperlink ref="E2529" r:id="rId2451" display="https://treas-secure.state.mi.us/LAFDocSearch/tl41R01.aspx?&amp;lu_id=5019&amp;doc_yr=2016&amp;doc_code=AUD" xr:uid="{9160479A-94E7-443C-AC5B-309F39456BD9}"/>
    <hyperlink ref="E2530" r:id="rId2452" display="https://treas-secure.state.mi.us/LAFDocSearch/tl41R01.aspx?&amp;lu_id=5020&amp;doc_yr=2016&amp;doc_code=AUD" xr:uid="{18353596-1009-4EF7-ADC9-0C0A951C5D2F}"/>
    <hyperlink ref="E2531" r:id="rId2453" display="https://treas-secure.state.mi.us/LAFDocSearch/tl41R01.aspx?&amp;lu_id=5033&amp;doc_yr=2016&amp;doc_code=AUD" xr:uid="{F79C550E-D1A3-44D7-8511-97352546A54D}"/>
    <hyperlink ref="E2532" r:id="rId2454" display="https://treas-secure.state.mi.us/LAFDocSearch/tl41R01.aspx?&amp;lu_id=5067&amp;doc_yr=2016&amp;doc_code=AUD" xr:uid="{344E20A5-0484-4637-A09E-207592A98833}"/>
    <hyperlink ref="E2533" r:id="rId2455" display="https://treas-secure.state.mi.us/LAFDocSearch/tl41R01.aspx?&amp;lu_id=5038&amp;doc_yr=2016&amp;doc_code=AUD" xr:uid="{A73D0BFF-F84B-4D95-90B5-F964BC2D600B}"/>
    <hyperlink ref="E2534" r:id="rId2456" display="https://treas-secure.state.mi.us/LAFDocSearch/tl41R01.aspx?&amp;lu_id=5021&amp;doc_yr=2016&amp;doc_code=AUD" xr:uid="{B327BAA1-02B5-47E4-9C51-164BECFC93CA}"/>
    <hyperlink ref="E2535" r:id="rId2457" display="https://treas-secure.state.mi.us/LAFDocSearch/tl41R01.aspx?&amp;lu_id=5039&amp;doc_yr=2016&amp;doc_code=AUD" xr:uid="{ED2FCF85-764B-4BEF-BEE8-E0B52F137D4C}"/>
    <hyperlink ref="E2536" r:id="rId2458" display="https://treas-secure.state.mi.us/LAFDocSearch/tl41R01.aspx?&amp;lu_id=5022&amp;doc_yr=2016&amp;doc_code=AUD" xr:uid="{9B4C24D7-FB55-4400-8909-E01E3E5FA2A7}"/>
    <hyperlink ref="E2537" r:id="rId2459" display="https://treas-secure.state.mi.us/LAFDocSearch/tl41R01.aspx?&amp;lu_id=5040&amp;doc_yr=2016&amp;doc_code=AUD" xr:uid="{F7F9271E-33E9-47E4-AF82-0D06E150DC24}"/>
    <hyperlink ref="E2538" r:id="rId2460" display="https://treas-secure.state.mi.us/LAFDocSearch/tl41R01.aspx?&amp;lu_id=5034&amp;doc_yr=2016&amp;doc_code=AUD" xr:uid="{8852A6DD-16F7-44E6-908F-C78B6F2F50FC}"/>
    <hyperlink ref="E2539" r:id="rId2461" display="https://treas-secure.state.mi.us/LAFDocSearch/tl41R01.aspx?&amp;lu_id=5023&amp;doc_yr=2016&amp;doc_code=AUD" xr:uid="{AD0650D4-CBC7-44A9-A7FE-2417EE6D1B59}"/>
    <hyperlink ref="E2540" r:id="rId2462" display="https://treas-secure.state.mi.us/LAFDocSearch/tl41R01.aspx?&amp;lu_id=5068&amp;doc_yr=2016&amp;doc_code=AUD" xr:uid="{8B934C12-6361-4345-8F53-E1CB3A73A19A}"/>
    <hyperlink ref="E2541" r:id="rId2463" display="https://treas-secure.state.mi.us/LAFDocSearch/tl41R01.aspx?&amp;lu_id=5060&amp;doc_yr=2016&amp;doc_code=AUD" xr:uid="{CF30C0AF-DC4C-414F-9E13-F20B7BA9E988}"/>
    <hyperlink ref="E2542" r:id="rId2464" display="https://treas-secure.state.mi.us/LAFDocSearch/tl41R01.aspx?&amp;lu_id=5035&amp;doc_yr=2016&amp;doc_code=AUD" xr:uid="{160C3774-182C-4146-BB5D-BDCAE0ED8D5B}"/>
    <hyperlink ref="E2543" r:id="rId2465" display="https://treas-secure.state.mi.us/LAFDocSearch/tl41R01.aspx?&amp;lu_id=5024&amp;doc_yr=2016&amp;doc_code=AUD" xr:uid="{7F8E21B5-7D04-4759-99CC-404F6E14D079}"/>
    <hyperlink ref="E2544" r:id="rId2466" display="https://treas-secure.state.mi.us/LAFDocSearch/tl41R01.aspx?&amp;lu_id=5064&amp;doc_yr=2016&amp;doc_code=AUD" xr:uid="{47CEE88A-2F73-4196-A7AB-0A1F64804C68}"/>
    <hyperlink ref="E2545" r:id="rId2467" display="https://treas-secure.state.mi.us/LAFDocSearch/tl41R01.aspx?&amp;lu_id=5025&amp;doc_yr=2016&amp;doc_code=AUD" xr:uid="{2D7B46EA-2388-49F7-9994-27DDF21B80AC}"/>
    <hyperlink ref="E2546" r:id="rId2468" display="https://treas-secure.state.mi.us/LAFDocSearch/tl41R01.aspx?&amp;lu_id=5026&amp;doc_yr=2016&amp;doc_code=AUD" xr:uid="{8B79C681-3139-46D0-B29B-BC17E8218DC9}"/>
    <hyperlink ref="E2547" r:id="rId2469" display="https://treas-secure.state.mi.us/LAFDocSearch/tl41R01.aspx?&amp;lu_id=5013&amp;doc_yr=2016&amp;doc_code=AUD" xr:uid="{6393DAAA-B8E7-478E-8CD0-7F4B145409A0}"/>
    <hyperlink ref="E2548" r:id="rId2470" display="https://treas-secure.state.mi.us/LAFDocSearch/tl41R01.aspx?&amp;lu_id=5027&amp;doc_yr=2016&amp;doc_code=AUD" xr:uid="{F02CA0B0-1B1E-4DEC-AD42-D5BB4A02BD87}"/>
    <hyperlink ref="E2549" r:id="rId2471" display="https://treas-secure.state.mi.us/LAFDocSearch/tl41R01.aspx?&amp;lu_id=5070&amp;doc_yr=2016&amp;doc_code=AUD" xr:uid="{E8CA282A-A1B5-476E-9B61-D3CF67D75F79}"/>
    <hyperlink ref="E2550" r:id="rId2472" display="https://treas-secure.state.mi.us/LAFDocSearch/tl41R01.aspx?&amp;lu_id=5075&amp;doc_yr=2016&amp;doc_code=AUD" xr:uid="{69696F8B-6B66-4930-8F62-737541A362BA}"/>
    <hyperlink ref="E2551" r:id="rId2473" display="https://treas-secure.state.mi.us/LAFDocSearch/tl41R01.aspx?&amp;lu_id=5014&amp;doc_yr=2016&amp;doc_code=AUD" xr:uid="{B32175E1-8FCE-4713-A91A-2CF1531708EC}"/>
    <hyperlink ref="E2552" r:id="rId2474" display="https://treas-secure.state.mi.us/LAFDocSearch/tl41R01.aspx?&amp;lu_id=5084&amp;doc_yr=2016&amp;doc_code=AUD" xr:uid="{037BFF29-5677-4FDC-9A59-2BB24844973C}"/>
    <hyperlink ref="E2553" r:id="rId2475" display="https://treas-secure.state.mi.us/LAFDocSearch/tl41R01.aspx?&amp;lu_id=5029&amp;doc_yr=2016&amp;doc_code=AUD" xr:uid="{1CA232AD-523B-4E2D-8139-1220B0B59B0D}"/>
    <hyperlink ref="E2554" r:id="rId2476" display="https://treas-secure.state.mi.us/LAFDocSearch/tl41R01.aspx?&amp;lu_id=5041&amp;doc_yr=2016&amp;doc_code=AUD" xr:uid="{ABFA7630-5ECE-43F3-B94F-979D17BCD3E4}"/>
    <hyperlink ref="E2555" r:id="rId2477" display="https://treas-secure.state.mi.us/LAFDocSearch/tl41R01.aspx?&amp;lu_id=5085&amp;doc_yr=2016&amp;doc_code=AUD" xr:uid="{5E81EA38-509D-4A3E-825C-FABA099E6485}"/>
    <hyperlink ref="E2556" r:id="rId2478" display="https://treas-secure.state.mi.us/LAFDocSearch/tl41R01.aspx?&amp;lu_id=5030&amp;doc_yr=2016&amp;doc_code=AUD" xr:uid="{17150175-FED4-44AC-97A7-91B9EA0D9909}"/>
    <hyperlink ref="E2558" r:id="rId2479" display="https://treas-secure.state.mi.us/LAFDocSearch/tl41R01.aspx?&amp;lu_id=5161&amp;doc_yr=2016&amp;doc_code=AUD" xr:uid="{FD486926-4FA3-4A03-9511-5FD65C23E206}"/>
    <hyperlink ref="E2559" r:id="rId2480" display="https://treas-secure.state.mi.us/LAFDocSearch/tl41R01.aspx?&amp;lu_id=5160&amp;doc_yr=2016&amp;doc_code=AUD" xr:uid="{51B997BE-26F0-446B-8BAF-DB78A3F3C7CC}"/>
    <hyperlink ref="E2560" r:id="rId2481" display="https://treas-secure.state.mi.us/LAFDocSearch/tl41R01.aspx?&amp;lu_id=5094&amp;doc_yr=2016&amp;doc_code=AUD" xr:uid="{4AFC2588-DBE9-4A51-9457-02E4AEDF0EA7}"/>
    <hyperlink ref="E2561" r:id="rId2482" display="https://treas-secure.state.mi.us/LAFDocSearch/tl41R01.aspx?&amp;lu_id=5095&amp;doc_yr=2016&amp;doc_code=AUD" xr:uid="{98531F73-5D83-4952-806F-879399001EBE}"/>
    <hyperlink ref="E2562" r:id="rId2483" display="https://treas-secure.state.mi.us/LAFDocSearch/tl41R01.aspx?&amp;lu_id=5165&amp;doc_yr=2016&amp;doc_code=AUD" xr:uid="{CCA55A1D-2E86-4D00-8C82-887843AFD570}"/>
    <hyperlink ref="E2563" r:id="rId2484" display="https://treas-secure.state.mi.us/LAFDocSearch/tl41R01.aspx?&amp;lu_id=5116&amp;doc_yr=2016&amp;doc_code=AUD" xr:uid="{65F860B9-DC21-4757-BEA3-57E57F201AB8}"/>
    <hyperlink ref="E2564" r:id="rId2485" display="https://treas-secure.state.mi.us/LAFDocSearch/tl41R01.aspx?&amp;lu_id=5166&amp;doc_yr=2016&amp;doc_code=AUD" xr:uid="{5CA842EB-3BBC-4D06-9E1A-7681F0B21D52}"/>
    <hyperlink ref="E2565" r:id="rId2486" display="https://treas-secure.state.mi.us/LAFDocSearch/tl41R01.aspx?&amp;lu_id=5162&amp;doc_yr=2016&amp;doc_code=AUD" xr:uid="{932982DC-B7F4-431E-A60A-A2636334B788}"/>
    <hyperlink ref="E2566" r:id="rId2487" display="https://treas-secure.state.mi.us/LAFDocSearch/tl41R01.aspx?&amp;lu_id=5119&amp;doc_yr=2016&amp;doc_code=AUD" xr:uid="{36E4ED5C-B00E-46D8-BE2D-084A4C96141F}"/>
    <hyperlink ref="E2567" r:id="rId2488" display="https://treas-secure.state.mi.us/LAFDocSearch/tl41R01.aspx?&amp;lu_id=5096&amp;doc_yr=2016&amp;doc_code=AUD" xr:uid="{1068D5F1-9479-4F5E-B54F-5C8A925BC352}"/>
    <hyperlink ref="E2568" r:id="rId2489" display="https://treas-secure.state.mi.us/LAFDocSearch/tl41R01.aspx?&amp;lu_id=5097&amp;doc_yr=2016&amp;doc_code=AUD" xr:uid="{84BA61B4-0550-4DF1-BE0F-C329261ED745}"/>
    <hyperlink ref="E2569" r:id="rId2490" display="https://treas-secure.state.mi.us/LAFDocSearch/tl41R01.aspx?&amp;lu_id=5098&amp;doc_yr=2016&amp;doc_code=AUD" xr:uid="{86DBF5FA-41E3-4932-B360-97BDF73A372B}"/>
    <hyperlink ref="E2570" r:id="rId2491" display="https://treas-secure.state.mi.us/LAFDocSearch/tl41R01.aspx?&amp;lu_id=5099&amp;doc_yr=2016&amp;doc_code=AUD" xr:uid="{453CE9A2-392B-43B3-86CF-21699D032DF2}"/>
    <hyperlink ref="E2571" r:id="rId2492" display="https://treas-secure.state.mi.us/LAFDocSearch/tl41R01.aspx?&amp;lu_id=5100&amp;doc_yr=2016&amp;doc_code=AUD" xr:uid="{D2347998-7CEA-4477-B16D-B5E69E004EB4}"/>
    <hyperlink ref="E2572" r:id="rId2493" display="https://treas-secure.state.mi.us/LAFDocSearch/tl41R01.aspx?&amp;lu_id=5101&amp;doc_yr=2016&amp;doc_code=AUD" xr:uid="{F5B863C7-D9E5-4D43-9B40-0C4023D74C52}"/>
    <hyperlink ref="E2573" r:id="rId2494" display="https://treas-secure.state.mi.us/LAFDocSearch/tl41R01.aspx?&amp;lu_id=5102&amp;doc_yr=2016&amp;doc_code=AUD" xr:uid="{5137D5DC-DE55-4F33-B2A6-30ED7AFC97CE}"/>
    <hyperlink ref="E2574" r:id="rId2495" display="https://treas-secure.state.mi.us/LAFDocSearch/tl41R01.aspx?&amp;lu_id=5167&amp;doc_yr=2016&amp;doc_code=AUD" xr:uid="{C873F0D4-E1E6-4E87-99C6-9E1CF5E9AA2B}"/>
    <hyperlink ref="E2575" r:id="rId2496" display="https://treas-secure.state.mi.us/LAFDocSearch/tl41R01.aspx?&amp;lu_id=5103&amp;doc_yr=2016&amp;doc_code=AUD" xr:uid="{B539CE35-1EF2-48B8-A492-F776DF1F318E}"/>
    <hyperlink ref="E2576" r:id="rId2497" display="https://treas-secure.state.mi.us/LAFDocSearch/tl41R01.aspx?&amp;lu_id=5104&amp;doc_yr=2016&amp;doc_code=AUD" xr:uid="{07AE58EC-25C1-4167-8F02-26AD74384DBC}"/>
    <hyperlink ref="E2577" r:id="rId2498" display="https://treas-secure.state.mi.us/LAFDocSearch/tl41R01.aspx?&amp;lu_id=5105&amp;doc_yr=2016&amp;doc_code=AUD" xr:uid="{78092604-EA58-4360-9010-E0DEBE4AEA55}"/>
    <hyperlink ref="E2578" r:id="rId2499" display="https://treas-secure.state.mi.us/LAFDocSearch/tl41R01.aspx?&amp;lu_id=5106&amp;doc_yr=2016&amp;doc_code=AUD" xr:uid="{59EAB0BD-B44C-40BC-9466-239682B3B5AC}"/>
    <hyperlink ref="E2579" r:id="rId2500" display="https://treas-secure.state.mi.us/LAFDocSearch/tl41R01.aspx?&amp;lu_id=5107&amp;doc_yr=2016&amp;doc_code=AUD" xr:uid="{7D4493AE-A6E6-49FA-8C65-8B0A4CF3CD53}"/>
    <hyperlink ref="E2580" r:id="rId2501" display="https://treas-secure.state.mi.us/LAFDocSearch/tl41R01.aspx?&amp;lu_id=5108&amp;doc_yr=2016&amp;doc_code=AUD" xr:uid="{0C9E1DB6-8E02-4F16-B667-FC2F5523489D}"/>
    <hyperlink ref="E2581" r:id="rId2502" display="https://treas-secure.state.mi.us/LAFDocSearch/tl41R01.aspx?&amp;lu_id=5157&amp;doc_yr=2016&amp;doc_code=AUD" xr:uid="{E192C732-0A16-4A96-985D-F00CA745D494}"/>
    <hyperlink ref="E2582" r:id="rId2503" display="https://treas-secure.state.mi.us/LAFDocSearch/tl41R01.aspx?&amp;lu_id=5168&amp;doc_yr=2016&amp;doc_code=AUD" xr:uid="{494B99DC-6692-4CF4-9377-ADE5F2830C1D}"/>
    <hyperlink ref="E2583" r:id="rId2504" display="https://treas-secure.state.mi.us/LAFDocSearch/tl41R01.aspx?&amp;lu_id=5109&amp;doc_yr=2016&amp;doc_code=AUD" xr:uid="{C8F0D367-0A75-4A00-86AA-79495C59BE34}"/>
    <hyperlink ref="E2584" r:id="rId2505" display="https://treas-secure.state.mi.us/LAFDocSearch/tl41R01.aspx?&amp;lu_id=5124&amp;doc_yr=2016&amp;doc_code=AUD" xr:uid="{9D85E279-91EE-4183-B062-4357486CF1FC}"/>
    <hyperlink ref="E2585" r:id="rId2506" display="https://treas-secure.state.mi.us/LAFDocSearch/tl41R01.aspx?&amp;lu_id=5172&amp;doc_yr=2016&amp;doc_code=AUD" xr:uid="{66BD2157-9460-49E0-8F3D-00E40F36EE64}"/>
    <hyperlink ref="E2586" r:id="rId2507" display="https://treas-secure.state.mi.us/LAFDocSearch/tl41R01.aspx?&amp;lu_id=5110&amp;doc_yr=2016&amp;doc_code=AUD" xr:uid="{23DC65E0-17BD-4B75-884D-D49D167C94ED}"/>
    <hyperlink ref="E2587" r:id="rId2508" display="https://treas-secure.state.mi.us/LAFDocSearch/tl41R01.aspx?&amp;lu_id=5169&amp;doc_yr=2016&amp;doc_code=AUD" xr:uid="{50FC65EB-DE43-475B-BB86-8269BB819719}"/>
    <hyperlink ref="E2588" r:id="rId2509" display="https://treas-secure.state.mi.us/LAFDocSearch/tl41R01.aspx?&amp;lu_id=5125&amp;doc_yr=2016&amp;doc_code=AUD" xr:uid="{B3A94DEA-9607-457C-B92E-85BB1032FF66}"/>
    <hyperlink ref="E2589" r:id="rId2510" display="https://treas-secure.state.mi.us/LAFDocSearch/tl41R01.aspx?&amp;lu_id=5170&amp;doc_yr=2016&amp;doc_code=AUD" xr:uid="{11086D6C-1BCD-4004-ADFE-B9F89E20C8F1}"/>
    <hyperlink ref="E2590" r:id="rId2511" display="https://treas-secure.state.mi.us/LAFDocSearch/tl41R01.aspx?&amp;lu_id=5164&amp;doc_yr=2016&amp;doc_code=AUD" xr:uid="{AC856D0E-4A1C-4517-A31E-C10212F89870}"/>
    <hyperlink ref="E2591" r:id="rId2512" display="https://treas-secure.state.mi.us/LAFDocSearch/tl41R01.aspx?&amp;lu_id=5091&amp;doc_yr=2016&amp;doc_code=AUD" xr:uid="{23F5727B-4F20-46CD-8B34-C2DD10CDA42A}"/>
    <hyperlink ref="E2592" r:id="rId2513" display="https://treas-secure.state.mi.us/LAFDocSearch/tl41R01.aspx?&amp;lu_id=5111&amp;doc_yr=2016&amp;doc_code=AUD" xr:uid="{D09C6438-2C83-406A-A8AC-07847F1A163A}"/>
    <hyperlink ref="E2593" r:id="rId2514" display="https://treas-secure.state.mi.us/LAFDocSearch/tl41R01.aspx?&amp;lu_id=5154&amp;doc_yr=2016&amp;doc_code=AUD" xr:uid="{37CF8320-5C12-4201-8416-2319502DA7BE}"/>
    <hyperlink ref="E2594" r:id="rId2515" display="https://treas-secure.state.mi.us/LAFDocSearch/tl41R01.aspx?&amp;lu_id=5092&amp;doc_yr=2016&amp;doc_code=AUD" xr:uid="{2D8BCDAB-9BE9-428A-A8D1-A50625014105}"/>
    <hyperlink ref="E2595" r:id="rId2516" display="https://treas-secure.state.mi.us/LAFDocSearch/tl41R01.aspx?&amp;lu_id=5156&amp;doc_yr=2016&amp;doc_code=AUD" xr:uid="{9774107E-D5FE-4639-8D07-47758103BC3B}"/>
    <hyperlink ref="E2596" r:id="rId2517" display="https://treas-secure.state.mi.us/LAFDocSearch/tl41R01.aspx?&amp;lu_id=5158&amp;doc_yr=2016&amp;doc_code=AUD" xr:uid="{8F076435-F9B3-4682-B889-5F74F5312DC9}"/>
    <hyperlink ref="E2597" r:id="rId2518" display="https://treas-secure.state.mi.us/LAFDocSearch/tl41R01.aspx?&amp;lu_id=5163&amp;doc_yr=2016&amp;doc_code=AUD" xr:uid="{99F4BFE3-EC0E-45D8-BFA4-AE77E6C44393}"/>
    <hyperlink ref="E2598" r:id="rId2519" display="https://treas-secure.state.mi.us/LAFDocSearch/tl41R01.aspx?&amp;lu_id=5117&amp;doc_yr=2016&amp;doc_code=AUD" xr:uid="{E6BE8FC8-D750-45FC-A78D-D20E0B648EDB}"/>
    <hyperlink ref="E2599" r:id="rId2520" display="https://treas-secure.state.mi.us/LAFDocSearch/tl41R01.aspx?&amp;lu_id=5112&amp;doc_yr=2016&amp;doc_code=AUD" xr:uid="{117D682A-F693-4135-ADA1-D7D4D9884AD8}"/>
    <hyperlink ref="E2600" r:id="rId2521" display="https://treas-secure.state.mi.us/LAFDocSearch/tl41R01.aspx?&amp;lu_id=5113&amp;doc_yr=2016&amp;doc_code=AUD" xr:uid="{1B832776-C1F5-4F15-A5BF-398F38C94039}"/>
    <hyperlink ref="E2601" r:id="rId2522" display="https://treas-secure.state.mi.us/LAFDocSearch/tl41R01.aspx?&amp;lu_id=5114&amp;doc_yr=2016&amp;doc_code=AUD" xr:uid="{3EC4AF51-69ED-480D-93AF-2A4F97898AFC}"/>
    <hyperlink ref="E2602" r:id="rId2523" display="https://treas-secure.state.mi.us/LAFDocSearch/tl41R01.aspx?&amp;lu_id=5115&amp;doc_yr=2016&amp;doc_code=AUD" xr:uid="{79570C6B-F195-4CB0-9883-C5D42971F5E4}"/>
    <hyperlink ref="E2604" r:id="rId2524" display="https://treas-secure.state.mi.us/LAFDocSearch/tl41R01.aspx?&amp;lu_id=5246&amp;doc_yr=2016&amp;doc_code=AUD" xr:uid="{954D15DD-5DCE-483B-92F0-7A0E23C8C5D1}"/>
    <hyperlink ref="E2605" r:id="rId2525" display="https://treas-secure.state.mi.us/LAFDocSearch/tl41R01.aspx?&amp;lu_id=5179&amp;doc_yr=2016&amp;doc_code=AUD" xr:uid="{FFEF4D78-C4F0-40DB-A065-1739332A9755}"/>
    <hyperlink ref="E2606" r:id="rId2526" display="https://treas-secure.state.mi.us/LAFDocSearch/tl41R01.aspx?&amp;lu_id=5180&amp;doc_yr=2016&amp;doc_code=AUD" xr:uid="{3CE15113-821E-4762-8D0D-5DC011887DDF}"/>
    <hyperlink ref="E2607" r:id="rId2527" display="https://treas-secure.state.mi.us/LAFDocSearch/tl41R01.aspx?&amp;lu_id=5181&amp;doc_yr=2016&amp;doc_code=AUD" xr:uid="{3F8CB188-5989-48EA-99D0-53557A96C1E7}"/>
    <hyperlink ref="E2608" r:id="rId2528" display="https://treas-secure.state.mi.us/LAFDocSearch/tl41R01.aspx?&amp;lu_id=5197&amp;doc_yr=2016&amp;doc_code=AUD" xr:uid="{A91B8F06-B263-472A-AB09-9496693274E4}"/>
    <hyperlink ref="E2609" r:id="rId2529" display="https://treas-secure.state.mi.us/LAFDocSearch/tl41R01.aspx?&amp;lu_id=5249&amp;doc_yr=2016&amp;doc_code=AUD" xr:uid="{6C91068B-9148-4C1B-86D0-1DF62E689397}"/>
    <hyperlink ref="E2610" r:id="rId2530" display="https://treas-secure.state.mi.us/LAFDocSearch/tl41R01.aspx?&amp;lu_id=5183&amp;doc_yr=2016&amp;doc_code=AUD" xr:uid="{EBC372A8-4163-4545-9BCC-085E45BC1706}"/>
    <hyperlink ref="E2611" r:id="rId2531" display="https://treas-secure.state.mi.us/LAFDocSearch/tl41R01.aspx?&amp;lu_id=5201&amp;doc_yr=2016&amp;doc_code=AUD" xr:uid="{05E1EF7C-F18D-41A1-803A-2F9B8B6E2AFB}"/>
    <hyperlink ref="E2612" r:id="rId2532" display="https://treas-secure.state.mi.us/LAFDocSearch/tl41R01.aspx?&amp;lu_id=5202&amp;doc_yr=2016&amp;doc_code=AUD" xr:uid="{6679248A-A44F-4CEB-BC9B-395290B1DC12}"/>
    <hyperlink ref="E2613" r:id="rId2533" display="https://treas-secure.state.mi.us/LAFDocSearch/tl41R01.aspx?&amp;lu_id=5184&amp;doc_yr=2016&amp;doc_code=AUD" xr:uid="{D93CC635-E681-4513-872C-6BEC92E35C16}"/>
    <hyperlink ref="E2614" r:id="rId2534" display="https://treas-secure.state.mi.us/LAFDocSearch/tl41R01.aspx?&amp;lu_id=5185&amp;doc_yr=2016&amp;doc_code=AUD" xr:uid="{5A8C3DB1-BFF6-408E-8F8D-0B6B9933F56D}"/>
    <hyperlink ref="E2615" r:id="rId2535" display="https://treas-secure.state.mi.us/LAFDocSearch/tl41R01.aspx?&amp;lu_id=5241&amp;doc_yr=2016&amp;doc_code=AUD" xr:uid="{9C132B15-7FCD-41CA-B352-3C62FC5EF5C3}"/>
    <hyperlink ref="E2616" r:id="rId2536" display="https://treas-secure.state.mi.us/LAFDocSearch/tl41R01.aspx?&amp;lu_id=5186&amp;doc_yr=2016&amp;doc_code=AUD" xr:uid="{68E1C976-E7E0-4033-BC72-F0E58A8E03BC}"/>
    <hyperlink ref="E2617" r:id="rId2537" display="https://treas-secure.state.mi.us/LAFDocSearch/tl41R01.aspx?&amp;lu_id=5203&amp;doc_yr=2016&amp;doc_code=AUD" xr:uid="{E68387AF-1F29-45A5-B5C7-3733C0765DC1}"/>
    <hyperlink ref="E2618" r:id="rId2538" display="https://treas-secure.state.mi.us/LAFDocSearch/tl41R01.aspx?&amp;lu_id=5244&amp;doc_yr=2016&amp;doc_code=AUD" xr:uid="{38A6E866-B684-4A48-9689-7D0DE27F2E81}"/>
    <hyperlink ref="E2619" r:id="rId2539" display="https://treas-secure.state.mi.us/LAFDocSearch/tl41R01.aspx?&amp;lu_id=5245&amp;doc_yr=2016&amp;doc_code=AUD" xr:uid="{B75BE061-0E98-4C62-8047-9B499E51B1F7}"/>
    <hyperlink ref="E2620" r:id="rId2540" display="https://treas-secure.state.mi.us/LAFDocSearch/tl41R01.aspx?&amp;lu_id=5187&amp;doc_yr=2016&amp;doc_code=AUD" xr:uid="{E046AF68-7CF5-48EF-99FB-0E7849788412}"/>
    <hyperlink ref="E2621" r:id="rId2541" display="https://treas-secure.state.mi.us/LAFDocSearch/tl41R01.aspx?&amp;lu_id=5198&amp;doc_yr=2016&amp;doc_code=AUD" xr:uid="{8F5983A2-A640-4736-A819-4D41E95F36F4}"/>
    <hyperlink ref="E2622" r:id="rId2542" display="https://treas-secure.state.mi.us/LAFDocSearch/tl41R01.aspx?&amp;lu_id=5240&amp;doc_yr=2016&amp;doc_code=AUD" xr:uid="{FD8A39A3-A567-4486-8D43-E4C62F2975B3}"/>
    <hyperlink ref="E2623" r:id="rId2543" display="https://treas-secure.state.mi.us/LAFDocSearch/tl41R01.aspx?&amp;lu_id=5188&amp;doc_yr=2016&amp;doc_code=AUD" xr:uid="{0002EE3C-4640-4954-A630-7FB28824CA15}"/>
    <hyperlink ref="E2624" r:id="rId2544" display="https://treas-secure.state.mi.us/LAFDocSearch/tl41R01.aspx?&amp;lu_id=5199&amp;doc_yr=2016&amp;doc_code=AUD" xr:uid="{A1CB471B-C331-495A-AC7F-33D22EBD5395}"/>
    <hyperlink ref="E2625" r:id="rId2545" display="https://treas-secure.state.mi.us/LAFDocSearch/tl41R01.aspx?&amp;lu_id=5189&amp;doc_yr=2016&amp;doc_code=AUD" xr:uid="{97E9C892-535F-452E-BF02-4BB268704744}"/>
    <hyperlink ref="E2626" r:id="rId2546" display="https://treas-secure.state.mi.us/LAFDocSearch/tl41R01.aspx?&amp;lu_id=5238&amp;doc_yr=2016&amp;doc_code=AUD" xr:uid="{E6FFDA78-28CE-4D59-A901-879CB1D0C981}"/>
    <hyperlink ref="E2627" r:id="rId2547" display="https://treas-secure.state.mi.us/LAFDocSearch/tl41R01.aspx?&amp;lu_id=5256&amp;doc_yr=2016&amp;doc_code=AUD" xr:uid="{42F0A4BC-8382-46EB-82D7-BFA2192460A2}"/>
    <hyperlink ref="E2628" r:id="rId2548" display="https://treas-secure.state.mi.us/LAFDocSearch/tl41R01.aspx?&amp;lu_id=5190&amp;doc_yr=2016&amp;doc_code=AUD" xr:uid="{6215DB5B-8DE9-4769-84C8-734E73AA4537}"/>
    <hyperlink ref="E2629" r:id="rId2549" display="https://treas-secure.state.mi.us/LAFDocSearch/tl41R01.aspx?&amp;lu_id=6141&amp;doc_yr=2016&amp;doc_code=AUD" xr:uid="{93E36FBF-7999-408D-A38F-E74099284DEB}"/>
    <hyperlink ref="E2630" r:id="rId2550" display="https://treas-secure.state.mi.us/LAFDocSearch/tl41R01.aspx?&amp;lu_id=5191&amp;doc_yr=2016&amp;doc_code=AUD" xr:uid="{6F7EF4A7-1239-4C05-A6EC-BC174E4A9867}"/>
    <hyperlink ref="E2631" r:id="rId2551" display="https://treas-secure.state.mi.us/LAFDocSearch/tl41R01.aspx?&amp;lu_id=5204&amp;doc_yr=2016&amp;doc_code=AUD" xr:uid="{666FF656-2D8A-4379-9A86-FAC21F73CBF8}"/>
    <hyperlink ref="E2632" r:id="rId2552" display="https://treas-secure.state.mi.us/LAFDocSearch/tl41R01.aspx?&amp;lu_id=5205&amp;doc_yr=2016&amp;doc_code=AUD" xr:uid="{9D0C8C6D-B853-4317-903E-ED6FC8BA7C54}"/>
    <hyperlink ref="E2633" r:id="rId2553" display="https://treas-secure.state.mi.us/LAFDocSearch/tl41R01.aspx?&amp;lu_id=5237&amp;doc_yr=2016&amp;doc_code=AUD" xr:uid="{029B8C17-721C-4E51-97E5-894B4D846471}"/>
    <hyperlink ref="E2634" r:id="rId2554" display="https://treas-secure.state.mi.us/LAFDocSearch/tl41R01.aspx?&amp;lu_id=5206&amp;doc_yr=2016&amp;doc_code=AUD" xr:uid="{6D070BF7-4525-4EC5-80CA-B81761827D78}"/>
    <hyperlink ref="E2635" r:id="rId2555" display="https://treas-secure.state.mi.us/LAFDocSearch/tl41R01.aspx?&amp;lu_id=5192&amp;doc_yr=2016&amp;doc_code=AUD" xr:uid="{AE3E7CC3-66EC-4559-8BFF-F7B8B3596544}"/>
    <hyperlink ref="E2636" r:id="rId2556" display="https://treas-secure.state.mi.us/LAFDocSearch/tl41R01.aspx?&amp;lu_id=5207&amp;doc_yr=2016&amp;doc_code=AUD" xr:uid="{25CE4B77-1065-4265-A701-63A3B4ED1540}"/>
    <hyperlink ref="E2637" r:id="rId2557" display="https://treas-secure.state.mi.us/LAFDocSearch/tl41R01.aspx?&amp;lu_id=5257&amp;doc_yr=2016&amp;doc_code=AUD" xr:uid="{C48E333B-115C-4A38-8753-18D3E44153D9}"/>
    <hyperlink ref="E2638" r:id="rId2558" display="https://treas-secure.state.mi.us/LAFDocSearch/tl41R01.aspx?&amp;lu_id=5247&amp;doc_yr=2016&amp;doc_code=AUD" xr:uid="{40E54F10-5F26-4842-AFD9-AD411FAEF220}"/>
    <hyperlink ref="E2639" r:id="rId2559" display="https://treas-secure.state.mi.us/LAFDocSearch/tl41R01.aspx?&amp;lu_id=5231&amp;doc_yr=2016&amp;doc_code=AUD" xr:uid="{1D177BC6-CB66-4D20-9787-854D3DBBF6B1}"/>
    <hyperlink ref="E2640" r:id="rId2560" display="https://treas-secure.state.mi.us/LAFDocSearch/tl41R01.aspx?&amp;lu_id=5193&amp;doc_yr=2016&amp;doc_code=AUD" xr:uid="{71DAB3BA-606D-4C26-9787-0B44E7173824}"/>
    <hyperlink ref="E2641" r:id="rId2561" display="https://treas-secure.state.mi.us/LAFDocSearch/tl41R01.aspx?&amp;lu_id=5200&amp;doc_yr=2016&amp;doc_code=AUD" xr:uid="{179DA78D-8F41-4F04-B1FC-8373731D59BD}"/>
    <hyperlink ref="E2642" r:id="rId2562" display="https://treas-secure.state.mi.us/LAFDocSearch/tl41R01.aspx?&amp;lu_id=5236&amp;doc_yr=2016&amp;doc_code=AUD" xr:uid="{35FA21F2-B131-4C2B-925C-A347D428E501}"/>
    <hyperlink ref="E2643" r:id="rId2563" display="https://treas-secure.state.mi.us/LAFDocSearch/tl41R01.aspx?&amp;lu_id=6095&amp;doc_yr=2016&amp;doc_code=AUD" xr:uid="{1A804985-11F3-4028-84DE-B1CBB297AAD2}"/>
    <hyperlink ref="E2644" r:id="rId2564" display="https://treas-secure.state.mi.us/LAFDocSearch/tl41R01.aspx?&amp;lu_id=5195&amp;doc_yr=2016&amp;doc_code=AUD" xr:uid="{A3CC6D7B-D7D0-4E07-BAE7-A15C3DFB30BB}"/>
    <hyperlink ref="E2645" r:id="rId2565" display="https://treas-secure.state.mi.us/LAFDocSearch/tl41R01.aspx?&amp;lu_id=5239&amp;doc_yr=2016&amp;doc_code=AUD" xr:uid="{A9873B1D-549A-49AF-A347-8B5EF5E0F67C}"/>
    <hyperlink ref="E2646" r:id="rId2566" display="https://treas-secure.state.mi.us/LAFDocSearch/tl41R01.aspx?&amp;lu_id=5233&amp;doc_yr=2016&amp;doc_code=AUD" xr:uid="{75921643-BEA2-4CDB-A41D-70C93202AEE4}"/>
    <hyperlink ref="E2647" r:id="rId2567" display="https://treas-secure.state.mi.us/LAFDocSearch/tl41R01.aspx?&amp;lu_id=5260&amp;doc_yr=2016&amp;doc_code=AUD" xr:uid="{BDE2BF8B-20BD-46CD-8ECA-9725F11DD07C}"/>
    <hyperlink ref="E2648" r:id="rId2568" display="https://treas-secure.state.mi.us/LAFDocSearch/tl41R01.aspx?&amp;lu_id=5227&amp;doc_yr=2016&amp;doc_code=AUD" xr:uid="{4F83DA3A-6E96-464C-A402-623DE9380227}"/>
    <hyperlink ref="E2649" r:id="rId2569" display="https://treas-secure.state.mi.us/LAFDocSearch/tl41R01.aspx?&amp;lu_id=5259&amp;doc_yr=2016&amp;doc_code=AUD" xr:uid="{F98FB31A-8D79-4590-B013-98F78780F383}"/>
    <hyperlink ref="E2650" r:id="rId2570" display="https://treas-secure.state.mi.us/LAFDocSearch/tl41R01.aspx?&amp;lu_id=5177&amp;doc_yr=2016&amp;doc_code=AUD" xr:uid="{2C60ADA8-06AE-49CF-9B7B-80F687D68752}"/>
    <hyperlink ref="E2651" r:id="rId2571" display="https://treas-secure.state.mi.us/LAFDocSearch/tl41R01.aspx?&amp;lu_id=5242&amp;doc_yr=2016&amp;doc_code=AUD" xr:uid="{2C4A915C-70DD-4F98-A6CF-CF8897E1FEFB}"/>
    <hyperlink ref="E2652" r:id="rId2572" display="https://treas-secure.state.mi.us/LAFDocSearch/tl41R01.aspx?&amp;lu_id=5243&amp;doc_yr=2016&amp;doc_code=AUD" xr:uid="{76FC4588-C394-4046-8C25-33D039648324}"/>
    <hyperlink ref="E2653" r:id="rId2573" display="https://treas-secure.state.mi.us/LAFDocSearch/tl41R01.aspx?&amp;lu_id=5178&amp;doc_yr=2016&amp;doc_code=AUD" xr:uid="{BF2EBF3D-000E-48F0-ACD6-0319A471B97E}"/>
    <hyperlink ref="E2654" r:id="rId2574" display="https://treas-secure.state.mi.us/LAFDocSearch/tl41R01.aspx?&amp;lu_id=5258&amp;doc_yr=2016&amp;doc_code=AUD" xr:uid="{86FD1945-8700-41F9-92C9-A2A1C3618066}"/>
    <hyperlink ref="E2655" r:id="rId2575" display="https://treas-secure.state.mi.us/LAFDocSearch/tl41R01.aspx?&amp;lu_id=5235&amp;doc_yr=2016&amp;doc_code=AUD" xr:uid="{93E091AF-0085-49BA-B0BE-CDA7CFC40D2A}"/>
    <hyperlink ref="E2656" r:id="rId2576" display="https://treas-secure.state.mi.us/LAFDocSearch/tl41R01.aspx?&amp;lu_id=5196&amp;doc_yr=2016&amp;doc_code=AUD" xr:uid="{EBA4D8A3-217E-45B9-85E2-760E9808D4FD}"/>
    <hyperlink ref="E2658" r:id="rId2577" display="https://treas-secure.state.mi.us/LAFDocSearch/tl41R01.aspx?&amp;lu_id=5389&amp;doc_yr=2016&amp;doc_code=AUD" xr:uid="{97E65B02-2DF6-475A-A653-2F2AC17B3B5A}"/>
    <hyperlink ref="E2659" r:id="rId2578" display="https://treas-secure.state.mi.us/LAFDocSearch/tl41R01.aspx?&amp;lu_id=5288&amp;doc_yr=2016&amp;doc_code=AUD" xr:uid="{EDB3F358-9988-49C9-B7D0-75629A86EEF4}"/>
    <hyperlink ref="E2660" r:id="rId2579" display="https://treas-secure.state.mi.us/LAFDocSearch/tl41R01.aspx?&amp;lu_id=5268&amp;doc_yr=2016&amp;doc_code=AUD" xr:uid="{7EBC8769-63A1-4D02-9557-E7B20818E2CB}"/>
    <hyperlink ref="E2661" r:id="rId2580" display="https://treas-secure.state.mi.us/LAFDocSearch/tl41R01.aspx?&amp;lu_id=5393&amp;doc_yr=2016&amp;doc_code=AUD" xr:uid="{26358010-D881-4B1C-A2DD-CE7687402521}"/>
    <hyperlink ref="E2662" r:id="rId2581" display="https://treas-secure.state.mi.us/LAFDocSearch/tl41R01.aspx?&amp;lu_id=5391&amp;doc_yr=2016&amp;doc_code=AUD" xr:uid="{2E721CB6-C078-4233-BDCD-5DA3E1C35AC4}"/>
    <hyperlink ref="E2663" r:id="rId2582" display="https://treas-secure.state.mi.us/LAFDocSearch/tl41R01.aspx?&amp;lu_id=5404&amp;doc_yr=2016&amp;doc_code=AUD" xr:uid="{0985C41F-3C6E-42B6-A00E-2E948E71A919}"/>
    <hyperlink ref="E2664" r:id="rId2583" display="https://treas-secure.state.mi.us/LAFDocSearch/tl41R01.aspx?&amp;lu_id=5406&amp;doc_yr=2016&amp;doc_code=AUD" xr:uid="{239F7A2E-B96F-4D30-8151-EF0BDD4672C2}"/>
    <hyperlink ref="E2665" r:id="rId2584" display="https://treas-secure.state.mi.us/LAFDocSearch/tl41R01.aspx?&amp;lu_id=5377&amp;doc_yr=2016&amp;doc_code=AUD" xr:uid="{655F41AC-C53C-4462-8F56-ABC52650FDCF}"/>
    <hyperlink ref="E2666" r:id="rId2585" display="https://treas-secure.state.mi.us/LAFDocSearch/tl41R01.aspx?&amp;lu_id=5394&amp;doc_yr=2016&amp;doc_code=AUD" xr:uid="{F33E152B-04B5-47E4-B8BD-C95B142F8FAE}"/>
    <hyperlink ref="E2667" r:id="rId2586" display="https://treas-secure.state.mi.us/LAFDocSearch/tl41R01.aspx?&amp;lu_id=5293&amp;doc_yr=2016&amp;doc_code=AUD" xr:uid="{5C6C22D6-724C-4420-9306-74E45C05DD67}"/>
    <hyperlink ref="E2668" r:id="rId2587" display="https://treas-secure.state.mi.us/LAFDocSearch/tl41R01.aspx?&amp;lu_id=5270&amp;doc_yr=2016&amp;doc_code=AUD" xr:uid="{CAE9CBA8-D7B1-4916-907B-CF8ACE4E447D}"/>
    <hyperlink ref="E2669" r:id="rId2588" display="https://treas-secure.state.mi.us/LAFDocSearch/tl41R01.aspx?&amp;lu_id=5289&amp;doc_yr=2016&amp;doc_code=AUD" xr:uid="{3E555C76-A82C-4BF6-B157-E2C54EAA22E6}"/>
    <hyperlink ref="E2670" r:id="rId2589" display="https://treas-secure.state.mi.us/LAFDocSearch/tl41R01.aspx?&amp;lu_id=5385&amp;doc_yr=2016&amp;doc_code=AUD" xr:uid="{E6A73ABE-FB90-4265-BA4B-A91EBE462B91}"/>
    <hyperlink ref="E2671" r:id="rId2590" display="https://treas-secure.state.mi.us/LAFDocSearch/tl41R01.aspx?&amp;lu_id=5386&amp;doc_yr=2016&amp;doc_code=AUD" xr:uid="{BF24470D-CED8-4F5B-A319-BA533888B9AE}"/>
    <hyperlink ref="E2672" r:id="rId2591" display="https://treas-secure.state.mi.us/LAFDocSearch/tl41R01.aspx?&amp;lu_id=5407&amp;doc_yr=2016&amp;doc_code=AUD" xr:uid="{A2294942-774B-4FB3-BEA9-F5B8289BAA2A}"/>
    <hyperlink ref="E2673" r:id="rId2592" display="https://treas-secure.state.mi.us/LAFDocSearch/tl41R01.aspx?&amp;lu_id=7575&amp;doc_yr=2016&amp;doc_code=AUD" xr:uid="{6770F31E-BA0F-48EE-A2CD-60B97914FBDA}"/>
    <hyperlink ref="E2674" r:id="rId2593" display="https://treas-secure.state.mi.us/LAFDocSearch/tl41R01.aspx?&amp;lu_id=7363&amp;doc_yr=2016&amp;doc_code=AUD" xr:uid="{ABBA0045-BE96-45C0-B50F-40EF11E76B21}"/>
    <hyperlink ref="E2675" r:id="rId2594" display="https://treas-secure.state.mi.us/LAFDocSearch/tl41R01.aspx?&amp;lu_id=5271&amp;doc_yr=2016&amp;doc_code=AUD" xr:uid="{81C33F3E-18BA-4D9E-B70C-B4A346546CDA}"/>
    <hyperlink ref="E2676" r:id="rId2595" display="https://treas-secure.state.mi.us/LAFDocSearch/tl41R01.aspx?&amp;lu_id=5396&amp;doc_yr=2016&amp;doc_code=AUD" xr:uid="{2E5D51C9-514F-44D6-AA46-82801E4A4874}"/>
    <hyperlink ref="E2677" r:id="rId2596" display="https://treas-secure.state.mi.us/LAFDocSearch/tl41R01.aspx?&amp;lu_id=5408&amp;doc_yr=2016&amp;doc_code=AUD" xr:uid="{58A42AB6-82BA-4EA7-B255-CC3C4FE72FD4}"/>
    <hyperlink ref="E2678" r:id="rId2597" display="https://treas-secure.state.mi.us/LAFDocSearch/tl41R01.aspx?&amp;lu_id=5272&amp;doc_yr=2016&amp;doc_code=AUD" xr:uid="{9597099C-BBAB-4562-8543-7BC0B53B2AF6}"/>
    <hyperlink ref="E2679" r:id="rId2598" display="https://treas-secure.state.mi.us/LAFDocSearch/tl41R01.aspx?&amp;lu_id=5395&amp;doc_yr=2016&amp;doc_code=AUD" xr:uid="{45A0BD51-446C-4345-9C46-CD062D074CB6}"/>
    <hyperlink ref="E2680" r:id="rId2599" display="https://treas-secure.state.mi.us/LAFDocSearch/tl41R01.aspx?&amp;lu_id=5273&amp;doc_yr=2016&amp;doc_code=AUD" xr:uid="{6040A25E-B727-45E8-8B80-54FB83C21400}"/>
    <hyperlink ref="E2681" r:id="rId2600" display="https://treas-secure.state.mi.us/LAFDocSearch/tl41R01.aspx?&amp;lu_id=5350&amp;doc_yr=2016&amp;doc_code=AUD" xr:uid="{DFB27FB2-A7B9-4947-8627-2A14EC17E8CD}"/>
    <hyperlink ref="E2682" r:id="rId2601" display="https://treas-secure.state.mi.us/LAFDocSearch/tl41R01.aspx?&amp;lu_id=5274&amp;doc_yr=2016&amp;doc_code=AUD" xr:uid="{761C25FD-64F6-437E-A842-56180EDD5835}"/>
    <hyperlink ref="E2683" r:id="rId2602" display="https://treas-secure.state.mi.us/LAFDocSearch/tl41R01.aspx?&amp;lu_id=5275&amp;doc_yr=2016&amp;doc_code=AUD" xr:uid="{509A29D8-C1D8-442B-AB83-A97A2040584E}"/>
    <hyperlink ref="E2684" r:id="rId2603" display="https://treas-secure.state.mi.us/LAFDocSearch/tl41R01.aspx?&amp;lu_id=5276&amp;doc_yr=2016&amp;doc_code=AUD" xr:uid="{0AEDD9EA-1892-402E-9F74-93D12A425B2C}"/>
    <hyperlink ref="E2685" r:id="rId2604" display="https://treas-secure.state.mi.us/LAFDocSearch/tl41R01.aspx?&amp;lu_id=5295&amp;doc_yr=2016&amp;doc_code=AUD" xr:uid="{53553BEC-65AD-4D66-AA74-2067E1A4D3B9}"/>
    <hyperlink ref="E2686" r:id="rId2605" display="https://treas-secure.state.mi.us/LAFDocSearch/tl41R01.aspx?&amp;lu_id=5409&amp;doc_yr=2016&amp;doc_code=AUD" xr:uid="{BF3B5749-BF72-41B1-9234-847965FC4BDE}"/>
    <hyperlink ref="E2687" r:id="rId2606" display="https://treas-secure.state.mi.us/LAFDocSearch/tl41R01.aspx?&amp;lu_id=5290&amp;doc_yr=2016&amp;doc_code=AUD" xr:uid="{C58C38AD-C475-47D8-BDD3-E4E555C402EE}"/>
    <hyperlink ref="E2688" r:id="rId2607" display="https://treas-secure.state.mi.us/LAFDocSearch/tl41R01.aspx?&amp;lu_id=5390&amp;doc_yr=2016&amp;doc_code=AUD" xr:uid="{8C156CD7-A2BF-4026-BB68-77C47DBBFECE}"/>
    <hyperlink ref="E2689" r:id="rId2608" display="https://treas-secure.state.mi.us/LAFDocSearch/tl41R01.aspx?&amp;lu_id=5413&amp;doc_yr=2016&amp;doc_code=AUD" xr:uid="{E39244DE-2C9A-4795-80D8-CD4076338009}"/>
    <hyperlink ref="E2690" r:id="rId2609" display="https://treas-secure.state.mi.us/LAFDocSearch/tl41R01.aspx?&amp;lu_id=5369&amp;doc_yr=2016&amp;doc_code=AUD" xr:uid="{8C3FB60C-6CC6-4DAC-B251-B655EFCC3494}"/>
    <hyperlink ref="E2691" r:id="rId2610" display="https://treas-secure.state.mi.us/LAFDocSearch/tl41R01.aspx?&amp;lu_id=5277&amp;doc_yr=2016&amp;doc_code=AUD" xr:uid="{02133CEE-9AFC-41F3-8A0E-4CEB8CB48D99}"/>
    <hyperlink ref="E2692" r:id="rId2611" display="https://treas-secure.state.mi.us/LAFDocSearch/tl41R01.aspx?&amp;lu_id=5412&amp;doc_yr=2016&amp;doc_code=AUD" xr:uid="{F12DB444-C1A2-4430-8896-16BAA80981FD}"/>
    <hyperlink ref="E2693" r:id="rId2612" display="https://treas-secure.state.mi.us/LAFDocSearch/tl41R01.aspx?&amp;lu_id=5278&amp;doc_yr=2016&amp;doc_code=AUD" xr:uid="{4D6FF9F7-DABF-47B9-9704-86A5BEB9AF04}"/>
    <hyperlink ref="E2694" r:id="rId2613" display="https://treas-secure.state.mi.us/LAFDocSearch/tl41R01.aspx?&amp;lu_id=5376&amp;doc_yr=2016&amp;doc_code=AUD" xr:uid="{11709FF3-7C00-4120-9D7D-E7530970BCF7}"/>
    <hyperlink ref="E2695" r:id="rId2614" display="https://treas-secure.state.mi.us/LAFDocSearch/tl41R01.aspx?&amp;lu_id=5279&amp;doc_yr=2016&amp;doc_code=AUD" xr:uid="{5C9E8C2D-9127-422D-A662-CE9ABC6AE08F}"/>
    <hyperlink ref="E2696" r:id="rId2615" display="https://treas-secure.state.mi.us/LAFDocSearch/tl41R01.aspx?&amp;lu_id=5291&amp;doc_yr=2016&amp;doc_code=AUD" xr:uid="{950FAD98-4286-4A66-9C3A-FB7A7AD63FB7}"/>
    <hyperlink ref="E2697" r:id="rId2616" display="https://treas-secure.state.mi.us/LAFDocSearch/tl41R01.aspx?&amp;lu_id=5280&amp;doc_yr=2016&amp;doc_code=AUD" xr:uid="{D85E921B-AD64-4E16-86BC-38E94A52A3A3}"/>
    <hyperlink ref="E2698" r:id="rId2617" display="https://treas-secure.state.mi.us/LAFDocSearch/tl41R01.aspx?&amp;lu_id=5388&amp;doc_yr=2016&amp;doc_code=AUD" xr:uid="{30A4C7E2-1313-4EFB-9CE2-689923A189BA}"/>
    <hyperlink ref="E2699" r:id="rId2618" display="https://treas-secure.state.mi.us/LAFDocSearch/tl41R01.aspx?&amp;lu_id=5410&amp;doc_yr=2016&amp;doc_code=AUD" xr:uid="{5A9442F0-C7B0-4317-9949-68721129FBE6}"/>
    <hyperlink ref="E2700" r:id="rId2619" display="https://treas-secure.state.mi.us/LAFDocSearch/tl41R01.aspx?&amp;lu_id=5281&amp;doc_yr=2016&amp;doc_code=AUD" xr:uid="{92E61178-EFDA-4E61-88BC-244B22D2ED18}"/>
    <hyperlink ref="E2701" r:id="rId2620" display="https://treas-secure.state.mi.us/LAFDocSearch/tl41R01.aspx?&amp;lu_id=5282&amp;doc_yr=2016&amp;doc_code=AUD" xr:uid="{35A01CBC-EFD2-4E62-8636-3517A87F7E21}"/>
    <hyperlink ref="E2702" r:id="rId2621" display="https://treas-secure.state.mi.us/LAFDocSearch/tl41R01.aspx?&amp;lu_id=5283&amp;doc_yr=2016&amp;doc_code=AUD" xr:uid="{29DD78F8-05A1-4F91-B29A-2B95A7BA51FF}"/>
    <hyperlink ref="E2703" r:id="rId2622" display="https://treas-secure.state.mi.us/LAFDocSearch/tl41R01.aspx?&amp;lu_id=5284&amp;doc_yr=2016&amp;doc_code=AUD" xr:uid="{FC2695FE-DEE3-41BB-A89C-C9755F7190F0}"/>
    <hyperlink ref="E2704" r:id="rId2623" display="https://treas-secure.state.mi.us/LAFDocSearch/tl41R01.aspx?&amp;lu_id=5401&amp;doc_yr=2016&amp;doc_code=AUD" xr:uid="{AED35397-C0A5-466F-BFB0-131804599C19}"/>
    <hyperlink ref="E2705" r:id="rId2624" display="https://treas-secure.state.mi.us/LAFDocSearch/tl41R01.aspx?&amp;lu_id=5266&amp;doc_yr=2016&amp;doc_code=AUD" xr:uid="{A73C9C5B-5A63-48C3-B35D-609272987A4C}"/>
    <hyperlink ref="E2706" r:id="rId2625" display="https://treas-secure.state.mi.us/LAFDocSearch/tl41R01.aspx?&amp;lu_id=5370&amp;doc_yr=2016&amp;doc_code=AUD" xr:uid="{769AFE33-3B59-4781-B2B5-14B152A65A12}"/>
    <hyperlink ref="E2707" r:id="rId2626" display="https://treas-secure.state.mi.us/LAFDocSearch/tl41R01.aspx?&amp;lu_id=5383&amp;doc_yr=2016&amp;doc_code=AUD" xr:uid="{3E69D348-6C7B-450C-A46B-D94A59852875}"/>
    <hyperlink ref="E2708" r:id="rId2627" display="https://treas-secure.state.mi.us/LAFDocSearch/tl41R01.aspx?&amp;lu_id=5380&amp;doc_yr=2016&amp;doc_code=AUD" xr:uid="{5ED9150C-E2B4-4F3B-AD16-2FC77B680AAC}"/>
    <hyperlink ref="E2709" r:id="rId2628" display="https://treas-secure.state.mi.us/LAFDocSearch/tl41R01.aspx?&amp;lu_id=5381&amp;doc_yr=2016&amp;doc_code=AUD" xr:uid="{9448CAA2-BBA0-44D6-805F-3333EEDB1D9B}"/>
    <hyperlink ref="E2710" r:id="rId2629" display="https://treas-secure.state.mi.us/LAFDocSearch/tl41R01.aspx?&amp;lu_id=5382&amp;doc_yr=2016&amp;doc_code=AUD" xr:uid="{E135BC1A-8611-4D07-B816-CB85C371D000}"/>
    <hyperlink ref="E2711" r:id="rId2630" display="https://treas-secure.state.mi.us/LAFDocSearch/tl41R01.aspx?&amp;lu_id=5315&amp;doc_yr=2016&amp;doc_code=AUD" xr:uid="{609D8FAD-F926-4C0C-93D1-E0657CDE6D4F}"/>
    <hyperlink ref="E2712" r:id="rId2631" display="https://treas-secure.state.mi.us/LAFDocSearch/tl41R01.aspx?&amp;lu_id=5354&amp;doc_yr=2016&amp;doc_code=AUD" xr:uid="{162E87FF-662F-44AB-959F-397C27C66351}"/>
    <hyperlink ref="E2713" r:id="rId2632" display="https://treas-secure.state.mi.us/LAFDocSearch/tl41R01.aspx?&amp;lu_id=5379&amp;doc_yr=2016&amp;doc_code=AUD" xr:uid="{184EF33D-7AD5-41AD-9025-83B2AFE55F01}"/>
    <hyperlink ref="E2714" r:id="rId2633" display="https://treas-secure.state.mi.us/LAFDocSearch/tl41R01.aspx?&amp;lu_id=7562&amp;doc_yr=2016&amp;doc_code=AUD" xr:uid="{12A058DE-350D-4221-9347-7274D753827F}"/>
    <hyperlink ref="E2715" r:id="rId2634" display="https://treas-secure.state.mi.us/LAFDocSearch/tl41R01.aspx?&amp;lu_id=5375&amp;doc_yr=2016&amp;doc_code=AUD" xr:uid="{B8BEF921-0AA6-4CA2-8D5D-07BFBD26D46C}"/>
    <hyperlink ref="E2716" r:id="rId2635" display="https://treas-secure.state.mi.us/LAFDocSearch/tl41R01.aspx?&amp;lu_id=7563&amp;doc_yr=2016&amp;doc_code=AUD" xr:uid="{5A096F9E-9262-4157-A30C-64D635BFF173}"/>
    <hyperlink ref="E2717" r:id="rId2636" display="https://treas-secure.state.mi.us/LAFDocSearch/tl41R01.aspx?&amp;lu_id=5267&amp;doc_yr=2016&amp;doc_code=AUD" xr:uid="{AF225220-D770-4C20-B875-771C626E2DF0}"/>
    <hyperlink ref="E2718" r:id="rId2637" display="https://treas-secure.state.mi.us/LAFDocSearch/tl41R01.aspx?&amp;lu_id=5340&amp;doc_yr=2016&amp;doc_code=AUD" xr:uid="{F27B8E57-AD9F-4AAC-A680-70E2884F73C4}"/>
    <hyperlink ref="E2719" r:id="rId2638" display="https://treas-secure.state.mi.us/LAFDocSearch/tl41R01.aspx?&amp;lu_id=5285&amp;doc_yr=2016&amp;doc_code=AUD" xr:uid="{D0C634E1-756C-460D-A27A-CDE73C24FA06}"/>
    <hyperlink ref="E2720" r:id="rId2639" display="https://treas-secure.state.mi.us/LAFDocSearch/tl41R01.aspx?&amp;lu_id=5372&amp;doc_yr=2016&amp;doc_code=AUD" xr:uid="{BB24C62D-0ACD-4F29-8AEE-EF241D405711}"/>
    <hyperlink ref="E2721" r:id="rId2640" display="https://treas-secure.state.mi.us/LAFDocSearch/tl41R01.aspx?&amp;lu_id=5384&amp;doc_yr=2016&amp;doc_code=AUD" xr:uid="{CE26AB35-1F16-4228-8E14-E8438CA49C32}"/>
    <hyperlink ref="E2722" r:id="rId2641" display="https://treas-secure.state.mi.us/LAFDocSearch/tl41R01.aspx?&amp;lu_id=5286&amp;doc_yr=2016&amp;doc_code=AUD" xr:uid="{DBDAB5BC-997E-4A9E-BAEB-7D568F2CCF75}"/>
    <hyperlink ref="E2723" r:id="rId2642" display="https://treas-secure.state.mi.us/LAFDocSearch/tl41R01.aspx?&amp;lu_id=5292&amp;doc_yr=2016&amp;doc_code=AUD" xr:uid="{EE60E1BD-3278-4BA4-AF1F-F92C3C92AD5C}"/>
    <hyperlink ref="E2724" r:id="rId2643" display="https://treas-secure.state.mi.us/LAFDocSearch/tl41R01.aspx?&amp;lu_id=5287&amp;doc_yr=2016&amp;doc_code=AUD" xr:uid="{7A006009-EC9F-44E6-8637-0ED3D07F48CF}"/>
    <hyperlink ref="E2725" r:id="rId2644" display="https://treas-secure.state.mi.us/LAFDocSearch/tl41R01.aspx?&amp;lu_id=5397&amp;doc_yr=2016&amp;doc_code=AUD" xr:uid="{21F3FAEC-1450-4155-98D2-BFFB5E131CB5}"/>
    <hyperlink ref="E2726" r:id="rId2645" display="https://treas-secure.state.mi.us/LAFDocSearch/tl41R01.aspx?&amp;lu_id=5403&amp;doc_yr=2016&amp;doc_code=AUD" xr:uid="{020A757C-1581-4BA9-AED7-6DC0C68361CA}"/>
    <hyperlink ref="E2727" r:id="rId2646" display="https://treas-secure.state.mi.us/LAFDocSearch/tl41R01.aspx?&amp;lu_id=5362&amp;doc_yr=2016&amp;doc_code=AUD" xr:uid="{01635CBA-C99B-4CAB-84E0-6F75B11004B4}"/>
    <hyperlink ref="E2728" r:id="rId2647" display="https://treas-secure.state.mi.us/LAFDocSearch/tl41R01.aspx?&amp;lu_id=5411&amp;doc_yr=2016&amp;doc_code=AUD" xr:uid="{DA0C3007-5801-4271-B459-F5218AC5DDC8}"/>
    <hyperlink ref="E2730" r:id="rId2648" display="https://treas-secure.state.mi.us/LAFDocSearch/tl41R01.aspx?&amp;lu_id=5784&amp;doc_yr=2016&amp;doc_code=AUD" xr:uid="{635BB5E3-818E-4940-9C62-41E74AE1F3C5}"/>
    <hyperlink ref="E2731" r:id="rId2649" display="https://treas-secure.state.mi.us/LAFDocSearch/tl41R01.aspx?&amp;lu_id=5798&amp;doc_yr=2016&amp;doc_code=AUD" xr:uid="{488FA2B3-541E-41C4-831A-78C4D0A2BE56}"/>
    <hyperlink ref="E2732" r:id="rId2650" display="https://treas-secure.state.mi.us/LAFDocSearch/tl41R01.aspx?&amp;lu_id=5785&amp;doc_yr=2016&amp;doc_code=AUD" xr:uid="{6D4670FB-7CC4-47C9-9ABD-D520CAD73BD5}"/>
    <hyperlink ref="E2733" r:id="rId2651" display="https://treas-secure.state.mi.us/LAFDocSearch/tl41R01.aspx?&amp;lu_id=5809&amp;doc_yr=2016&amp;doc_code=AUD" xr:uid="{BDCF826E-4F9F-49CF-8221-AA9BB3984E0A}"/>
    <hyperlink ref="E2734" r:id="rId2652" display="https://treas-secure.state.mi.us/LAFDocSearch/tl41R01.aspx?&amp;lu_id=5786&amp;doc_yr=2016&amp;doc_code=AUD" xr:uid="{243CEAD5-4F72-41B1-B8D9-6DCB253E2B99}"/>
    <hyperlink ref="E2735" r:id="rId2653" display="https://treas-secure.state.mi.us/LAFDocSearch/tl41R01.aspx?&amp;lu_id=5787&amp;doc_yr=2016&amp;doc_code=AUD" xr:uid="{318B4817-7533-46FE-AC48-F193FE029170}"/>
    <hyperlink ref="E2736" r:id="rId2654" display="https://treas-secure.state.mi.us/LAFDocSearch/tl41R01.aspx?&amp;lu_id=5810&amp;doc_yr=2016&amp;doc_code=AUD" xr:uid="{E5CF5D6C-3222-4DA4-A806-1EF5075173FF}"/>
    <hyperlink ref="E2737" r:id="rId2655" display="https://treas-secure.state.mi.us/LAFDocSearch/tl41R01.aspx?&amp;lu_id=5806&amp;doc_yr=2016&amp;doc_code=AUD" xr:uid="{217DD5CD-6ED9-406C-87EC-23C74DD38EB3}"/>
    <hyperlink ref="E2738" r:id="rId2656" display="https://treas-secure.state.mi.us/LAFDocSearch/tl41R01.aspx?&amp;lu_id=5790&amp;doc_yr=2016&amp;doc_code=AUD" xr:uid="{EFDDA009-8C26-4F0C-9D5C-D8D30273461C}"/>
    <hyperlink ref="E2739" r:id="rId2657" display="https://treas-secure.state.mi.us/LAFDocSearch/tl41R01.aspx?&amp;lu_id=5825&amp;doc_yr=2016&amp;doc_code=AUD" xr:uid="{4EF75D7F-45F4-4F98-90E1-CBF6D90579F7}"/>
    <hyperlink ref="E2740" r:id="rId2658" display="https://treas-secure.state.mi.us/LAFDocSearch/tl41R01.aspx?&amp;lu_id=5792&amp;doc_yr=2016&amp;doc_code=AUD" xr:uid="{6DB57F0E-B284-4AE2-990A-E7F01D1657AC}"/>
    <hyperlink ref="E2741" r:id="rId2659" display="https://treas-secure.state.mi.us/LAFDocSearch/tl41R01.aspx?&amp;lu_id=5793&amp;doc_yr=2016&amp;doc_code=AUD" xr:uid="{97C27DB0-A2BF-4D76-97CA-B2AC5C4DABC0}"/>
    <hyperlink ref="E2742" r:id="rId2660" display="https://treas-secure.state.mi.us/LAFDocSearch/tl41R01.aspx?&amp;lu_id=5427&amp;doc_yr=2016&amp;doc_code=AUD" xr:uid="{A405EB3D-9F5F-48F0-8A1A-3C1163DE407E}"/>
    <hyperlink ref="E2743" r:id="rId2661" display="https://treas-secure.state.mi.us/LAFDocSearch/tl41R01.aspx?&amp;lu_id=5833&amp;doc_yr=2016&amp;doc_code=AUD" xr:uid="{E9A14261-25D3-45FB-9070-8E1D9ECF1F9F}"/>
    <hyperlink ref="E2744" r:id="rId2662" display="https://treas-secure.state.mi.us/LAFDocSearch/tl41R01.aspx?&amp;lu_id=5848&amp;doc_yr=2016&amp;doc_code=AUD" xr:uid="{FF14B8F2-44A6-4B70-BF31-2796AE6E1146}"/>
    <hyperlink ref="E2745" r:id="rId2663" display="https://treas-secure.state.mi.us/LAFDocSearch/tl41R01.aspx?&amp;lu_id=5428&amp;doc_yr=2016&amp;doc_code=AUD" xr:uid="{1D6D0071-CA37-4DBB-A32D-70D4D703659D}"/>
    <hyperlink ref="E2746" r:id="rId2664" display="https://treas-secure.state.mi.us/LAFDocSearch/tl41R01.aspx?&amp;lu_id=5853&amp;doc_yr=2016&amp;doc_code=AUD" xr:uid="{BDAB9F27-3A1B-4BDA-B24D-A3D139CABA8C}"/>
    <hyperlink ref="E2747" r:id="rId2665" display="https://treas-secure.state.mi.us/LAFDocSearch/tl41R01.aspx?&amp;lu_id=5417&amp;doc_yr=2016&amp;doc_code=AUD" xr:uid="{FFAF9E73-4575-4BC3-B049-911F8A125CA6}"/>
    <hyperlink ref="E2748" r:id="rId2666" display="https://treas-secure.state.mi.us/LAFDocSearch/tl41R01.aspx?&amp;lu_id=5418&amp;doc_yr=2016&amp;doc_code=AUD" xr:uid="{EE3852F9-76BF-4F44-AB18-ED2285541485}"/>
    <hyperlink ref="E2749" r:id="rId2667" display="https://treas-secure.state.mi.us/LAFDocSearch/tl41R01.aspx?&amp;lu_id=5854&amp;doc_yr=2016&amp;doc_code=AUD" xr:uid="{210A3DE0-2A5E-427F-B488-CB1A54776EFC}"/>
    <hyperlink ref="E2750" r:id="rId2668" display="https://treas-secure.state.mi.us/LAFDocSearch/tl41R01.aspx?&amp;lu_id=5697&amp;doc_yr=2016&amp;doc_code=AUD" xr:uid="{F8C6C784-08B1-4AC8-815B-54D7FD1A6B68}"/>
    <hyperlink ref="E2751" r:id="rId2669" display="https://treas-secure.state.mi.us/LAFDocSearch/tl41R01.aspx?&amp;lu_id=7815&amp;doc_yr=2016&amp;doc_code=AUD" xr:uid="{406E58A1-0DEB-45D1-A12E-9E01509BD534}"/>
    <hyperlink ref="E2752" r:id="rId2670" display="https://treas-secure.state.mi.us/LAFDocSearch/tl41R01.aspx?&amp;lu_id=5718&amp;doc_yr=2016&amp;doc_code=AUD" xr:uid="{8EF0B03F-2076-451B-A366-021A35366F70}"/>
    <hyperlink ref="E2753" r:id="rId2671" display="https://treas-secure.state.mi.us/LAFDocSearch/tl41R01.aspx?&amp;lu_id=7816&amp;doc_yr=2016&amp;doc_code=AUD" xr:uid="{0D7924DA-BDF8-4043-B242-F475D8CECF78}"/>
    <hyperlink ref="E2754" r:id="rId2672" display="https://treas-secure.state.mi.us/LAFDocSearch/tl41R01.aspx?&amp;lu_id=5429&amp;doc_yr=2016&amp;doc_code=AUD" xr:uid="{13A19A19-E6E2-4365-8DA4-62817710E39C}"/>
    <hyperlink ref="E2755" r:id="rId2673" display="https://treas-secure.state.mi.us/LAFDocSearch/tl41R01.aspx?&amp;lu_id=5783&amp;doc_yr=2016&amp;doc_code=AUD" xr:uid="{50E0B975-95AD-4424-A30E-FF55858CF649}"/>
    <hyperlink ref="E2756" r:id="rId2674" display="https://treas-secure.state.mi.us/LAFDocSearch/tl41R01.aspx?&amp;lu_id=5430&amp;doc_yr=2016&amp;doc_code=AUD" xr:uid="{43FD3C62-B57A-4B57-8CEF-E720E7BE88FE}"/>
    <hyperlink ref="E2757" r:id="rId2675" display="https://treas-secure.state.mi.us/LAFDocSearch/tl41R01.aspx?&amp;lu_id=5732&amp;doc_yr=2016&amp;doc_code=AUD" xr:uid="{A3BFC4B9-2DC2-4B41-BCE8-7A94F620B14A}"/>
    <hyperlink ref="E2758" r:id="rId2676" display="https://treas-secure.state.mi.us/LAFDocSearch/tl41R01.aspx?&amp;lu_id=5431&amp;doc_yr=2016&amp;doc_code=AUD" xr:uid="{C816C6C2-0EC2-4FAD-8DA9-0B0F03E75B1D}"/>
    <hyperlink ref="E2759" r:id="rId2677" display="https://treas-secure.state.mi.us/LAFDocSearch/tl41R01.aspx?&amp;lu_id=5819&amp;doc_yr=2016&amp;doc_code=AUD" xr:uid="{5E7201D9-08E7-42CC-80E6-5181FD87D651}"/>
    <hyperlink ref="E2760" r:id="rId2678" display="https://treas-secure.state.mi.us/LAFDocSearch/tl41R01.aspx?&amp;lu_id=5770&amp;doc_yr=2016&amp;doc_code=AUD" xr:uid="{180259B9-8F02-4C3B-859B-04F7D036137C}"/>
    <hyperlink ref="E2761" r:id="rId2679" display="https://treas-secure.state.mi.us/LAFDocSearch/tl41R01.aspx?&amp;lu_id=5820&amp;doc_yr=2016&amp;doc_code=AUD" xr:uid="{C36E3C13-CC0F-4BA4-891A-6D95AF386D43}"/>
    <hyperlink ref="E2762" r:id="rId2680" display="https://treas-secure.state.mi.us/LAFDocSearch/tl41R01.aspx?&amp;lu_id=5823&amp;doc_yr=2016&amp;doc_code=AUD" xr:uid="{5F69F16C-54CB-425D-82B3-B654D5FBE78C}"/>
    <hyperlink ref="E2763" r:id="rId2681" display="https://treas-secure.state.mi.us/LAFDocSearch/tl41R01.aspx?&amp;lu_id=5713&amp;doc_yr=2016&amp;doc_code=AUD" xr:uid="{803F4EAA-4ACF-4B55-8539-2023FB44573F}"/>
    <hyperlink ref="E2764" r:id="rId2682" display="https://treas-secure.state.mi.us/LAFDocSearch/tl41R01.aspx?&amp;lu_id=7543&amp;doc_yr=2016&amp;doc_code=AUD" xr:uid="{BA959646-0D4E-49C9-9030-923762C06EA5}"/>
    <hyperlink ref="E2765" r:id="rId2683" display="https://treas-secure.state.mi.us/LAFDocSearch/tl41R01.aspx?&amp;lu_id=5856&amp;doc_yr=2016&amp;doc_code=AUD" xr:uid="{83D1D21E-8B1A-49BD-97D9-D061B23F2960}"/>
    <hyperlink ref="E2766" r:id="rId2684" display="https://treas-secure.state.mi.us/LAFDocSearch/tl41R01.aspx?&amp;lu_id=5857&amp;doc_yr=2016&amp;doc_code=AUD" xr:uid="{4A35845E-2D08-4B22-A650-A59BB542A2BE}"/>
    <hyperlink ref="E2767" r:id="rId2685" display="https://treas-secure.state.mi.us/LAFDocSearch/tl41R01.aspx?&amp;lu_id=6048&amp;doc_yr=2016&amp;doc_code=AUD" xr:uid="{55176B1A-3DE5-4289-83C6-E5B2C3E02AE1}"/>
    <hyperlink ref="E2768" r:id="rId2686" display="https://treas-secure.state.mi.us/LAFDocSearch/tl41R01.aspx?&amp;lu_id=5842&amp;doc_yr=2016&amp;doc_code=AUD" xr:uid="{06B26BCC-ACC3-4B05-97FF-71ADE555411D}"/>
    <hyperlink ref="E2769" r:id="rId2687" display="https://treas-secure.state.mi.us/LAFDocSearch/tl41R01.aspx?&amp;lu_id=7051&amp;doc_yr=2016&amp;doc_code=AUD" xr:uid="{EE3D7730-EC54-4BCB-B272-AA35F4253565}"/>
    <hyperlink ref="E2770" r:id="rId2688" display="https://treas-secure.state.mi.us/LAFDocSearch/tl41R01.aspx?&amp;lu_id=5843&amp;doc_yr=2016&amp;doc_code=AUD" xr:uid="{FA5B49B9-D903-4B88-BDED-EE36A16133CE}"/>
    <hyperlink ref="E2771" r:id="rId2689" display="https://treas-secure.state.mi.us/LAFDocSearch/tl41R01.aspx?&amp;lu_id=5780&amp;doc_yr=2016&amp;doc_code=AUD" xr:uid="{8EA3EA5F-F18C-42C3-98F5-15379E03E6AA}"/>
    <hyperlink ref="E2772" r:id="rId2690" display="https://treas-secure.state.mi.us/LAFDocSearch/tl41R01.aspx?&amp;lu_id=5748&amp;doc_yr=2016&amp;doc_code=AUD" xr:uid="{52649174-70E1-4F0B-9225-5D064D050698}"/>
    <hyperlink ref="E2773" r:id="rId2691" display="https://treas-secure.state.mi.us/LAFDocSearch/tl41R01.aspx?&amp;lu_id=5794&amp;doc_yr=2016&amp;doc_code=AUD" xr:uid="{2D1829B8-6424-42D2-990A-228EE2494570}"/>
    <hyperlink ref="E2774" r:id="rId2692" display="https://treas-secure.state.mi.us/LAFDocSearch/tl41R01.aspx?&amp;lu_id=5812&amp;doc_yr=2016&amp;doc_code=AUD" xr:uid="{0E7607AF-8DF8-4FAF-B272-7CE95DA6B5AF}"/>
    <hyperlink ref="E2775" r:id="rId2693" display="https://treas-secure.state.mi.us/LAFDocSearch/tl41R01.aspx?&amp;lu_id=5432&amp;doc_yr=2016&amp;doc_code=AUD" xr:uid="{5653EB8E-333D-4221-8142-7E4CB7EE17B5}"/>
    <hyperlink ref="E2776" r:id="rId2694" display="https://treas-secure.state.mi.us/LAFDocSearch/tl41R01.aspx?&amp;lu_id=5822&amp;doc_yr=2016&amp;doc_code=AUD" xr:uid="{E11FF563-9DCA-4C67-9A6B-62A3F1345C41}"/>
    <hyperlink ref="E2777" r:id="rId2695" display="https://treas-secure.state.mi.us/LAFDocSearch/tl41R01.aspx?&amp;lu_id=6205&amp;doc_yr=2016&amp;doc_code=AUD" xr:uid="{650E4B0A-0B75-4CCC-A0CC-83914B3C88D9}"/>
    <hyperlink ref="E2778" r:id="rId2696" display="https://treas-secure.state.mi.us/LAFDocSearch/tl41R01.aspx?&amp;lu_id=5433&amp;doc_yr=2016&amp;doc_code=AUD" xr:uid="{BA319EB3-226B-4172-BD68-1E4C2227B193}"/>
    <hyperlink ref="E2779" r:id="rId2697" display="https://treas-secure.state.mi.us/LAFDocSearch/tl41R01.aspx?&amp;lu_id=5434&amp;doc_yr=2016&amp;doc_code=AUD" xr:uid="{239EB626-021D-4E38-AB94-8EE4D6301E1A}"/>
    <hyperlink ref="E2780" r:id="rId2698" display="https://treas-secure.state.mi.us/LAFDocSearch/tl41R01.aspx?&amp;lu_id=5435&amp;doc_yr=2016&amp;doc_code=AUD" xr:uid="{684E6FD7-A867-487B-AABC-5746FBAE8983}"/>
    <hyperlink ref="E2781" r:id="rId2699" display="https://treas-secure.state.mi.us/LAFDocSearch/tl41R01.aspx?&amp;lu_id=7714&amp;doc_yr=2016&amp;doc_code=AUD" xr:uid="{F61E11E7-6EFF-4F10-B9E8-4AA6626A0ACD}"/>
    <hyperlink ref="E2782" r:id="rId2700" display="https://treas-secure.state.mi.us/LAFDocSearch/tl41R01.aspx?&amp;lu_id=5419&amp;doc_yr=2016&amp;doc_code=AUD" xr:uid="{D117F434-9171-4B93-ABF4-90BFD9FEC616}"/>
    <hyperlink ref="E2783" r:id="rId2701" display="https://treas-secure.state.mi.us/LAFDocSearch/tl41R01.aspx?&amp;lu_id=5436&amp;doc_yr=2016&amp;doc_code=AUD" xr:uid="{1CE9FA4D-5DF8-4349-A79A-0A8078F2A334}"/>
    <hyperlink ref="E2784" r:id="rId2702" display="https://treas-secure.state.mi.us/LAFDocSearch/tl41R01.aspx?&amp;lu_id=5437&amp;doc_yr=2016&amp;doc_code=AUD" xr:uid="{33C9D996-2BED-4531-92B4-E6A97ECD4423}"/>
    <hyperlink ref="E2785" r:id="rId2703" display="https://treas-secure.state.mi.us/LAFDocSearch/tl41R01.aspx?&amp;lu_id=5438&amp;doc_yr=2016&amp;doc_code=AUD" xr:uid="{CE03CCDF-3D74-4403-BEF0-6AAF4F5936EC}"/>
    <hyperlink ref="E2786" r:id="rId2704" display="https://treas-secure.state.mi.us/LAFDocSearch/tl41R01.aspx?&amp;lu_id=5849&amp;doc_yr=2016&amp;doc_code=AUD" xr:uid="{C4418632-EF53-41E1-9EC2-064DB85118B1}"/>
    <hyperlink ref="E2787" r:id="rId2705" display="https://treas-secure.state.mi.us/LAFDocSearch/tl41R01.aspx?&amp;lu_id=5439&amp;doc_yr=2016&amp;doc_code=AUD" xr:uid="{DBCF288A-8FE4-4069-A311-2433D73613DF}"/>
    <hyperlink ref="E2788" r:id="rId2706" display="https://treas-secure.state.mi.us/LAFDocSearch/tl41R01.aspx?&amp;lu_id=5440&amp;doc_yr=2016&amp;doc_code=AUD" xr:uid="{A16AB1E1-5083-44F6-86AC-026DBF382757}"/>
    <hyperlink ref="E2789" r:id="rId2707" display="https://treas-secure.state.mi.us/LAFDocSearch/tl41R01.aspx?&amp;lu_id=5690&amp;doc_yr=2016&amp;doc_code=AUD" xr:uid="{564F9918-FE64-4069-A803-A3C4E031CB08}"/>
    <hyperlink ref="E2790" r:id="rId2708" display="https://treas-secure.state.mi.us/LAFDocSearch/tl41R01.aspx?&amp;lu_id=5441&amp;doc_yr=2016&amp;doc_code=AUD" xr:uid="{E42D24CF-ACFA-4F25-965B-7EEAF0CF53E4}"/>
    <hyperlink ref="E2791" r:id="rId2709" display="https://treas-secure.state.mi.us/LAFDocSearch/tl41R01.aspx?&amp;lu_id=5442&amp;doc_yr=2016&amp;doc_code=AUD" xr:uid="{8BC6E376-1B4A-45FF-B7AE-C435BFBD3125}"/>
    <hyperlink ref="E2792" r:id="rId2710" display="https://treas-secure.state.mi.us/LAFDocSearch/tl41R01.aspx?&amp;lu_id=5443&amp;doc_yr=2016&amp;doc_code=AUD" xr:uid="{0C9A51A7-9B9F-415C-A77B-FC63F6064E24}"/>
    <hyperlink ref="E2793" r:id="rId2711" display="https://treas-secure.state.mi.us/LAFDocSearch/tl41R01.aspx?&amp;lu_id=5827&amp;doc_yr=2016&amp;doc_code=AUD" xr:uid="{0D978536-4BEC-4E3A-B0ED-4E852B6D38B6}"/>
    <hyperlink ref="E2794" r:id="rId2712" display="https://treas-secure.state.mi.us/LAFDocSearch/tl41R01.aspx?&amp;lu_id=6154&amp;doc_yr=2016&amp;doc_code=AUD" xr:uid="{12AED47D-23EF-4DAB-BFBB-C3087BF38C5D}"/>
    <hyperlink ref="E2795" r:id="rId2713" display="https://treas-secure.state.mi.us/LAFDocSearch/tl41R01.aspx?&amp;lu_id=5421&amp;doc_yr=2016&amp;doc_code=AUD" xr:uid="{36E160C4-7191-4EB3-BB07-606F0D47D821}"/>
    <hyperlink ref="E2796" r:id="rId2714" display="https://treas-secure.state.mi.us/LAFDocSearch/tl41R01.aspx?&amp;lu_id=5444&amp;doc_yr=2016&amp;doc_code=AUD" xr:uid="{287EBF6A-7671-4FC7-972E-C353E5627E34}"/>
    <hyperlink ref="E2797" r:id="rId2715" display="https://treas-secure.state.mi.us/LAFDocSearch/tl41R01.aspx?&amp;lu_id=5445&amp;doc_yr=2016&amp;doc_code=AUD" xr:uid="{49A2F799-2622-409B-BC45-B3D66A353F70}"/>
    <hyperlink ref="E2798" r:id="rId2716" display="https://treas-secure.state.mi.us/LAFDocSearch/tl41R01.aspx?&amp;lu_id=5811&amp;doc_yr=2016&amp;doc_code=AUD" xr:uid="{96C328AD-0AD9-44D8-9712-914A5A60B575}"/>
    <hyperlink ref="E2799" r:id="rId2717" display="https://treas-secure.state.mi.us/LAFDocSearch/tl41R01.aspx?&amp;lu_id=5446&amp;doc_yr=2016&amp;doc_code=AUD" xr:uid="{1B8C8816-E3CC-4B68-B272-58CA87CD07CA}"/>
    <hyperlink ref="E2800" r:id="rId2718" display="https://treas-secure.state.mi.us/LAFDocSearch/tl41R01.aspx?&amp;lu_id=5818&amp;doc_yr=2016&amp;doc_code=AUD" xr:uid="{F70719BE-F431-41EB-A56F-A2E743B92917}"/>
    <hyperlink ref="E2801" r:id="rId2719" display="https://treas-secure.state.mi.us/LAFDocSearch/tl41R01.aspx?&amp;lu_id=5447&amp;doc_yr=2016&amp;doc_code=AUD" xr:uid="{5BDC4D88-A31B-4FC3-B200-AF9FCCF0DBE0}"/>
    <hyperlink ref="E2802" r:id="rId2720" display="https://treas-secure.state.mi.us/LAFDocSearch/tl41R01.aspx?&amp;lu_id=7095&amp;doc_yr=2016&amp;doc_code=AUD" xr:uid="{293BBDF4-76C2-465E-9C52-2B3409E998CF}"/>
    <hyperlink ref="E2803" r:id="rId2721" display="https://treas-secure.state.mi.us/LAFDocSearch/tl41R01.aspx?&amp;lu_id=5829&amp;doc_yr=2016&amp;doc_code=AUD" xr:uid="{AF68DEDD-8D29-4A4A-8EC0-45FCB9109B23}"/>
    <hyperlink ref="E2804" r:id="rId2722" display="https://treas-secure.state.mi.us/LAFDocSearch/tl41R01.aspx?&amp;lu_id=5448&amp;doc_yr=2016&amp;doc_code=AUD" xr:uid="{1257DAD7-7071-437E-B508-807EC914330B}"/>
    <hyperlink ref="E2805" r:id="rId2723" display="https://treas-secure.state.mi.us/LAFDocSearch/tl41R01.aspx?&amp;lu_id=5422&amp;doc_yr=2016&amp;doc_code=AUD" xr:uid="{F821D4A1-DAF2-4715-88A0-6ECBAE80E80E}"/>
    <hyperlink ref="E2806" r:id="rId2724" display="https://treas-secure.state.mi.us/LAFDocSearch/tl41R01.aspx?&amp;lu_id=5758&amp;doc_yr=2016&amp;doc_code=AUD" xr:uid="{C8553888-323D-48CB-9E9A-BB0B073470B0}"/>
    <hyperlink ref="E2807" r:id="rId2725" display="https://treas-secure.state.mi.us/LAFDocSearch/tl41R01.aspx?&amp;lu_id=5803&amp;doc_yr=2016&amp;doc_code=AUD" xr:uid="{6AB67089-960A-4DAD-A423-080208E03EFD}"/>
    <hyperlink ref="E2808" r:id="rId2726" display="https://treas-secure.state.mi.us/LAFDocSearch/tl41R01.aspx?&amp;lu_id=5850&amp;doc_yr=2016&amp;doc_code=AUD" xr:uid="{823E19D0-5788-4E95-AF7F-7F183F53E402}"/>
    <hyperlink ref="E2809" r:id="rId2727" display="https://treas-secure.state.mi.us/LAFDocSearch/tl41R01.aspx?&amp;lu_id=5449&amp;doc_yr=2016&amp;doc_code=AUD" xr:uid="{67BB6AB2-6F1B-4CE6-9524-ECC52867BDB8}"/>
    <hyperlink ref="E2810" r:id="rId2728" display="https://treas-secure.state.mi.us/LAFDocSearch/tl41R01.aspx?&amp;lu_id=5423&amp;doc_yr=2016&amp;doc_code=AUD" xr:uid="{5B0A8A01-43CA-4871-AF8B-34E2C6124591}"/>
    <hyperlink ref="E2811" r:id="rId2729" display="https://treas-secure.state.mi.us/LAFDocSearch/tl41R01.aspx?&amp;lu_id=5851&amp;doc_yr=2016&amp;doc_code=AUD" xr:uid="{1C9B569E-61A1-468B-ADE9-88CAD7EDCAA2}"/>
    <hyperlink ref="E2812" r:id="rId2730" display="https://treas-secure.state.mi.us/LAFDocSearch/tl41R01.aspx?&amp;lu_id=7053&amp;doc_yr=2016&amp;doc_code=AUD" xr:uid="{B07CEF2E-1C5F-48FB-A2F7-4C5544A2287B}"/>
    <hyperlink ref="E2813" r:id="rId2731" display="https://treas-secure.state.mi.us/LAFDocSearch/tl41R01.aspx?&amp;lu_id=5424&amp;doc_yr=2016&amp;doc_code=AUD" xr:uid="{0F0A29B7-FB1A-41B3-979E-2DACEE294B1D}"/>
    <hyperlink ref="E2814" r:id="rId2732" display="https://treas-secure.state.mi.us/LAFDocSearch/tl41R01.aspx?&amp;lu_id=5852&amp;doc_yr=2016&amp;doc_code=AUD" xr:uid="{02B11535-9208-4CFC-B8AF-AACBEAF28CCC}"/>
    <hyperlink ref="E2815" r:id="rId2733" display="https://treas-secure.state.mi.us/LAFDocSearch/tl41R01.aspx?&amp;lu_id=7700&amp;doc_yr=2016&amp;doc_code=AUD" xr:uid="{4F87898A-76FE-4B6B-89B3-ABE294EBC197}"/>
    <hyperlink ref="E2816" r:id="rId2734" display="https://treas-secure.state.mi.us/LAFDocSearch/tl41R01.aspx?&amp;lu_id=5450&amp;doc_yr=2016&amp;doc_code=AUD" xr:uid="{8C47D8FF-10AE-4FF8-A5B4-AAF3A683CC8C}"/>
    <hyperlink ref="E2817" r:id="rId2735" display="https://treas-secure.state.mi.us/LAFDocSearch/tl41R01.aspx?&amp;lu_id=5815&amp;doc_yr=2016&amp;doc_code=AUD" xr:uid="{2919D471-303E-429C-A16C-C67CF93CB8B3}"/>
    <hyperlink ref="E2818" r:id="rId2736" display="https://treas-secure.state.mi.us/LAFDocSearch/tl41R01.aspx?&amp;lu_id=5451&amp;doc_yr=2016&amp;doc_code=AUD" xr:uid="{40DFCCC0-3B2E-4968-A168-B60412FC2B73}"/>
    <hyperlink ref="E2819" r:id="rId2737" display="https://treas-secure.state.mi.us/LAFDocSearch/tl41R01.aspx?&amp;lu_id=5452&amp;doc_yr=2016&amp;doc_code=AUD" xr:uid="{0C5E8962-B8FC-4206-8361-0BE932F9F651}"/>
    <hyperlink ref="E2820" r:id="rId2738" display="https://treas-secure.state.mi.us/LAFDocSearch/tl41R01.aspx?&amp;lu_id=5805&amp;doc_yr=2016&amp;doc_code=AUD" xr:uid="{676DF5A9-9B23-4B73-998F-34979FE046E6}"/>
    <hyperlink ref="E2821" r:id="rId2739" display="https://treas-secure.state.mi.us/LAFDocSearch/tl41R01.aspx?&amp;lu_id=5453&amp;doc_yr=2016&amp;doc_code=AUD" xr:uid="{333EE038-A8B1-4B45-B4B1-82779F088E05}"/>
    <hyperlink ref="E2822" r:id="rId2740" display="https://treas-secure.state.mi.us/LAFDocSearch/tl41R01.aspx?&amp;lu_id=5804&amp;doc_yr=2016&amp;doc_code=AUD" xr:uid="{A74AAD10-9CC2-4AD4-B95E-95C3E0E4CD4E}"/>
    <hyperlink ref="E2823" r:id="rId2741" display="https://treas-secure.state.mi.us/LAFDocSearch/tl41R01.aspx?&amp;lu_id=5597&amp;doc_yr=2016&amp;doc_code=AUD" xr:uid="{04F2A7F4-59C2-4E74-B82C-3C880BFD5DF2}"/>
    <hyperlink ref="E2824" r:id="rId2742" display="https://treas-secure.state.mi.us/LAFDocSearch/tl41R01.aspx?&amp;lu_id=5750&amp;doc_yr=2016&amp;doc_code=AUD" xr:uid="{9391AF72-07D4-43C2-AA5F-3DCBC34B1977}"/>
    <hyperlink ref="E2825" r:id="rId2743" display="https://treas-secure.state.mi.us/LAFDocSearch/tl41R01.aspx?&amp;lu_id=5835&amp;doc_yr=2016&amp;doc_code=AUD" xr:uid="{184E751D-27E2-40D0-B724-A3F41D159C1E}"/>
    <hyperlink ref="E2826" r:id="rId2744" display="https://treas-secure.state.mi.us/LAFDocSearch/tl41R01.aspx?&amp;lu_id=5454&amp;doc_yr=2016&amp;doc_code=AUD" xr:uid="{597FEAFA-82B6-4447-A880-84F1182E0EC2}"/>
    <hyperlink ref="E2827" r:id="rId2745" display="https://treas-secure.state.mi.us/LAFDocSearch/tl41R01.aspx?&amp;lu_id=5736&amp;doc_yr=2016&amp;doc_code=AUD" xr:uid="{CE65082D-86D4-4707-8CCF-9A92145A8F2A}"/>
    <hyperlink ref="E2828" r:id="rId2746" display="https://treas-secure.state.mi.us/LAFDocSearch/tl41R01.aspx?&amp;lu_id=5425&amp;doc_yr=2016&amp;doc_code=AUD" xr:uid="{6AC3160B-4E54-47B5-AD2F-D5765061739D}"/>
    <hyperlink ref="E2829" r:id="rId2747" display="https://treas-secure.state.mi.us/LAFDocSearch/tl41R01.aspx?&amp;lu_id=5455&amp;doc_yr=2016&amp;doc_code=AUD" xr:uid="{8D580DDE-09B6-46F1-B9F5-65858E2D4AFC}"/>
    <hyperlink ref="E2830" r:id="rId2748" display="https://treas-secure.state.mi.us/LAFDocSearch/tl41R01.aspx?&amp;lu_id=5807&amp;doc_yr=2016&amp;doc_code=AUD" xr:uid="{F68ACD27-3E85-4C36-B6F8-447871364183}"/>
    <hyperlink ref="E2831" r:id="rId2749" display="https://treas-secure.state.mi.us/LAFDocSearch/tl41R01.aspx?&amp;lu_id=5855&amp;doc_yr=2016&amp;doc_code=AUD" xr:uid="{24AEA324-CFA9-483A-9AB3-F609DF725561}"/>
    <hyperlink ref="E2832" r:id="rId2750" display="https://treas-secure.state.mi.us/LAFDocSearch/tl41R01.aspx?&amp;lu_id=5456&amp;doc_yr=2016&amp;doc_code=AUD" xr:uid="{C0571626-F045-45F2-9B63-9362567F6C99}"/>
    <hyperlink ref="E2833" r:id="rId2751" display="https://treas-secure.state.mi.us/LAFDocSearch/tl41R01.aspx?&amp;lu_id=5426&amp;doc_yr=2016&amp;doc_code=AUD" xr:uid="{E8539722-C546-4373-A2D1-CF44BE5E60FA}"/>
    <hyperlink ref="E2834" r:id="rId2752" display="https://treas-secure.state.mi.us/LAFDocSearch/tl41R01.aspx?&amp;lu_id=5730&amp;doc_yr=2016&amp;doc_code=AUD" xr:uid="{96B47B42-F5EE-4374-8CBD-66658FB7BB08}"/>
    <hyperlink ref="E2835" r:id="rId2753" display="https://treas-secure.state.mi.us/LAFDocSearch/tl41R01.aspx?&amp;lu_id=5775&amp;doc_yr=2016&amp;doc_code=AUD" xr:uid="{EE0105EE-F161-454B-ACC9-8430860119E5}"/>
    <hyperlink ref="E2836" r:id="rId2754" display="https://treas-secure.state.mi.us/LAFDocSearch/tl41R01.aspx?&amp;lu_id=5457&amp;doc_yr=2016&amp;doc_code=AUD" xr:uid="{E55E418B-23D5-490E-8F18-BA108C4F00A2}"/>
    <hyperlink ref="E2837" r:id="rId2755" display="https://treas-secure.state.mi.us/LAFDocSearch/tl41R01.aspx?&amp;lu_id=5415&amp;doc_yr=2016&amp;doc_code=AUD" xr:uid="{EEB66FCE-BE9F-422C-90D0-AF0B7A40B1D0}"/>
    <hyperlink ref="E2838" r:id="rId2756" display="https://treas-secure.state.mi.us/LAFDocSearch/tl41R01.aspx?&amp;lu_id=5710&amp;doc_yr=2016&amp;doc_code=AUD" xr:uid="{07638525-C9A3-46F1-8223-11C0561FE236}"/>
    <hyperlink ref="E2839" r:id="rId2757" display="https://treas-secure.state.mi.us/LAFDocSearch/tl41R01.aspx?&amp;lu_id=5840&amp;doc_yr=2016&amp;doc_code=AUD" xr:uid="{DD4861A5-EB9F-4D0D-AF63-BA1E80D67636}"/>
    <hyperlink ref="E2840" r:id="rId2758" display="https://treas-secure.state.mi.us/LAFDocSearch/tl41R01.aspx?&amp;lu_id=5839&amp;doc_yr=2016&amp;doc_code=AUD" xr:uid="{52C5D04D-6944-48A4-ABFA-D47E486FE151}"/>
    <hyperlink ref="E2841" r:id="rId2759" display="https://treas-secure.state.mi.us/LAFDocSearch/tl41R01.aspx?&amp;lu_id=5841&amp;doc_yr=2016&amp;doc_code=AUD" xr:uid="{9E0F514F-A421-46BC-A0BD-AF95293C0778}"/>
    <hyperlink ref="E2842" r:id="rId2760" display="https://treas-secure.state.mi.us/LAFDocSearch/tl41R01.aspx?&amp;lu_id=6229&amp;doc_yr=2016&amp;doc_code=AUD" xr:uid="{656BA386-75AD-46C2-82ED-D1249578A6B5}"/>
    <hyperlink ref="E2843" r:id="rId2761" display="https://treas-secure.state.mi.us/LAFDocSearch/tl41R01.aspx?&amp;lu_id=5768&amp;doc_yr=2016&amp;doc_code=AUD" xr:uid="{027FA37A-6FD9-45FD-9951-3D08A40007EF}"/>
    <hyperlink ref="E2844" r:id="rId2762" display="https://treas-secure.state.mi.us/LAFDocSearch/tl41R01.aspx?&amp;lu_id=5974&amp;doc_yr=2016&amp;doc_code=AUD" xr:uid="{5E979C45-9A9B-4FF6-8E8F-622A2CE1A751}"/>
    <hyperlink ref="E2845" r:id="rId2763" display="https://treas-secure.state.mi.us/LAFDocSearch/tl41R01.aspx?&amp;lu_id=5973&amp;doc_yr=2016&amp;doc_code=AUD" xr:uid="{567380B0-CAAB-414A-958F-3F2B0BD9FE61}"/>
    <hyperlink ref="E2846" r:id="rId2764" display="https://treas-secure.state.mi.us/LAFDocSearch/tl41R01.aspx?&amp;lu_id=5800&amp;doc_yr=2016&amp;doc_code=AUD" xr:uid="{26877683-061E-433C-9BE4-BFCE167BDF8A}"/>
    <hyperlink ref="E2847" r:id="rId2765" display="https://treas-secure.state.mi.us/LAFDocSearch/tl41R01.aspx?&amp;lu_id=5719&amp;doc_yr=2016&amp;doc_code=AUD" xr:uid="{7F12F981-44EA-43CA-B458-AAD10AF3D014}"/>
    <hyperlink ref="E2848" r:id="rId2766" display="https://treas-secure.state.mi.us/LAFDocSearch/tl41R01.aspx?&amp;lu_id=5813&amp;doc_yr=2016&amp;doc_code=AUD" xr:uid="{80E927A9-ABF5-423C-8176-07B3C75F6805}"/>
    <hyperlink ref="E2849" r:id="rId2767" display="https://treas-secure.state.mi.us/LAFDocSearch/tl41R01.aspx?&amp;lu_id=5458&amp;doc_yr=2016&amp;doc_code=AUD" xr:uid="{6D73B194-9166-4C43-88AC-725D8C7A39A5}"/>
    <hyperlink ref="E2850" r:id="rId2768" display="https://treas-secure.state.mi.us/LAFDocSearch/tl41R01.aspx?&amp;lu_id=5814&amp;doc_yr=2016&amp;doc_code=AUD" xr:uid="{0DF8CB1E-9D63-4F71-AF9E-44645449FAE4}"/>
    <hyperlink ref="E2851" r:id="rId2769" display="https://treas-secure.state.mi.us/LAFDocSearch/tl41R01.aspx?&amp;lu_id=5459&amp;doc_yr=2016&amp;doc_code=AUD" xr:uid="{DC73BD6E-6353-413F-B924-4CCE2E8955AE}"/>
    <hyperlink ref="E2852" r:id="rId2770" display="https://treas-secure.state.mi.us/LAFDocSearch/tl41R01.aspx?&amp;lu_id=5460&amp;doc_yr=2016&amp;doc_code=AUD" xr:uid="{44E7A657-9741-4235-9098-97FFB147DC28}"/>
    <hyperlink ref="E2853" r:id="rId2771" display="https://treas-secure.state.mi.us/LAFDocSearch/tl41R01.aspx?&amp;lu_id=5796&amp;doc_yr=2016&amp;doc_code=AUD" xr:uid="{5FB4F588-79F1-4E38-95FA-2A768BA031AB}"/>
    <hyperlink ref="E2855" r:id="rId2772" display="https://treas-secure.state.mi.us/LAFDocSearch/tl41R01.aspx?&amp;lu_id=5878&amp;doc_yr=2016&amp;doc_code=AUD" xr:uid="{A0B1EFAA-219B-4134-8F01-7AD67BA737DB}"/>
    <hyperlink ref="E2856" r:id="rId2773" display="https://treas-secure.state.mi.us/LAFDocSearch/tl41R01.aspx?&amp;lu_id=5895&amp;doc_yr=2016&amp;doc_code=AUD" xr:uid="{4245828D-97BB-4B7C-B7E7-014999C4C61F}"/>
    <hyperlink ref="E2857" r:id="rId2774" display="https://treas-secure.state.mi.us/LAFDocSearch/tl41R01.aspx?&amp;lu_id=5893&amp;doc_yr=2016&amp;doc_code=AUD" xr:uid="{6ED0F950-29FA-4515-8E11-3801248F85A5}"/>
    <hyperlink ref="E2858" r:id="rId2775" display="https://treas-secure.state.mi.us/LAFDocSearch/tl41R01.aspx?&amp;lu_id=5913&amp;doc_yr=2016&amp;doc_code=AUD" xr:uid="{CE9BE87E-9BA3-4CF2-B174-AA282B467B09}"/>
    <hyperlink ref="E2859" r:id="rId2776" display="https://treas-secure.state.mi.us/LAFDocSearch/tl41R01.aspx?&amp;lu_id=5918&amp;doc_yr=2016&amp;doc_code=AUD" xr:uid="{2D01EDC8-5C12-48F2-B1B5-EAB49F623024}"/>
    <hyperlink ref="E2860" r:id="rId2777" display="https://treas-secure.state.mi.us/LAFDocSearch/tl41R01.aspx?&amp;lu_id=5914&amp;doc_yr=2016&amp;doc_code=AUD" xr:uid="{96632F8A-12ED-479B-9098-73CD616ADC5A}"/>
    <hyperlink ref="E2861" r:id="rId2778" display="https://treas-secure.state.mi.us/LAFDocSearch/tl41R01.aspx?&amp;lu_id=5879&amp;doc_yr=2016&amp;doc_code=AUD" xr:uid="{96DABC71-D2A8-4623-84A2-51C15B8BA755}"/>
    <hyperlink ref="E2862" r:id="rId2779" display="https://treas-secure.state.mi.us/LAFDocSearch/tl41R01.aspx?&amp;lu_id=5880&amp;doc_yr=2016&amp;doc_code=AUD" xr:uid="{C49545EE-A5E0-43C4-8DBE-7DCCB7664EC1}"/>
    <hyperlink ref="E2863" r:id="rId2780" display="https://treas-secure.state.mi.us/LAFDocSearch/tl41R01.aspx?&amp;lu_id=5881&amp;doc_yr=2016&amp;doc_code=AUD" xr:uid="{3E35D859-5A33-4F82-9589-CD6173D1F177}"/>
    <hyperlink ref="E2864" r:id="rId2781" display="https://treas-secure.state.mi.us/LAFDocSearch/tl41R01.aspx?&amp;lu_id=5882&amp;doc_yr=2016&amp;doc_code=AUD" xr:uid="{9F8DB966-3045-48E0-98F5-31D297B26B06}"/>
    <hyperlink ref="E2865" r:id="rId2782" display="https://treas-secure.state.mi.us/LAFDocSearch/tl41R01.aspx?&amp;lu_id=5885&amp;doc_yr=2016&amp;doc_code=AUD" xr:uid="{61934DF1-F9EF-45AB-8FDC-DC5196BE5B4C}"/>
    <hyperlink ref="E2866" r:id="rId2783" display="https://treas-secure.state.mi.us/LAFDocSearch/tl41R01.aspx?&amp;lu_id=5896&amp;doc_yr=2016&amp;doc_code=AUD" xr:uid="{2FE5FDB4-75E1-4177-BC2B-21E314DE2E76}"/>
    <hyperlink ref="E2867" r:id="rId2784" display="https://treas-secure.state.mi.us/LAFDocSearch/tl41R01.aspx?&amp;lu_id=5886&amp;doc_yr=2016&amp;doc_code=AUD" xr:uid="{1EA541A0-04A0-4A8C-8592-B311E41A6370}"/>
    <hyperlink ref="E2868" r:id="rId2785" display="https://treas-secure.state.mi.us/LAFDocSearch/tl41R01.aspx?&amp;lu_id=7836&amp;doc_yr=2016&amp;doc_code=AUD" xr:uid="{A5C190DD-3A4F-45E5-999E-AB91A92CFD36}"/>
    <hyperlink ref="E2869" r:id="rId2786" display="https://treas-secure.state.mi.us/LAFDocSearch/tl41R01.aspx?&amp;lu_id=5887&amp;doc_yr=2016&amp;doc_code=AUD" xr:uid="{1F160A82-237E-4518-89CA-EBDA431230F6}"/>
    <hyperlink ref="E2870" r:id="rId2787" display="https://treas-secure.state.mi.us/LAFDocSearch/tl41R01.aspx?&amp;lu_id=5894&amp;doc_yr=2016&amp;doc_code=AUD" xr:uid="{AEA9AFA6-C1B7-45F1-9597-5D3FC69ACE06}"/>
    <hyperlink ref="E2871" r:id="rId2788" display="https://treas-secure.state.mi.us/LAFDocSearch/tl41R01.aspx?&amp;lu_id=5919&amp;doc_yr=2016&amp;doc_code=AUD" xr:uid="{BB2B1A6E-CEBB-4490-A04D-EC59A20BB22F}"/>
    <hyperlink ref="E2872" r:id="rId2789" display="https://treas-secure.state.mi.us/LAFDocSearch/tl41R01.aspx?&amp;lu_id=5888&amp;doc_yr=2016&amp;doc_code=AUD" xr:uid="{D619EDF9-2DCD-4338-A51A-7EEE4FA2E89D}"/>
    <hyperlink ref="E2873" r:id="rId2790" display="https://treas-secure.state.mi.us/LAFDocSearch/tl41R01.aspx?&amp;lu_id=5889&amp;doc_yr=2016&amp;doc_code=AUD" xr:uid="{C06E4732-C660-4F30-A01D-AC15BE9949E1}"/>
    <hyperlink ref="E2874" r:id="rId2791" display="https://treas-secure.state.mi.us/LAFDocSearch/tl41R01.aspx?&amp;lu_id=5890&amp;doc_yr=2016&amp;doc_code=AUD" xr:uid="{B2CBEA14-E11C-4A05-85AB-377B1486ECFB}"/>
    <hyperlink ref="E2875" r:id="rId2792" display="https://treas-secure.state.mi.us/LAFDocSearch/tl41R01.aspx?&amp;lu_id=5891&amp;doc_yr=2016&amp;doc_code=AUD" xr:uid="{3A58FE05-1CDF-4EE0-ADA1-13C0388A0626}"/>
    <hyperlink ref="E2876" r:id="rId2793" display="https://treas-secure.state.mi.us/LAFDocSearch/tl41R01.aspx?&amp;lu_id=5875&amp;doc_yr=2016&amp;doc_code=AUD" xr:uid="{CABFBD5B-50D1-4E22-90C3-C4B3004CD220}"/>
    <hyperlink ref="E2877" r:id="rId2794" display="https://treas-secure.state.mi.us/LAFDocSearch/tl41R01.aspx?&amp;lu_id=5892&amp;doc_yr=2016&amp;doc_code=AUD" xr:uid="{4BD3AFCC-DCC7-47E1-B8AD-33933E570972}"/>
    <hyperlink ref="E2878" r:id="rId2795" display="https://treas-secure.state.mi.us/LAFDocSearch/tl41R01.aspx?&amp;lu_id=5907&amp;doc_yr=2016&amp;doc_code=AUD" xr:uid="{89F03523-150C-4118-8A57-98365B042CFD}"/>
    <hyperlink ref="E2879" r:id="rId2796" display="https://treas-secure.state.mi.us/LAFDocSearch/tl41R01.aspx?&amp;lu_id=5876&amp;doc_yr=2016&amp;doc_code=AUD" xr:uid="{177AF0F1-24EF-49BC-A3EE-8D5BDD776992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7993-47A6-4D39-9B7B-9616070F51A3}">
  <sheetPr codeName="Sheet3"/>
  <dimension ref="A1:F84"/>
  <sheetViews>
    <sheetView topLeftCell="A62" workbookViewId="0">
      <selection activeCell="A62" sqref="A1:A1048576"/>
    </sheetView>
  </sheetViews>
  <sheetFormatPr defaultRowHeight="15" x14ac:dyDescent="0.25"/>
  <cols>
    <col min="2" max="2" width="23.140625" customWidth="1"/>
  </cols>
  <sheetData>
    <row r="1" spans="1:6" x14ac:dyDescent="0.25">
      <c r="A1">
        <v>1</v>
      </c>
      <c r="B1" s="20" t="s">
        <v>5174</v>
      </c>
      <c r="C1" t="str">
        <f>B1&amp;" County"</f>
        <v>Alcona County</v>
      </c>
      <c r="F1">
        <v>1</v>
      </c>
    </row>
    <row r="2" spans="1:6" x14ac:dyDescent="0.25">
      <c r="A2">
        <v>2</v>
      </c>
      <c r="B2" s="20" t="s">
        <v>5175</v>
      </c>
      <c r="C2" t="str">
        <f t="shared" ref="C2:C65" si="0">B2&amp;" County"</f>
        <v>Alger County</v>
      </c>
      <c r="F2">
        <v>2</v>
      </c>
    </row>
    <row r="3" spans="1:6" x14ac:dyDescent="0.25">
      <c r="A3">
        <v>3</v>
      </c>
      <c r="B3" s="20" t="s">
        <v>5176</v>
      </c>
      <c r="C3" t="str">
        <f t="shared" si="0"/>
        <v>Allegan County</v>
      </c>
      <c r="F3">
        <v>3</v>
      </c>
    </row>
    <row r="4" spans="1:6" x14ac:dyDescent="0.25">
      <c r="A4">
        <v>4</v>
      </c>
      <c r="B4" s="20" t="s">
        <v>5177</v>
      </c>
      <c r="C4" t="str">
        <f t="shared" si="0"/>
        <v>Alpena County</v>
      </c>
      <c r="F4">
        <v>4</v>
      </c>
    </row>
    <row r="5" spans="1:6" x14ac:dyDescent="0.25">
      <c r="A5">
        <v>5</v>
      </c>
      <c r="B5" s="20" t="s">
        <v>5178</v>
      </c>
      <c r="C5" t="str">
        <f t="shared" si="0"/>
        <v>Antrim County</v>
      </c>
      <c r="F5">
        <v>5</v>
      </c>
    </row>
    <row r="6" spans="1:6" x14ac:dyDescent="0.25">
      <c r="A6">
        <v>6</v>
      </c>
      <c r="B6" s="20" t="s">
        <v>5179</v>
      </c>
      <c r="C6" t="str">
        <f t="shared" si="0"/>
        <v>Arenac County</v>
      </c>
      <c r="F6">
        <v>6</v>
      </c>
    </row>
    <row r="7" spans="1:6" x14ac:dyDescent="0.25">
      <c r="A7">
        <v>7</v>
      </c>
      <c r="B7" s="20" t="s">
        <v>5180</v>
      </c>
      <c r="C7" t="str">
        <f t="shared" si="0"/>
        <v>Baraga County</v>
      </c>
      <c r="F7">
        <v>7</v>
      </c>
    </row>
    <row r="8" spans="1:6" x14ac:dyDescent="0.25">
      <c r="A8">
        <v>8</v>
      </c>
      <c r="B8" s="20" t="s">
        <v>5181</v>
      </c>
      <c r="C8" t="str">
        <f t="shared" si="0"/>
        <v>Barry County</v>
      </c>
      <c r="F8">
        <v>8</v>
      </c>
    </row>
    <row r="9" spans="1:6" x14ac:dyDescent="0.25">
      <c r="A9">
        <v>9</v>
      </c>
      <c r="B9" s="20" t="s">
        <v>5182</v>
      </c>
      <c r="C9" t="str">
        <f t="shared" si="0"/>
        <v>Bay County</v>
      </c>
      <c r="F9">
        <v>9</v>
      </c>
    </row>
    <row r="10" spans="1:6" x14ac:dyDescent="0.25">
      <c r="A10">
        <v>10</v>
      </c>
      <c r="B10" s="20" t="s">
        <v>5183</v>
      </c>
      <c r="C10" t="str">
        <f t="shared" si="0"/>
        <v>Benzie County</v>
      </c>
      <c r="F10">
        <v>10</v>
      </c>
    </row>
    <row r="11" spans="1:6" x14ac:dyDescent="0.25">
      <c r="A11">
        <v>11</v>
      </c>
      <c r="B11" s="20" t="s">
        <v>5184</v>
      </c>
      <c r="C11" t="str">
        <f t="shared" si="0"/>
        <v>Berrien County</v>
      </c>
      <c r="F11">
        <v>11</v>
      </c>
    </row>
    <row r="12" spans="1:6" x14ac:dyDescent="0.25">
      <c r="A12">
        <v>12</v>
      </c>
      <c r="B12" s="20" t="s">
        <v>5185</v>
      </c>
      <c r="C12" t="str">
        <f t="shared" si="0"/>
        <v>Branch County</v>
      </c>
      <c r="F12">
        <v>12</v>
      </c>
    </row>
    <row r="13" spans="1:6" x14ac:dyDescent="0.25">
      <c r="A13">
        <v>13</v>
      </c>
      <c r="B13" s="20" t="s">
        <v>5186</v>
      </c>
      <c r="C13" t="str">
        <f t="shared" si="0"/>
        <v>Calhoun County</v>
      </c>
      <c r="F13">
        <v>13</v>
      </c>
    </row>
    <row r="14" spans="1:6" x14ac:dyDescent="0.25">
      <c r="A14">
        <v>14</v>
      </c>
      <c r="B14" s="20" t="s">
        <v>5187</v>
      </c>
      <c r="C14" t="str">
        <f t="shared" si="0"/>
        <v>Cass County</v>
      </c>
      <c r="F14">
        <v>14</v>
      </c>
    </row>
    <row r="15" spans="1:6" x14ac:dyDescent="0.25">
      <c r="A15">
        <v>15</v>
      </c>
      <c r="B15" s="20" t="s">
        <v>5188</v>
      </c>
      <c r="C15" t="str">
        <f t="shared" si="0"/>
        <v>Charlevoix County</v>
      </c>
      <c r="F15">
        <v>15</v>
      </c>
    </row>
    <row r="16" spans="1:6" x14ac:dyDescent="0.25">
      <c r="A16">
        <v>16</v>
      </c>
      <c r="B16" s="20" t="s">
        <v>5189</v>
      </c>
      <c r="C16" t="str">
        <f t="shared" si="0"/>
        <v>Cheboygan County</v>
      </c>
      <c r="F16">
        <v>16</v>
      </c>
    </row>
    <row r="17" spans="1:6" x14ac:dyDescent="0.25">
      <c r="A17">
        <v>17</v>
      </c>
      <c r="B17" s="20" t="s">
        <v>5190</v>
      </c>
      <c r="C17" t="str">
        <f t="shared" si="0"/>
        <v>Chippewa County</v>
      </c>
      <c r="F17">
        <v>17</v>
      </c>
    </row>
    <row r="18" spans="1:6" x14ac:dyDescent="0.25">
      <c r="A18">
        <v>18</v>
      </c>
      <c r="B18" s="20" t="s">
        <v>5191</v>
      </c>
      <c r="C18" t="str">
        <f t="shared" si="0"/>
        <v>Clare County</v>
      </c>
      <c r="F18">
        <v>18</v>
      </c>
    </row>
    <row r="19" spans="1:6" x14ac:dyDescent="0.25">
      <c r="A19">
        <v>19</v>
      </c>
      <c r="B19" s="20" t="s">
        <v>5192</v>
      </c>
      <c r="C19" t="str">
        <f t="shared" si="0"/>
        <v>Clinton County</v>
      </c>
      <c r="F19">
        <v>19</v>
      </c>
    </row>
    <row r="20" spans="1:6" x14ac:dyDescent="0.25">
      <c r="A20">
        <v>20</v>
      </c>
      <c r="B20" s="20" t="s">
        <v>5193</v>
      </c>
      <c r="C20" t="str">
        <f t="shared" si="0"/>
        <v>Crawford County</v>
      </c>
      <c r="F20">
        <v>20</v>
      </c>
    </row>
    <row r="21" spans="1:6" x14ac:dyDescent="0.25">
      <c r="A21">
        <v>21</v>
      </c>
      <c r="B21" s="20" t="s">
        <v>5194</v>
      </c>
      <c r="C21" t="str">
        <f t="shared" si="0"/>
        <v>Delta County</v>
      </c>
      <c r="F21">
        <v>21</v>
      </c>
    </row>
    <row r="22" spans="1:6" x14ac:dyDescent="0.25">
      <c r="A22">
        <v>22</v>
      </c>
      <c r="B22" s="20" t="s">
        <v>5195</v>
      </c>
      <c r="C22" t="str">
        <f t="shared" si="0"/>
        <v>Dickinson County</v>
      </c>
      <c r="F22">
        <v>22</v>
      </c>
    </row>
    <row r="23" spans="1:6" x14ac:dyDescent="0.25">
      <c r="A23">
        <v>23</v>
      </c>
      <c r="B23" s="20" t="s">
        <v>5196</v>
      </c>
      <c r="C23" t="str">
        <f t="shared" si="0"/>
        <v>Eaton County</v>
      </c>
      <c r="F23">
        <v>23</v>
      </c>
    </row>
    <row r="24" spans="1:6" x14ac:dyDescent="0.25">
      <c r="A24">
        <v>24</v>
      </c>
      <c r="B24" s="20" t="s">
        <v>5197</v>
      </c>
      <c r="C24" t="str">
        <f t="shared" si="0"/>
        <v>Emmet County</v>
      </c>
      <c r="F24">
        <v>24</v>
      </c>
    </row>
    <row r="25" spans="1:6" x14ac:dyDescent="0.25">
      <c r="A25">
        <v>25</v>
      </c>
      <c r="B25" s="20" t="s">
        <v>5198</v>
      </c>
      <c r="C25" t="str">
        <f t="shared" si="0"/>
        <v>Genesee County</v>
      </c>
      <c r="F25">
        <v>25</v>
      </c>
    </row>
    <row r="26" spans="1:6" x14ac:dyDescent="0.25">
      <c r="A26">
        <v>26</v>
      </c>
      <c r="B26" s="20" t="s">
        <v>5199</v>
      </c>
      <c r="C26" t="str">
        <f t="shared" si="0"/>
        <v>Gladwin County</v>
      </c>
      <c r="F26">
        <v>26</v>
      </c>
    </row>
    <row r="27" spans="1:6" x14ac:dyDescent="0.25">
      <c r="A27">
        <v>27</v>
      </c>
      <c r="B27" s="20" t="s">
        <v>5200</v>
      </c>
      <c r="C27" t="str">
        <f t="shared" si="0"/>
        <v>Gogebic County</v>
      </c>
      <c r="F27">
        <v>27</v>
      </c>
    </row>
    <row r="28" spans="1:6" x14ac:dyDescent="0.25">
      <c r="A28">
        <v>28</v>
      </c>
      <c r="B28" s="20" t="s">
        <v>5201</v>
      </c>
      <c r="C28" t="str">
        <f t="shared" si="0"/>
        <v>Grand Traverse County</v>
      </c>
      <c r="F28">
        <v>28</v>
      </c>
    </row>
    <row r="29" spans="1:6" x14ac:dyDescent="0.25">
      <c r="A29">
        <v>29</v>
      </c>
      <c r="B29" s="20" t="s">
        <v>5202</v>
      </c>
      <c r="C29" t="str">
        <f t="shared" si="0"/>
        <v>Gratiot County</v>
      </c>
      <c r="F29">
        <v>29</v>
      </c>
    </row>
    <row r="30" spans="1:6" x14ac:dyDescent="0.25">
      <c r="A30">
        <v>30</v>
      </c>
      <c r="B30" s="20" t="s">
        <v>5203</v>
      </c>
      <c r="C30" t="str">
        <f t="shared" si="0"/>
        <v>Hillsdale County</v>
      </c>
      <c r="F30">
        <v>30</v>
      </c>
    </row>
    <row r="31" spans="1:6" x14ac:dyDescent="0.25">
      <c r="A31">
        <v>31</v>
      </c>
      <c r="B31" s="20" t="s">
        <v>5204</v>
      </c>
      <c r="C31" t="str">
        <f t="shared" si="0"/>
        <v>Houghton County</v>
      </c>
      <c r="F31">
        <v>31</v>
      </c>
    </row>
    <row r="32" spans="1:6" x14ac:dyDescent="0.25">
      <c r="A32">
        <v>32</v>
      </c>
      <c r="B32" s="20" t="s">
        <v>5205</v>
      </c>
      <c r="C32" t="str">
        <f t="shared" si="0"/>
        <v>Huron County</v>
      </c>
      <c r="F32">
        <v>32</v>
      </c>
    </row>
    <row r="33" spans="1:6" x14ac:dyDescent="0.25">
      <c r="A33">
        <v>33</v>
      </c>
      <c r="B33" s="20" t="s">
        <v>5206</v>
      </c>
      <c r="C33" t="str">
        <f t="shared" si="0"/>
        <v>Ingham County</v>
      </c>
      <c r="F33">
        <v>33</v>
      </c>
    </row>
    <row r="34" spans="1:6" x14ac:dyDescent="0.25">
      <c r="A34">
        <v>34</v>
      </c>
      <c r="B34" s="20" t="s">
        <v>5207</v>
      </c>
      <c r="C34" t="str">
        <f t="shared" si="0"/>
        <v>Ionia County</v>
      </c>
      <c r="F34">
        <v>34</v>
      </c>
    </row>
    <row r="35" spans="1:6" x14ac:dyDescent="0.25">
      <c r="A35">
        <v>35</v>
      </c>
      <c r="B35" s="20" t="s">
        <v>5208</v>
      </c>
      <c r="C35" t="str">
        <f t="shared" si="0"/>
        <v>Iosco County</v>
      </c>
      <c r="F35">
        <v>35</v>
      </c>
    </row>
    <row r="36" spans="1:6" x14ac:dyDescent="0.25">
      <c r="A36">
        <v>36</v>
      </c>
      <c r="B36" s="20" t="s">
        <v>5209</v>
      </c>
      <c r="C36" t="str">
        <f t="shared" si="0"/>
        <v>Iron County</v>
      </c>
      <c r="F36">
        <v>36</v>
      </c>
    </row>
    <row r="37" spans="1:6" x14ac:dyDescent="0.25">
      <c r="A37">
        <v>37</v>
      </c>
      <c r="B37" s="20" t="s">
        <v>5210</v>
      </c>
      <c r="C37" t="str">
        <f t="shared" si="0"/>
        <v>Isabella County</v>
      </c>
      <c r="F37">
        <v>37</v>
      </c>
    </row>
    <row r="38" spans="1:6" x14ac:dyDescent="0.25">
      <c r="A38">
        <v>38</v>
      </c>
      <c r="B38" s="20" t="s">
        <v>5211</v>
      </c>
      <c r="C38" t="str">
        <f t="shared" si="0"/>
        <v>Jackson County</v>
      </c>
      <c r="F38">
        <v>38</v>
      </c>
    </row>
    <row r="39" spans="1:6" x14ac:dyDescent="0.25">
      <c r="A39">
        <v>39</v>
      </c>
      <c r="B39" s="20" t="s">
        <v>5212</v>
      </c>
      <c r="C39" t="str">
        <f t="shared" si="0"/>
        <v>Kalamazoo County</v>
      </c>
      <c r="F39">
        <v>39</v>
      </c>
    </row>
    <row r="40" spans="1:6" x14ac:dyDescent="0.25">
      <c r="A40">
        <v>40</v>
      </c>
      <c r="B40" s="20" t="s">
        <v>5213</v>
      </c>
      <c r="C40" t="str">
        <f t="shared" si="0"/>
        <v>Kalkaska County</v>
      </c>
      <c r="F40">
        <v>40</v>
      </c>
    </row>
    <row r="41" spans="1:6" x14ac:dyDescent="0.25">
      <c r="A41">
        <v>41</v>
      </c>
      <c r="B41" s="20" t="s">
        <v>5214</v>
      </c>
      <c r="C41" t="str">
        <f t="shared" si="0"/>
        <v>Kent County</v>
      </c>
      <c r="F41">
        <v>41</v>
      </c>
    </row>
    <row r="42" spans="1:6" x14ac:dyDescent="0.25">
      <c r="A42">
        <v>42</v>
      </c>
      <c r="B42" s="20" t="s">
        <v>5215</v>
      </c>
      <c r="C42" t="str">
        <f t="shared" si="0"/>
        <v>Keweenaw County</v>
      </c>
      <c r="F42">
        <v>42</v>
      </c>
    </row>
    <row r="43" spans="1:6" x14ac:dyDescent="0.25">
      <c r="A43">
        <v>43</v>
      </c>
      <c r="B43" s="20" t="s">
        <v>5216</v>
      </c>
      <c r="C43" t="str">
        <f t="shared" si="0"/>
        <v>Lake County</v>
      </c>
      <c r="F43">
        <v>43</v>
      </c>
    </row>
    <row r="44" spans="1:6" x14ac:dyDescent="0.25">
      <c r="A44">
        <v>44</v>
      </c>
      <c r="B44" s="20" t="s">
        <v>5217</v>
      </c>
      <c r="C44" t="str">
        <f t="shared" si="0"/>
        <v>Lapeer County</v>
      </c>
      <c r="F44">
        <v>44</v>
      </c>
    </row>
    <row r="45" spans="1:6" x14ac:dyDescent="0.25">
      <c r="A45">
        <v>45</v>
      </c>
      <c r="B45" s="20" t="s">
        <v>5218</v>
      </c>
      <c r="C45" t="str">
        <f t="shared" si="0"/>
        <v>Leelanau County</v>
      </c>
      <c r="F45">
        <v>45</v>
      </c>
    </row>
    <row r="46" spans="1:6" x14ac:dyDescent="0.25">
      <c r="A46">
        <v>46</v>
      </c>
      <c r="B46" s="20" t="s">
        <v>5219</v>
      </c>
      <c r="C46" t="str">
        <f t="shared" si="0"/>
        <v>Lenawee County</v>
      </c>
      <c r="F46">
        <v>46</v>
      </c>
    </row>
    <row r="47" spans="1:6" x14ac:dyDescent="0.25">
      <c r="A47">
        <v>47</v>
      </c>
      <c r="B47" s="20" t="s">
        <v>5220</v>
      </c>
      <c r="C47" t="str">
        <f t="shared" si="0"/>
        <v>Livingston County</v>
      </c>
      <c r="F47">
        <v>47</v>
      </c>
    </row>
    <row r="48" spans="1:6" x14ac:dyDescent="0.25">
      <c r="A48">
        <v>48</v>
      </c>
      <c r="B48" s="20" t="s">
        <v>5221</v>
      </c>
      <c r="C48" t="str">
        <f t="shared" si="0"/>
        <v>Luce County</v>
      </c>
      <c r="F48">
        <v>48</v>
      </c>
    </row>
    <row r="49" spans="1:6" x14ac:dyDescent="0.25">
      <c r="A49">
        <v>49</v>
      </c>
      <c r="B49" s="20" t="s">
        <v>5222</v>
      </c>
      <c r="C49" t="str">
        <f t="shared" si="0"/>
        <v>Mackinac County</v>
      </c>
      <c r="F49">
        <v>49</v>
      </c>
    </row>
    <row r="50" spans="1:6" x14ac:dyDescent="0.25">
      <c r="A50">
        <v>50</v>
      </c>
      <c r="B50" s="20" t="s">
        <v>5223</v>
      </c>
      <c r="C50" t="str">
        <f t="shared" si="0"/>
        <v>Macomb County</v>
      </c>
      <c r="F50">
        <v>50</v>
      </c>
    </row>
    <row r="51" spans="1:6" x14ac:dyDescent="0.25">
      <c r="A51">
        <v>51</v>
      </c>
      <c r="B51" s="20" t="s">
        <v>5224</v>
      </c>
      <c r="C51" t="str">
        <f t="shared" si="0"/>
        <v>Manistee County</v>
      </c>
      <c r="F51">
        <v>51</v>
      </c>
    </row>
    <row r="52" spans="1:6" x14ac:dyDescent="0.25">
      <c r="A52">
        <v>52</v>
      </c>
      <c r="B52" s="20" t="s">
        <v>5225</v>
      </c>
      <c r="C52" t="str">
        <f t="shared" si="0"/>
        <v>Marquette County</v>
      </c>
      <c r="F52">
        <v>52</v>
      </c>
    </row>
    <row r="53" spans="1:6" x14ac:dyDescent="0.25">
      <c r="A53">
        <v>53</v>
      </c>
      <c r="B53" s="20" t="s">
        <v>5226</v>
      </c>
      <c r="C53" t="str">
        <f t="shared" si="0"/>
        <v>Mason County</v>
      </c>
      <c r="F53">
        <v>53</v>
      </c>
    </row>
    <row r="54" spans="1:6" x14ac:dyDescent="0.25">
      <c r="A54">
        <v>54</v>
      </c>
      <c r="B54" s="20" t="s">
        <v>5227</v>
      </c>
      <c r="C54" t="str">
        <f t="shared" si="0"/>
        <v>Mecosta County</v>
      </c>
      <c r="F54">
        <v>54</v>
      </c>
    </row>
    <row r="55" spans="1:6" x14ac:dyDescent="0.25">
      <c r="A55">
        <v>55</v>
      </c>
      <c r="B55" s="20" t="s">
        <v>5228</v>
      </c>
      <c r="C55" t="str">
        <f t="shared" si="0"/>
        <v>Menominee County</v>
      </c>
      <c r="F55">
        <v>55</v>
      </c>
    </row>
    <row r="56" spans="1:6" x14ac:dyDescent="0.25">
      <c r="A56">
        <v>56</v>
      </c>
      <c r="B56" s="20" t="s">
        <v>5229</v>
      </c>
      <c r="C56" t="str">
        <f t="shared" si="0"/>
        <v>Midland County</v>
      </c>
      <c r="F56">
        <v>56</v>
      </c>
    </row>
    <row r="57" spans="1:6" x14ac:dyDescent="0.25">
      <c r="A57">
        <v>57</v>
      </c>
      <c r="B57" s="20" t="s">
        <v>5230</v>
      </c>
      <c r="C57" t="str">
        <f t="shared" si="0"/>
        <v>Missaukee County</v>
      </c>
      <c r="F57">
        <v>57</v>
      </c>
    </row>
    <row r="58" spans="1:6" x14ac:dyDescent="0.25">
      <c r="A58">
        <v>58</v>
      </c>
      <c r="B58" s="20" t="s">
        <v>5231</v>
      </c>
      <c r="C58" t="str">
        <f t="shared" si="0"/>
        <v>Monroe County</v>
      </c>
      <c r="F58">
        <v>58</v>
      </c>
    </row>
    <row r="59" spans="1:6" x14ac:dyDescent="0.25">
      <c r="A59">
        <v>59</v>
      </c>
      <c r="B59" s="20" t="s">
        <v>5232</v>
      </c>
      <c r="C59" t="str">
        <f t="shared" si="0"/>
        <v>Montcalm County</v>
      </c>
      <c r="F59">
        <v>59</v>
      </c>
    </row>
    <row r="60" spans="1:6" x14ac:dyDescent="0.25">
      <c r="A60">
        <v>60</v>
      </c>
      <c r="B60" s="20" t="s">
        <v>5233</v>
      </c>
      <c r="C60" t="str">
        <f t="shared" si="0"/>
        <v>Montmorency County</v>
      </c>
      <c r="F60">
        <v>60</v>
      </c>
    </row>
    <row r="61" spans="1:6" x14ac:dyDescent="0.25">
      <c r="A61">
        <v>61</v>
      </c>
      <c r="B61" s="20" t="s">
        <v>5234</v>
      </c>
      <c r="C61" t="str">
        <f t="shared" si="0"/>
        <v>Muskegon County</v>
      </c>
      <c r="F61">
        <v>61</v>
      </c>
    </row>
    <row r="62" spans="1:6" x14ac:dyDescent="0.25">
      <c r="A62">
        <v>62</v>
      </c>
      <c r="B62" s="20" t="s">
        <v>5235</v>
      </c>
      <c r="C62" t="str">
        <f t="shared" si="0"/>
        <v>Newaygo County</v>
      </c>
      <c r="F62">
        <v>62</v>
      </c>
    </row>
    <row r="63" spans="1:6" x14ac:dyDescent="0.25">
      <c r="A63">
        <v>63</v>
      </c>
      <c r="B63" s="20" t="s">
        <v>5236</v>
      </c>
      <c r="C63" t="str">
        <f t="shared" si="0"/>
        <v>Oakland County</v>
      </c>
      <c r="F63">
        <v>63</v>
      </c>
    </row>
    <row r="64" spans="1:6" x14ac:dyDescent="0.25">
      <c r="A64">
        <v>64</v>
      </c>
      <c r="B64" s="20" t="s">
        <v>5237</v>
      </c>
      <c r="C64" t="str">
        <f t="shared" si="0"/>
        <v>Oceana County</v>
      </c>
      <c r="F64">
        <v>64</v>
      </c>
    </row>
    <row r="65" spans="1:6" x14ac:dyDescent="0.25">
      <c r="A65">
        <v>65</v>
      </c>
      <c r="B65" s="20" t="s">
        <v>5238</v>
      </c>
      <c r="C65" t="str">
        <f t="shared" si="0"/>
        <v>Ogemaw County</v>
      </c>
      <c r="F65">
        <v>65</v>
      </c>
    </row>
    <row r="66" spans="1:6" x14ac:dyDescent="0.25">
      <c r="A66">
        <v>66</v>
      </c>
      <c r="B66" s="20" t="s">
        <v>5239</v>
      </c>
      <c r="C66" t="str">
        <f t="shared" ref="C66:C83" si="1">B66&amp;" County"</f>
        <v>Ontonagon County</v>
      </c>
      <c r="F66">
        <v>66</v>
      </c>
    </row>
    <row r="67" spans="1:6" x14ac:dyDescent="0.25">
      <c r="A67">
        <v>67</v>
      </c>
      <c r="B67" s="20" t="s">
        <v>5240</v>
      </c>
      <c r="C67" t="str">
        <f t="shared" si="1"/>
        <v>Osceola County</v>
      </c>
      <c r="F67">
        <v>67</v>
      </c>
    </row>
    <row r="68" spans="1:6" x14ac:dyDescent="0.25">
      <c r="A68">
        <v>68</v>
      </c>
      <c r="B68" s="20" t="s">
        <v>5241</v>
      </c>
      <c r="C68" t="str">
        <f t="shared" si="1"/>
        <v>Oscoda County</v>
      </c>
      <c r="F68">
        <v>68</v>
      </c>
    </row>
    <row r="69" spans="1:6" x14ac:dyDescent="0.25">
      <c r="A69">
        <v>69</v>
      </c>
      <c r="B69" s="20" t="s">
        <v>5242</v>
      </c>
      <c r="C69" t="str">
        <f t="shared" si="1"/>
        <v>Otsego County</v>
      </c>
      <c r="F69">
        <v>69</v>
      </c>
    </row>
    <row r="70" spans="1:6" x14ac:dyDescent="0.25">
      <c r="A70">
        <v>70</v>
      </c>
      <c r="B70" s="20" t="s">
        <v>5243</v>
      </c>
      <c r="C70" t="str">
        <f t="shared" si="1"/>
        <v>Ottawa County</v>
      </c>
      <c r="F70">
        <v>70</v>
      </c>
    </row>
    <row r="71" spans="1:6" x14ac:dyDescent="0.25">
      <c r="A71">
        <v>71</v>
      </c>
      <c r="B71" s="20" t="s">
        <v>5244</v>
      </c>
      <c r="C71" t="str">
        <f t="shared" si="1"/>
        <v>Presque Isle County</v>
      </c>
      <c r="F71">
        <v>71</v>
      </c>
    </row>
    <row r="72" spans="1:6" x14ac:dyDescent="0.25">
      <c r="A72">
        <v>72</v>
      </c>
      <c r="B72" s="20" t="s">
        <v>5245</v>
      </c>
      <c r="C72" t="str">
        <f t="shared" si="1"/>
        <v>Roscommon County</v>
      </c>
      <c r="F72">
        <v>72</v>
      </c>
    </row>
    <row r="73" spans="1:6" x14ac:dyDescent="0.25">
      <c r="A73">
        <v>73</v>
      </c>
      <c r="B73" s="20" t="s">
        <v>5246</v>
      </c>
      <c r="C73" t="str">
        <f t="shared" si="1"/>
        <v>Saginaw County</v>
      </c>
      <c r="F73">
        <v>73</v>
      </c>
    </row>
    <row r="74" spans="1:6" x14ac:dyDescent="0.25">
      <c r="A74">
        <v>74</v>
      </c>
      <c r="B74" s="20" t="s">
        <v>5247</v>
      </c>
      <c r="C74" t="str">
        <f t="shared" si="1"/>
        <v>St. Clair County</v>
      </c>
      <c r="F74">
        <v>74</v>
      </c>
    </row>
    <row r="75" spans="1:6" x14ac:dyDescent="0.25">
      <c r="A75">
        <v>75</v>
      </c>
      <c r="B75" s="20" t="s">
        <v>5248</v>
      </c>
      <c r="C75" t="str">
        <f t="shared" si="1"/>
        <v>St. Joseph County</v>
      </c>
      <c r="F75">
        <v>75</v>
      </c>
    </row>
    <row r="76" spans="1:6" x14ac:dyDescent="0.25">
      <c r="A76">
        <v>76</v>
      </c>
      <c r="B76" s="20" t="s">
        <v>5249</v>
      </c>
      <c r="C76" t="str">
        <f t="shared" si="1"/>
        <v>Sanilac County</v>
      </c>
      <c r="F76">
        <v>76</v>
      </c>
    </row>
    <row r="77" spans="1:6" x14ac:dyDescent="0.25">
      <c r="A77">
        <v>77</v>
      </c>
      <c r="B77" s="20" t="s">
        <v>5250</v>
      </c>
      <c r="C77" t="str">
        <f t="shared" si="1"/>
        <v>Schoolcraft County</v>
      </c>
      <c r="F77">
        <v>77</v>
      </c>
    </row>
    <row r="78" spans="1:6" x14ac:dyDescent="0.25">
      <c r="A78">
        <v>78</v>
      </c>
      <c r="B78" s="20" t="s">
        <v>5251</v>
      </c>
      <c r="C78" t="str">
        <f t="shared" si="1"/>
        <v>Shiawassee County</v>
      </c>
      <c r="F78">
        <v>78</v>
      </c>
    </row>
    <row r="79" spans="1:6" x14ac:dyDescent="0.25">
      <c r="A79">
        <v>79</v>
      </c>
      <c r="B79" s="20" t="s">
        <v>5252</v>
      </c>
      <c r="C79" t="str">
        <f t="shared" si="1"/>
        <v>Tuscola County</v>
      </c>
      <c r="F79">
        <v>79</v>
      </c>
    </row>
    <row r="80" spans="1:6" x14ac:dyDescent="0.25">
      <c r="A80">
        <v>80</v>
      </c>
      <c r="B80" s="20" t="s">
        <v>5253</v>
      </c>
      <c r="C80" t="str">
        <f t="shared" si="1"/>
        <v>Van Buren County</v>
      </c>
      <c r="F80">
        <v>80</v>
      </c>
    </row>
    <row r="81" spans="1:6" x14ac:dyDescent="0.25">
      <c r="A81">
        <v>81</v>
      </c>
      <c r="B81" s="20" t="s">
        <v>5254</v>
      </c>
      <c r="C81" t="str">
        <f t="shared" si="1"/>
        <v>Washtenaw County</v>
      </c>
      <c r="F81">
        <v>81</v>
      </c>
    </row>
    <row r="82" spans="1:6" x14ac:dyDescent="0.25">
      <c r="A82">
        <v>82</v>
      </c>
      <c r="B82" s="20" t="s">
        <v>5255</v>
      </c>
      <c r="C82" t="str">
        <f t="shared" si="1"/>
        <v>Wayne County</v>
      </c>
      <c r="F82">
        <v>82</v>
      </c>
    </row>
    <row r="83" spans="1:6" x14ac:dyDescent="0.25">
      <c r="A83">
        <v>83</v>
      </c>
      <c r="B83" s="20" t="s">
        <v>5256</v>
      </c>
      <c r="C83" t="str">
        <f t="shared" si="1"/>
        <v>Wexford County</v>
      </c>
      <c r="F83">
        <v>83</v>
      </c>
    </row>
    <row r="84" spans="1:6" x14ac:dyDescent="0.25">
      <c r="A84" s="21"/>
      <c r="B84" s="21"/>
    </row>
  </sheetData>
  <mergeCells count="1">
    <mergeCell ref="A84:B84"/>
  </mergeCells>
  <hyperlinks>
    <hyperlink ref="B1" r:id="rId1" display="http://www.alconacountymi.com/" xr:uid="{15954307-8815-4105-A885-5CFC1C1DCE1C}"/>
    <hyperlink ref="B2" r:id="rId2" display="http://www.algercounty.org/index.php" xr:uid="{9370C9E7-D996-40F3-81AC-C5F508E62FEC}"/>
    <hyperlink ref="B3" r:id="rId3" display="http://www.allegancounty.org/" xr:uid="{96C5D74A-E581-4B2C-9471-733DCEDF9C38}"/>
    <hyperlink ref="B4" r:id="rId4" display="http://www.alpenacounty.org/" xr:uid="{5FC2363A-CC78-4920-A9DA-D8FEA6EB31CE}"/>
    <hyperlink ref="B5" r:id="rId5" display="http://www.antrimcounty.org/" xr:uid="{31062D0D-D70F-4296-8979-DA20C3787CF1}"/>
    <hyperlink ref="B6" r:id="rId6" display="http://www.arenaccountygov.com/" xr:uid="{FD4CCEC9-FD43-4532-8F4A-451B9F0DD172}"/>
    <hyperlink ref="B7" r:id="rId7" display="http://www.baragacounty.org/" xr:uid="{A032D91A-D111-4CB8-908A-7018D6131DD1}"/>
    <hyperlink ref="B8" r:id="rId8" display="http://www.barrycounty.org/" xr:uid="{6A604FF7-6C36-4F4B-94D1-163CE089F8C3}"/>
    <hyperlink ref="B9" r:id="rId9" display="http://www.baycounty-mi.gov/" xr:uid="{1C3AF05D-447F-4247-B15B-50D320F8B3A1}"/>
    <hyperlink ref="B10" r:id="rId10" display="http://www.benzieco.net/" xr:uid="{630EBD04-C525-403C-ADFC-C7438783366A}"/>
    <hyperlink ref="B11" r:id="rId11" display="http://www.berriencounty.org/" xr:uid="{0203F266-C44E-45A4-BDD1-711BE78815B2}"/>
    <hyperlink ref="B12" r:id="rId12" display="http://co.branch.mi.us/" xr:uid="{B2FCB469-A3AC-4505-A3E6-52D314639AC2}"/>
    <hyperlink ref="B13" r:id="rId13" display="http://www.calhouncountymi.gov/" xr:uid="{73C445BE-9E1C-4E44-A779-E1C925AA59FF}"/>
    <hyperlink ref="B14" r:id="rId14" display="http://www.casscountymi.org/Home.aspx" xr:uid="{EF2C8F4B-1DC7-4FE6-A0D8-9528C5DD1433}"/>
    <hyperlink ref="B15" r:id="rId15" display="http://www.charlevoixcounty.org/" xr:uid="{C13F2CFE-47C3-45E8-AAF9-62894DFE5F00}"/>
    <hyperlink ref="B16" r:id="rId16" display="http://www.cheboygancounty.net/" xr:uid="{9AEE03A2-0D71-4F9E-A578-3A08E79430E2}"/>
    <hyperlink ref="B17" r:id="rId17" display="http://www.chippewacountymi.gov/" xr:uid="{39F85257-FDEC-4444-BFDA-59E35014F3EF}"/>
    <hyperlink ref="B18" r:id="rId18" display="http://www.clareco.net/" xr:uid="{59FC7C02-C91B-4A98-A3AC-F9585E3C651E}"/>
    <hyperlink ref="B19" r:id="rId19" display="http://www.clinton-county.org/" xr:uid="{A7E96209-8EC3-4FD2-AE1E-63F71256A690}"/>
    <hyperlink ref="B20" r:id="rId20" display="http://www.crawfordco.org/" xr:uid="{8D6CE0C4-33D5-4281-B775-7C95854A1A62}"/>
    <hyperlink ref="B21" r:id="rId21" display="http://www.deltacountymi.org/" xr:uid="{731D21A2-9AE1-4E13-B19A-27EFB659B543}"/>
    <hyperlink ref="B22" r:id="rId22" display="http://www.dickinsoncountymi.gov/" xr:uid="{CCECC8FA-9110-47A2-936F-01AC5AB78C87}"/>
    <hyperlink ref="B23" r:id="rId23" display="http://www.eatoncounty.org/" xr:uid="{CA656A7A-11DD-4F98-B0D5-EB3B95274597}"/>
    <hyperlink ref="B24" r:id="rId24" display="http://www.emmetcounty.org/" xr:uid="{98C2D904-28A8-49D6-B064-6CF38AC91C86}"/>
    <hyperlink ref="B25" r:id="rId25" display="http://www.co.genesee.mi.us/" xr:uid="{BDC71F86-DF92-445D-98F9-A978B77B56EB}"/>
    <hyperlink ref="B26" r:id="rId26" display="http://www.gladwinco.com/" xr:uid="{7E9A3876-1D88-496D-8CC7-85520C0D8F6C}"/>
    <hyperlink ref="B27" r:id="rId27" display="http://www.gogebic.org/" xr:uid="{EC5E9768-2C83-4246-9E69-6828CF59FED5}"/>
    <hyperlink ref="B28" r:id="rId28" display="http://www.co.grand-traverse.mi.us/" xr:uid="{CAA421E3-EB6C-4DE0-9DDC-46D56C24C90F}"/>
    <hyperlink ref="B29" r:id="rId29" display="http://www.co.gratiot.mi.us/" xr:uid="{43E0416D-1F9A-49BB-8420-7192982EA9E9}"/>
    <hyperlink ref="B30" r:id="rId30" display="http://www.co.hillsdale.mi.us/" xr:uid="{CC41275D-D7BE-42E4-890A-73F84026AB58}"/>
    <hyperlink ref="B31" r:id="rId31" display="http://www.houghtoncounty.net/" xr:uid="{13AFBF15-D8EA-4022-8ACF-16973B146ED2}"/>
    <hyperlink ref="B32" r:id="rId32" display="http://www.huroncounty.com/" xr:uid="{BD5406C2-FEBC-4700-92E3-8B01FDDC089F}"/>
    <hyperlink ref="B33" r:id="rId33" display="http://www.ingham.org/" xr:uid="{C5E8A2BA-9815-4F0C-B26D-98EB4A652D8A}"/>
    <hyperlink ref="B34" r:id="rId34" display="http://www.ioniacounty.org/" xr:uid="{B0C78B5C-D2D7-4CD2-8E4E-15AB9A708D07}"/>
    <hyperlink ref="B35" r:id="rId35" display="http://www.iosco.net/" xr:uid="{0D0D4C2B-84F2-4FD0-8FFC-324A9A58C8A9}"/>
    <hyperlink ref="B36" r:id="rId36" display="http://www.iron.org/" xr:uid="{7B300C48-4172-4CE8-9815-21FFEDDE10B9}"/>
    <hyperlink ref="B37" r:id="rId37" display="http://www.isabellacounty.org/" xr:uid="{A4E916F0-3064-47EE-8689-DEDB7B37C656}"/>
    <hyperlink ref="B38" r:id="rId38" display="http://www.co.jackson.mi.us/" xr:uid="{85E482FD-C53A-4060-A660-359C1B45C49B}"/>
    <hyperlink ref="B39" r:id="rId39" display="http://www.kalcounty.com/" xr:uid="{F92DEE86-A060-498A-995C-B9EAED69CA28}"/>
    <hyperlink ref="B40" r:id="rId40" display="http://www.kalkaskacounty.net/" xr:uid="{D886BF44-4135-48C8-94F0-E7F19F48FF35}"/>
    <hyperlink ref="B41" r:id="rId41" display="http://www.kentcountymi.gov/" xr:uid="{F0E98BC2-A347-45BA-84FF-6E7399F561F3}"/>
    <hyperlink ref="B42" r:id="rId42" display="http://www.keweenawcountyonline.org/" xr:uid="{2A6C2BFA-FE83-451C-919D-37A636ED4347}"/>
    <hyperlink ref="B43" r:id="rId43" display="http://www.infomi.com/county/lake/" xr:uid="{68B1607C-B1D0-4AFC-A0D6-2F6BB75A22A6}"/>
    <hyperlink ref="B44" r:id="rId44" display="http://lapeercountyweb.org/" xr:uid="{32FE1A64-5DCD-43DB-9510-F56D72B58613}"/>
    <hyperlink ref="B45" r:id="rId45" display="http://www.leelanau.cc/" xr:uid="{84DCA1A8-7B81-4F66-8D60-138C3F690285}"/>
    <hyperlink ref="B46" r:id="rId46" display="http://www.lenawee.mi.us/" xr:uid="{24152974-844A-48ED-930A-999EEA4EC78E}"/>
    <hyperlink ref="B47" r:id="rId47" display="http://www.livgov.com/Pages/default.aspx" xr:uid="{E14DC06E-68A6-41F5-934F-858AE7B43C14}"/>
    <hyperlink ref="B48" r:id="rId48" display="http://www.lucecountymi.org/" xr:uid="{CC4179E4-3A13-4758-B43A-76CBB5410A6F}"/>
    <hyperlink ref="B49" r:id="rId49" display="http://www.mackinaccounty.net/" xr:uid="{876349B8-C365-4081-97CE-3A37350F9905}"/>
    <hyperlink ref="B50" r:id="rId50" display="http://www.macombcountymi.gov/" xr:uid="{FF1D3686-E139-4328-B4A7-F3303F1C0BDF}"/>
    <hyperlink ref="B51" r:id="rId51" display="http://www.manisteecounty.com/" xr:uid="{B0F614EB-E555-417A-BABB-875F19B91A43}"/>
    <hyperlink ref="B52" r:id="rId52" display="http://www.co.marquette.mi.us/" xr:uid="{109816B6-2584-41BF-AC80-A2DE7C7CAF7B}"/>
    <hyperlink ref="B53" r:id="rId53" display="http://www.masoncounty.net/" xr:uid="{3665270F-12FE-45FF-AE8D-8D4270B30DD8}"/>
    <hyperlink ref="B54" r:id="rId54" display="http://www.co.mecosta.mi.us/" xr:uid="{909FA487-5220-4507-997B-C86FFC0A90BD}"/>
    <hyperlink ref="B55" r:id="rId55" display="http://www.menomineecounty.com/" xr:uid="{3733E7F2-343A-4A67-832B-682F34E03C56}"/>
    <hyperlink ref="B56" r:id="rId56" display="http://www.co.midland.mi.us/" xr:uid="{B4D5127C-2F7D-4BBD-98DB-9EA01703FC2F}"/>
    <hyperlink ref="B57" r:id="rId57" display="http://www.missaukee.org/" xr:uid="{1283A854-B81A-4516-9FE0-859E0D38B254}"/>
    <hyperlink ref="B58" r:id="rId58" display="http://www.co.monroe.mi.us/" xr:uid="{C0AF9DA0-495A-4634-A843-F62AA1A768E0}"/>
    <hyperlink ref="B59" r:id="rId59" display="http://www.montcalm.org/" xr:uid="{246AEFF5-E591-4566-BBD6-96A3DF8DB1F5}"/>
    <hyperlink ref="B60" r:id="rId60" display="http://www.montmorencycountymichigan.us/" xr:uid="{4087766A-9F8F-4EA1-841D-5884087631AB}"/>
    <hyperlink ref="B61" r:id="rId61" display="http://co.muskegon.mi.us/" xr:uid="{FB827043-AECA-4254-9BAD-422A20101C71}"/>
    <hyperlink ref="B62" r:id="rId62" display="http://www.countyofnewaygo.com/" xr:uid="{23D90604-CA86-4FED-BC81-29149A7F21DC}"/>
    <hyperlink ref="B63" r:id="rId63" display="http://www.oakgov.com/" xr:uid="{0F939429-B435-45D9-A3AC-6806C3A2A570}"/>
    <hyperlink ref="B64" r:id="rId64" display="http://www.co.oceana.mi.us/" xr:uid="{D0A955E0-1AE5-4893-8CD4-E823EE2735B5}"/>
    <hyperlink ref="B65" r:id="rId65" display="http://www.ogemawcountymi.gov/index.php" xr:uid="{38606728-F9B2-4C4F-97EC-062EC3EF2871}"/>
    <hyperlink ref="B66" r:id="rId66" display="http://ontonagonmi.org/" xr:uid="{035CD19E-7E3A-41AC-A528-605E43F5231E}"/>
    <hyperlink ref="B67" r:id="rId67" display="http://www.osceola-county.org/" xr:uid="{2E5822EC-4566-44FB-8811-A97529474F69}"/>
    <hyperlink ref="B68" r:id="rId68" display="http://www.oscodacountymi.com/" xr:uid="{257BC0F7-DC90-4230-969D-0315D9F9A53C}"/>
    <hyperlink ref="B69" r:id="rId69" display="http://www.otsegocountymi.gov/" xr:uid="{131E357C-49FB-4FEC-BFEF-EAFA4574CADB}"/>
    <hyperlink ref="B70" r:id="rId70" display="http://www.co.ottawa.mi.us/" xr:uid="{C53B74A1-9DDA-4C1C-BDB7-A9CD724B7A6F}"/>
    <hyperlink ref="B71" r:id="rId71" display="http://www.presqueislecounty.org/" xr:uid="{4A28CA94-BE3C-4A58-9067-9741009DE66E}"/>
    <hyperlink ref="B72" r:id="rId72" display="http://www.roscommoncounty.net/" xr:uid="{B3C30A1B-965F-41EF-8BE0-30959AF95F65}"/>
    <hyperlink ref="B73" r:id="rId73" display="http://www.saginawcounty.com/" xr:uid="{EB1CC1F0-8A7B-4600-82B0-D6F3259B9279}"/>
    <hyperlink ref="B74" r:id="rId74" display="http://www.stclaircounty.org/" xr:uid="{BBBC64C7-85DE-4351-9213-01F423B2DA85}"/>
    <hyperlink ref="B75" r:id="rId75" display="http://www.stjosephcountymi.org/" xr:uid="{B67D8DDC-0FAF-46A9-B097-441BB0A19C4F}"/>
    <hyperlink ref="B76" r:id="rId76" display="http://www.sanilaccounty.net/" xr:uid="{D58F3EEF-8998-4471-A8C1-E8241511B923}"/>
    <hyperlink ref="B77" r:id="rId77" display="http://www.schoolcraftcounty.net/home.php" xr:uid="{4BFAEF12-2966-4A84-96EC-4B781B9CCC8E}"/>
    <hyperlink ref="B78" r:id="rId78" display="http://www.shiawassee.net/" xr:uid="{D1899D57-5624-4AD3-B742-A4A84D4B489A}"/>
    <hyperlink ref="B79" r:id="rId79" display="http://www.tuscolacounty.org/" xr:uid="{ACB1BE21-D79D-4944-8790-D6063EEC5A6B}"/>
    <hyperlink ref="B80" r:id="rId80" display="http://www.vbco.org/" xr:uid="{3728BFFC-5F45-4E29-8CC2-BAC4A4F814F8}"/>
    <hyperlink ref="B81" r:id="rId81" display="http://www.ewashtenaw.org/" xr:uid="{158E16A9-03AD-4747-9C00-B831B52B68F4}"/>
    <hyperlink ref="B82" r:id="rId82" display="http://www.waynecounty.com/" xr:uid="{6FE1B9F8-51EE-4865-8E18-60797B299B6A}"/>
    <hyperlink ref="B83" r:id="rId83" display="http://www.wexfordcounty.org/" xr:uid="{161296C8-0A49-4B67-8837-84538CB6E9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703BA-C9D6-429E-879A-8A6BC3D18103}">
  <sheetPr codeName="Sheet2" filterMode="1"/>
  <dimension ref="A1:C2799"/>
  <sheetViews>
    <sheetView topLeftCell="A2294" workbookViewId="0">
      <selection activeCell="A2805" sqref="A2805"/>
    </sheetView>
  </sheetViews>
  <sheetFormatPr defaultRowHeight="15" x14ac:dyDescent="0.25"/>
  <cols>
    <col min="1" max="1" width="68.7109375" bestFit="1" customWidth="1"/>
  </cols>
  <sheetData>
    <row r="1" spans="1:3" x14ac:dyDescent="0.25">
      <c r="A1" t="s">
        <v>5171</v>
      </c>
      <c r="B1" t="s">
        <v>5172</v>
      </c>
      <c r="C1" t="s">
        <v>5173</v>
      </c>
    </row>
    <row r="2" spans="1:3" hidden="1" x14ac:dyDescent="0.25">
      <c r="A2" t="s">
        <v>4957</v>
      </c>
      <c r="B2">
        <v>2657</v>
      </c>
      <c r="C2" t="b">
        <f>A2=A1</f>
        <v>0</v>
      </c>
    </row>
    <row r="3" spans="1:3" hidden="1" x14ac:dyDescent="0.25">
      <c r="A3" t="s">
        <v>5026</v>
      </c>
      <c r="B3">
        <v>2729</v>
      </c>
      <c r="C3" t="b">
        <f t="shared" ref="C3:C66" si="0">A3=A2</f>
        <v>0</v>
      </c>
    </row>
    <row r="4" spans="1:3" hidden="1" x14ac:dyDescent="0.25">
      <c r="A4" t="s">
        <v>5027</v>
      </c>
      <c r="B4">
        <v>2730</v>
      </c>
      <c r="C4" t="b">
        <f t="shared" si="0"/>
        <v>0</v>
      </c>
    </row>
    <row r="5" spans="1:3" hidden="1" x14ac:dyDescent="0.25">
      <c r="A5" t="s">
        <v>5028</v>
      </c>
      <c r="B5">
        <v>2731</v>
      </c>
      <c r="C5" t="b">
        <f t="shared" si="0"/>
        <v>0</v>
      </c>
    </row>
    <row r="6" spans="1:3" hidden="1" x14ac:dyDescent="0.25">
      <c r="A6" t="s">
        <v>5029</v>
      </c>
      <c r="B6">
        <v>2732</v>
      </c>
      <c r="C6" t="b">
        <f t="shared" si="0"/>
        <v>0</v>
      </c>
    </row>
    <row r="7" spans="1:3" hidden="1" x14ac:dyDescent="0.25">
      <c r="A7" t="s">
        <v>5030</v>
      </c>
      <c r="B7">
        <v>2733</v>
      </c>
      <c r="C7" t="b">
        <f t="shared" si="0"/>
        <v>0</v>
      </c>
    </row>
    <row r="8" spans="1:3" hidden="1" x14ac:dyDescent="0.25">
      <c r="A8" t="s">
        <v>5031</v>
      </c>
      <c r="B8">
        <v>2734</v>
      </c>
      <c r="C8" t="b">
        <f t="shared" si="0"/>
        <v>0</v>
      </c>
    </row>
    <row r="9" spans="1:3" hidden="1" x14ac:dyDescent="0.25">
      <c r="A9" t="s">
        <v>5032</v>
      </c>
      <c r="B9">
        <v>2735</v>
      </c>
      <c r="C9" t="b">
        <f t="shared" si="0"/>
        <v>0</v>
      </c>
    </row>
    <row r="10" spans="1:3" hidden="1" x14ac:dyDescent="0.25">
      <c r="A10" t="s">
        <v>5033</v>
      </c>
      <c r="B10">
        <v>2736</v>
      </c>
      <c r="C10" t="b">
        <f t="shared" si="0"/>
        <v>0</v>
      </c>
    </row>
    <row r="11" spans="1:3" hidden="1" x14ac:dyDescent="0.25">
      <c r="A11" t="s">
        <v>5034</v>
      </c>
      <c r="B11">
        <v>2737</v>
      </c>
      <c r="C11" t="b">
        <f t="shared" si="0"/>
        <v>0</v>
      </c>
    </row>
    <row r="12" spans="1:3" hidden="1" x14ac:dyDescent="0.25">
      <c r="A12" t="s">
        <v>5035</v>
      </c>
      <c r="B12">
        <v>2738</v>
      </c>
      <c r="C12" t="b">
        <f t="shared" si="0"/>
        <v>0</v>
      </c>
    </row>
    <row r="13" spans="1:3" hidden="1" x14ac:dyDescent="0.25">
      <c r="A13" t="s">
        <v>5036</v>
      </c>
      <c r="B13">
        <v>2739</v>
      </c>
      <c r="C13" t="b">
        <f t="shared" si="0"/>
        <v>0</v>
      </c>
    </row>
    <row r="14" spans="1:3" hidden="1" x14ac:dyDescent="0.25">
      <c r="A14" t="s">
        <v>5037</v>
      </c>
      <c r="B14">
        <v>2740</v>
      </c>
      <c r="C14" t="b">
        <f t="shared" si="0"/>
        <v>0</v>
      </c>
    </row>
    <row r="15" spans="1:3" hidden="1" x14ac:dyDescent="0.25">
      <c r="A15" t="s">
        <v>3987</v>
      </c>
      <c r="B15">
        <v>1581</v>
      </c>
      <c r="C15" t="b">
        <f t="shared" si="0"/>
        <v>0</v>
      </c>
    </row>
    <row r="16" spans="1:3" hidden="1" x14ac:dyDescent="0.25">
      <c r="A16" t="s">
        <v>3988</v>
      </c>
      <c r="B16">
        <v>1582</v>
      </c>
      <c r="C16" t="b">
        <f t="shared" si="0"/>
        <v>0</v>
      </c>
    </row>
    <row r="17" spans="1:3" hidden="1" x14ac:dyDescent="0.25">
      <c r="A17" t="s">
        <v>4367</v>
      </c>
      <c r="B17">
        <v>2001</v>
      </c>
      <c r="C17" t="b">
        <f t="shared" si="0"/>
        <v>0</v>
      </c>
    </row>
    <row r="18" spans="1:3" hidden="1" x14ac:dyDescent="0.25">
      <c r="A18" t="s">
        <v>4368</v>
      </c>
      <c r="B18">
        <v>2002</v>
      </c>
      <c r="C18" t="b">
        <f t="shared" si="0"/>
        <v>0</v>
      </c>
    </row>
    <row r="19" spans="1:3" hidden="1" x14ac:dyDescent="0.25">
      <c r="A19" t="s">
        <v>4369</v>
      </c>
      <c r="B19">
        <v>2003</v>
      </c>
      <c r="C19" t="b">
        <f t="shared" si="0"/>
        <v>0</v>
      </c>
    </row>
    <row r="20" spans="1:3" hidden="1" x14ac:dyDescent="0.25">
      <c r="A20" t="s">
        <v>4908</v>
      </c>
      <c r="B20">
        <v>2603</v>
      </c>
      <c r="C20" t="b">
        <f t="shared" si="0"/>
        <v>0</v>
      </c>
    </row>
    <row r="21" spans="1:3" hidden="1" x14ac:dyDescent="0.25">
      <c r="A21" t="s">
        <v>3293</v>
      </c>
      <c r="B21">
        <v>830</v>
      </c>
      <c r="C21" t="b">
        <f t="shared" si="0"/>
        <v>0</v>
      </c>
    </row>
    <row r="22" spans="1:3" hidden="1" x14ac:dyDescent="0.25">
      <c r="A22" t="s">
        <v>3737</v>
      </c>
      <c r="B22">
        <v>1310</v>
      </c>
      <c r="C22" t="b">
        <f t="shared" si="0"/>
        <v>0</v>
      </c>
    </row>
    <row r="23" spans="1:3" hidden="1" x14ac:dyDescent="0.25">
      <c r="A23" t="s">
        <v>2617</v>
      </c>
      <c r="B23">
        <v>125</v>
      </c>
      <c r="C23" t="b">
        <f t="shared" si="0"/>
        <v>0</v>
      </c>
    </row>
    <row r="24" spans="1:3" x14ac:dyDescent="0.25">
      <c r="A24" t="s">
        <v>2617</v>
      </c>
      <c r="B24">
        <v>894</v>
      </c>
      <c r="C24" t="b">
        <f t="shared" si="0"/>
        <v>1</v>
      </c>
    </row>
    <row r="25" spans="1:3" x14ac:dyDescent="0.25">
      <c r="A25" t="s">
        <v>2617</v>
      </c>
      <c r="B25">
        <v>931</v>
      </c>
      <c r="C25" t="b">
        <f t="shared" si="0"/>
        <v>1</v>
      </c>
    </row>
    <row r="26" spans="1:3" hidden="1" x14ac:dyDescent="0.25">
      <c r="A26" t="s">
        <v>3886</v>
      </c>
      <c r="B26">
        <v>1470</v>
      </c>
      <c r="C26" t="b">
        <f t="shared" si="0"/>
        <v>0</v>
      </c>
    </row>
    <row r="27" spans="1:3" hidden="1" x14ac:dyDescent="0.25">
      <c r="A27" t="s">
        <v>4370</v>
      </c>
      <c r="B27">
        <v>2004</v>
      </c>
      <c r="C27" t="b">
        <f t="shared" si="0"/>
        <v>0</v>
      </c>
    </row>
    <row r="28" spans="1:3" hidden="1" x14ac:dyDescent="0.25">
      <c r="A28" t="s">
        <v>4371</v>
      </c>
      <c r="B28">
        <v>2005</v>
      </c>
      <c r="C28" t="b">
        <f t="shared" si="0"/>
        <v>0</v>
      </c>
    </row>
    <row r="29" spans="1:3" hidden="1" x14ac:dyDescent="0.25">
      <c r="A29" t="s">
        <v>3887</v>
      </c>
      <c r="B29">
        <v>1471</v>
      </c>
      <c r="C29" t="b">
        <f t="shared" si="0"/>
        <v>0</v>
      </c>
    </row>
    <row r="30" spans="1:3" hidden="1" x14ac:dyDescent="0.25">
      <c r="A30" t="s">
        <v>3888</v>
      </c>
      <c r="B30">
        <v>1472</v>
      </c>
      <c r="C30" t="b">
        <f t="shared" si="0"/>
        <v>0</v>
      </c>
    </row>
    <row r="31" spans="1:3" hidden="1" x14ac:dyDescent="0.25">
      <c r="A31" t="s">
        <v>3889</v>
      </c>
      <c r="B31">
        <v>1473</v>
      </c>
      <c r="C31" t="b">
        <f t="shared" si="0"/>
        <v>0</v>
      </c>
    </row>
    <row r="32" spans="1:3" hidden="1" x14ac:dyDescent="0.25">
      <c r="A32" t="s">
        <v>3807</v>
      </c>
      <c r="B32">
        <v>1381</v>
      </c>
      <c r="C32" t="b">
        <f t="shared" si="0"/>
        <v>0</v>
      </c>
    </row>
    <row r="33" spans="1:3" hidden="1" x14ac:dyDescent="0.25">
      <c r="A33" t="s">
        <v>4783</v>
      </c>
      <c r="B33">
        <v>2458</v>
      </c>
      <c r="C33" t="b">
        <f t="shared" si="0"/>
        <v>0</v>
      </c>
    </row>
    <row r="34" spans="1:3" hidden="1" x14ac:dyDescent="0.25">
      <c r="A34" t="s">
        <v>4868</v>
      </c>
      <c r="B34">
        <v>2557</v>
      </c>
      <c r="C34" t="b">
        <f t="shared" si="0"/>
        <v>0</v>
      </c>
    </row>
    <row r="35" spans="1:3" hidden="1" x14ac:dyDescent="0.25">
      <c r="A35" t="s">
        <v>4869</v>
      </c>
      <c r="B35">
        <v>2558</v>
      </c>
      <c r="C35" t="b">
        <f t="shared" si="0"/>
        <v>0</v>
      </c>
    </row>
    <row r="36" spans="1:3" hidden="1" x14ac:dyDescent="0.25">
      <c r="A36" t="s">
        <v>3553</v>
      </c>
      <c r="B36">
        <v>1111</v>
      </c>
      <c r="C36" t="b">
        <f t="shared" si="0"/>
        <v>0</v>
      </c>
    </row>
    <row r="37" spans="1:3" hidden="1" x14ac:dyDescent="0.25">
      <c r="A37" t="s">
        <v>3670</v>
      </c>
      <c r="B37">
        <v>1238</v>
      </c>
      <c r="C37" t="b">
        <f t="shared" si="0"/>
        <v>0</v>
      </c>
    </row>
    <row r="38" spans="1:3" hidden="1" x14ac:dyDescent="0.25">
      <c r="A38" t="s">
        <v>3158</v>
      </c>
      <c r="B38">
        <v>691</v>
      </c>
      <c r="C38" t="b">
        <f t="shared" si="0"/>
        <v>0</v>
      </c>
    </row>
    <row r="39" spans="1:3" hidden="1" x14ac:dyDescent="0.25">
      <c r="A39" t="s">
        <v>3157</v>
      </c>
      <c r="B39">
        <v>690</v>
      </c>
      <c r="C39" t="b">
        <f t="shared" si="0"/>
        <v>0</v>
      </c>
    </row>
    <row r="40" spans="1:3" hidden="1" x14ac:dyDescent="0.25">
      <c r="A40" t="s">
        <v>4656</v>
      </c>
      <c r="B40">
        <v>2318</v>
      </c>
      <c r="C40" t="b">
        <f t="shared" si="0"/>
        <v>0</v>
      </c>
    </row>
    <row r="41" spans="1:3" hidden="1" x14ac:dyDescent="0.25">
      <c r="A41" t="s">
        <v>4281</v>
      </c>
      <c r="B41">
        <v>1907</v>
      </c>
      <c r="C41" t="b">
        <f t="shared" si="0"/>
        <v>0</v>
      </c>
    </row>
    <row r="42" spans="1:3" hidden="1" x14ac:dyDescent="0.25">
      <c r="A42" t="s">
        <v>2849</v>
      </c>
      <c r="B42">
        <v>363</v>
      </c>
      <c r="C42" t="b">
        <f t="shared" si="0"/>
        <v>0</v>
      </c>
    </row>
    <row r="43" spans="1:3" hidden="1" x14ac:dyDescent="0.25">
      <c r="A43" t="s">
        <v>2851</v>
      </c>
      <c r="B43">
        <v>365</v>
      </c>
      <c r="C43" t="b">
        <f t="shared" si="0"/>
        <v>0</v>
      </c>
    </row>
    <row r="44" spans="1:3" hidden="1" x14ac:dyDescent="0.25">
      <c r="A44" t="s">
        <v>2852</v>
      </c>
      <c r="B44">
        <v>366</v>
      </c>
      <c r="C44" t="b">
        <f t="shared" si="0"/>
        <v>0</v>
      </c>
    </row>
    <row r="45" spans="1:3" hidden="1" x14ac:dyDescent="0.25">
      <c r="A45" t="s">
        <v>2850</v>
      </c>
      <c r="B45">
        <v>364</v>
      </c>
      <c r="C45" t="b">
        <f t="shared" si="0"/>
        <v>0</v>
      </c>
    </row>
    <row r="46" spans="1:3" hidden="1" x14ac:dyDescent="0.25">
      <c r="A46" t="s">
        <v>2497</v>
      </c>
      <c r="B46">
        <v>1</v>
      </c>
      <c r="C46" t="b">
        <f t="shared" si="0"/>
        <v>0</v>
      </c>
    </row>
    <row r="47" spans="1:3" hidden="1" x14ac:dyDescent="0.25">
      <c r="A47" t="s">
        <v>2499</v>
      </c>
      <c r="B47">
        <v>3</v>
      </c>
      <c r="C47" t="b">
        <f t="shared" si="0"/>
        <v>0</v>
      </c>
    </row>
    <row r="48" spans="1:3" hidden="1" x14ac:dyDescent="0.25">
      <c r="A48" t="s">
        <v>2498</v>
      </c>
      <c r="B48">
        <v>2</v>
      </c>
      <c r="C48" t="b">
        <f t="shared" si="0"/>
        <v>0</v>
      </c>
    </row>
    <row r="49" spans="1:3" hidden="1" x14ac:dyDescent="0.25">
      <c r="A49" t="s">
        <v>2587</v>
      </c>
      <c r="B49">
        <v>94</v>
      </c>
      <c r="C49" t="b">
        <f t="shared" si="0"/>
        <v>0</v>
      </c>
    </row>
    <row r="50" spans="1:3" hidden="1" x14ac:dyDescent="0.25">
      <c r="A50" t="s">
        <v>2822</v>
      </c>
      <c r="B50">
        <v>335</v>
      </c>
      <c r="C50" t="b">
        <f t="shared" si="0"/>
        <v>0</v>
      </c>
    </row>
    <row r="51" spans="1:3" hidden="1" x14ac:dyDescent="0.25">
      <c r="A51" t="s">
        <v>2513</v>
      </c>
      <c r="B51">
        <v>17</v>
      </c>
      <c r="C51" t="b">
        <f t="shared" si="0"/>
        <v>0</v>
      </c>
    </row>
    <row r="52" spans="1:3" hidden="1" x14ac:dyDescent="0.25">
      <c r="A52" t="s">
        <v>2512</v>
      </c>
      <c r="B52">
        <v>16</v>
      </c>
      <c r="C52" t="b">
        <f t="shared" si="0"/>
        <v>0</v>
      </c>
    </row>
    <row r="53" spans="1:3" hidden="1" x14ac:dyDescent="0.25">
      <c r="A53" t="s">
        <v>2514</v>
      </c>
      <c r="B53">
        <v>18</v>
      </c>
      <c r="C53" t="b">
        <f t="shared" si="0"/>
        <v>0</v>
      </c>
    </row>
    <row r="54" spans="1:3" hidden="1" x14ac:dyDescent="0.25">
      <c r="A54" t="s">
        <v>3738</v>
      </c>
      <c r="B54">
        <v>1311</v>
      </c>
      <c r="C54" t="b">
        <f t="shared" si="0"/>
        <v>0</v>
      </c>
    </row>
    <row r="55" spans="1:3" hidden="1" x14ac:dyDescent="0.25">
      <c r="A55" t="s">
        <v>4711</v>
      </c>
      <c r="B55">
        <v>2379</v>
      </c>
      <c r="C55" t="b">
        <f t="shared" si="0"/>
        <v>0</v>
      </c>
    </row>
    <row r="56" spans="1:3" hidden="1" x14ac:dyDescent="0.25">
      <c r="A56" t="s">
        <v>4712</v>
      </c>
      <c r="B56">
        <v>2380</v>
      </c>
      <c r="C56" t="b">
        <f t="shared" si="0"/>
        <v>0</v>
      </c>
    </row>
    <row r="57" spans="1:3" hidden="1" x14ac:dyDescent="0.25">
      <c r="A57" t="s">
        <v>2523</v>
      </c>
      <c r="B57">
        <v>28</v>
      </c>
      <c r="C57" t="b">
        <f t="shared" si="0"/>
        <v>0</v>
      </c>
    </row>
    <row r="58" spans="1:3" hidden="1" x14ac:dyDescent="0.25">
      <c r="A58" t="s">
        <v>2526</v>
      </c>
      <c r="B58">
        <v>31</v>
      </c>
      <c r="C58" t="b">
        <f t="shared" si="0"/>
        <v>0</v>
      </c>
    </row>
    <row r="59" spans="1:3" hidden="1" x14ac:dyDescent="0.25">
      <c r="A59" t="s">
        <v>2524</v>
      </c>
      <c r="B59">
        <v>29</v>
      </c>
      <c r="C59" t="b">
        <f t="shared" si="0"/>
        <v>0</v>
      </c>
    </row>
    <row r="60" spans="1:3" hidden="1" x14ac:dyDescent="0.25">
      <c r="A60" t="s">
        <v>2527</v>
      </c>
      <c r="B60">
        <v>32</v>
      </c>
      <c r="C60" t="b">
        <f t="shared" si="0"/>
        <v>0</v>
      </c>
    </row>
    <row r="61" spans="1:3" hidden="1" x14ac:dyDescent="0.25">
      <c r="A61" t="s">
        <v>2528</v>
      </c>
      <c r="B61">
        <v>33</v>
      </c>
      <c r="C61" t="b">
        <f t="shared" si="0"/>
        <v>0</v>
      </c>
    </row>
    <row r="62" spans="1:3" hidden="1" x14ac:dyDescent="0.25">
      <c r="A62" t="s">
        <v>2529</v>
      </c>
      <c r="B62">
        <v>34</v>
      </c>
      <c r="C62" t="b">
        <f t="shared" si="0"/>
        <v>0</v>
      </c>
    </row>
    <row r="63" spans="1:3" hidden="1" x14ac:dyDescent="0.25">
      <c r="A63" t="s">
        <v>2530</v>
      </c>
      <c r="B63">
        <v>35</v>
      </c>
      <c r="C63" t="b">
        <f t="shared" si="0"/>
        <v>0</v>
      </c>
    </row>
    <row r="64" spans="1:3" hidden="1" x14ac:dyDescent="0.25">
      <c r="A64" t="s">
        <v>2525</v>
      </c>
      <c r="B64">
        <v>30</v>
      </c>
      <c r="C64" t="b">
        <f t="shared" si="0"/>
        <v>0</v>
      </c>
    </row>
    <row r="65" spans="1:3" hidden="1" x14ac:dyDescent="0.25">
      <c r="A65" t="s">
        <v>5038</v>
      </c>
      <c r="B65">
        <v>2741</v>
      </c>
      <c r="C65" t="b">
        <f t="shared" si="0"/>
        <v>0</v>
      </c>
    </row>
    <row r="66" spans="1:3" hidden="1" x14ac:dyDescent="0.25">
      <c r="A66" t="s">
        <v>5039</v>
      </c>
      <c r="B66">
        <v>2742</v>
      </c>
      <c r="C66" t="b">
        <f t="shared" si="0"/>
        <v>0</v>
      </c>
    </row>
    <row r="67" spans="1:3" hidden="1" x14ac:dyDescent="0.25">
      <c r="A67" t="s">
        <v>3353</v>
      </c>
      <c r="B67">
        <v>895</v>
      </c>
      <c r="C67" t="b">
        <f t="shared" ref="C67:C130" si="1">A67=A66</f>
        <v>0</v>
      </c>
    </row>
    <row r="68" spans="1:3" hidden="1" x14ac:dyDescent="0.25">
      <c r="A68" t="s">
        <v>3354</v>
      </c>
      <c r="B68">
        <v>896</v>
      </c>
      <c r="C68" t="b">
        <f t="shared" si="1"/>
        <v>0</v>
      </c>
    </row>
    <row r="69" spans="1:3" hidden="1" x14ac:dyDescent="0.25">
      <c r="A69" t="s">
        <v>4569</v>
      </c>
      <c r="B69">
        <v>2226</v>
      </c>
      <c r="C69" t="b">
        <f t="shared" si="1"/>
        <v>0</v>
      </c>
    </row>
    <row r="70" spans="1:3" hidden="1" x14ac:dyDescent="0.25">
      <c r="A70" t="s">
        <v>3327</v>
      </c>
      <c r="B70">
        <v>867</v>
      </c>
      <c r="C70" t="b">
        <f t="shared" si="1"/>
        <v>0</v>
      </c>
    </row>
    <row r="71" spans="1:3" hidden="1" x14ac:dyDescent="0.25">
      <c r="A71" t="s">
        <v>3328</v>
      </c>
      <c r="B71">
        <v>868</v>
      </c>
      <c r="C71" t="b">
        <f t="shared" si="1"/>
        <v>0</v>
      </c>
    </row>
    <row r="72" spans="1:3" hidden="1" x14ac:dyDescent="0.25">
      <c r="A72" t="s">
        <v>4909</v>
      </c>
      <c r="B72">
        <v>2604</v>
      </c>
      <c r="C72" t="b">
        <f t="shared" si="1"/>
        <v>0</v>
      </c>
    </row>
    <row r="73" spans="1:3" hidden="1" x14ac:dyDescent="0.25">
      <c r="A73" t="s">
        <v>4870</v>
      </c>
      <c r="B73">
        <v>2559</v>
      </c>
      <c r="C73" t="b">
        <f t="shared" si="1"/>
        <v>0</v>
      </c>
    </row>
    <row r="74" spans="1:3" hidden="1" x14ac:dyDescent="0.25">
      <c r="A74" t="s">
        <v>2723</v>
      </c>
      <c r="B74">
        <v>234</v>
      </c>
      <c r="C74" t="b">
        <f t="shared" si="1"/>
        <v>0</v>
      </c>
    </row>
    <row r="75" spans="1:3" hidden="1" x14ac:dyDescent="0.25">
      <c r="A75" t="s">
        <v>3832</v>
      </c>
      <c r="B75">
        <v>1410</v>
      </c>
      <c r="C75" t="b">
        <f t="shared" si="1"/>
        <v>0</v>
      </c>
    </row>
    <row r="76" spans="1:3" hidden="1" x14ac:dyDescent="0.25">
      <c r="A76" t="s">
        <v>3830</v>
      </c>
      <c r="B76">
        <v>1408</v>
      </c>
      <c r="C76" t="b">
        <f t="shared" si="1"/>
        <v>0</v>
      </c>
    </row>
    <row r="77" spans="1:3" hidden="1" x14ac:dyDescent="0.25">
      <c r="A77" t="s">
        <v>3831</v>
      </c>
      <c r="B77">
        <v>1409</v>
      </c>
      <c r="C77" t="b">
        <f t="shared" si="1"/>
        <v>0</v>
      </c>
    </row>
    <row r="78" spans="1:3" hidden="1" x14ac:dyDescent="0.25">
      <c r="A78" t="s">
        <v>2959</v>
      </c>
      <c r="B78">
        <v>479</v>
      </c>
      <c r="C78" t="b">
        <f t="shared" si="1"/>
        <v>0</v>
      </c>
    </row>
    <row r="79" spans="1:3" hidden="1" x14ac:dyDescent="0.25">
      <c r="A79" t="s">
        <v>2576</v>
      </c>
      <c r="B79">
        <v>82</v>
      </c>
      <c r="C79" t="b">
        <f t="shared" si="1"/>
        <v>0</v>
      </c>
    </row>
    <row r="80" spans="1:3" hidden="1" x14ac:dyDescent="0.25">
      <c r="A80" t="s">
        <v>2579</v>
      </c>
      <c r="B80">
        <v>85</v>
      </c>
      <c r="C80" t="b">
        <f t="shared" si="1"/>
        <v>0</v>
      </c>
    </row>
    <row r="81" spans="1:3" hidden="1" x14ac:dyDescent="0.25">
      <c r="A81" t="s">
        <v>2577</v>
      </c>
      <c r="B81">
        <v>83</v>
      </c>
      <c r="C81" t="b">
        <f t="shared" si="1"/>
        <v>0</v>
      </c>
    </row>
    <row r="82" spans="1:3" hidden="1" x14ac:dyDescent="0.25">
      <c r="A82" t="s">
        <v>2580</v>
      </c>
      <c r="B82">
        <v>86</v>
      </c>
      <c r="C82" t="b">
        <f t="shared" si="1"/>
        <v>0</v>
      </c>
    </row>
    <row r="83" spans="1:3" hidden="1" x14ac:dyDescent="0.25">
      <c r="A83" t="s">
        <v>2578</v>
      </c>
      <c r="B83">
        <v>84</v>
      </c>
      <c r="C83" t="b">
        <f t="shared" si="1"/>
        <v>0</v>
      </c>
    </row>
    <row r="84" spans="1:3" hidden="1" x14ac:dyDescent="0.25">
      <c r="A84" t="s">
        <v>3577</v>
      </c>
      <c r="B84">
        <v>1138</v>
      </c>
      <c r="C84" t="b">
        <f t="shared" si="1"/>
        <v>0</v>
      </c>
    </row>
    <row r="85" spans="1:3" hidden="1" x14ac:dyDescent="0.25">
      <c r="A85" t="s">
        <v>3739</v>
      </c>
      <c r="B85">
        <v>1312</v>
      </c>
      <c r="C85" t="b">
        <f t="shared" si="1"/>
        <v>0</v>
      </c>
    </row>
    <row r="86" spans="1:3" hidden="1" x14ac:dyDescent="0.25">
      <c r="A86" t="s">
        <v>3355</v>
      </c>
      <c r="B86">
        <v>897</v>
      </c>
      <c r="C86" t="b">
        <f t="shared" si="1"/>
        <v>0</v>
      </c>
    </row>
    <row r="87" spans="1:3" hidden="1" x14ac:dyDescent="0.25">
      <c r="A87" t="s">
        <v>4958</v>
      </c>
      <c r="B87">
        <v>2658</v>
      </c>
      <c r="C87" t="b">
        <f t="shared" si="1"/>
        <v>0</v>
      </c>
    </row>
    <row r="88" spans="1:3" hidden="1" x14ac:dyDescent="0.25">
      <c r="A88" t="s">
        <v>4959</v>
      </c>
      <c r="B88">
        <v>2659</v>
      </c>
      <c r="C88" t="b">
        <f t="shared" si="1"/>
        <v>0</v>
      </c>
    </row>
    <row r="89" spans="1:3" hidden="1" x14ac:dyDescent="0.25">
      <c r="A89" t="s">
        <v>4960</v>
      </c>
      <c r="B89">
        <v>2660</v>
      </c>
      <c r="C89" t="b">
        <f t="shared" si="1"/>
        <v>0</v>
      </c>
    </row>
    <row r="90" spans="1:3" hidden="1" x14ac:dyDescent="0.25">
      <c r="A90" t="s">
        <v>4961</v>
      </c>
      <c r="B90">
        <v>2661</v>
      </c>
      <c r="C90" t="b">
        <f t="shared" si="1"/>
        <v>0</v>
      </c>
    </row>
    <row r="91" spans="1:3" hidden="1" x14ac:dyDescent="0.25">
      <c r="A91" t="s">
        <v>4962</v>
      </c>
      <c r="B91">
        <v>2662</v>
      </c>
      <c r="C91" t="b">
        <f t="shared" si="1"/>
        <v>0</v>
      </c>
    </row>
    <row r="92" spans="1:3" hidden="1" x14ac:dyDescent="0.25">
      <c r="A92" t="s">
        <v>4963</v>
      </c>
      <c r="B92">
        <v>2663</v>
      </c>
      <c r="C92" t="b">
        <f t="shared" si="1"/>
        <v>0</v>
      </c>
    </row>
    <row r="93" spans="1:3" hidden="1" x14ac:dyDescent="0.25">
      <c r="A93" t="s">
        <v>4964</v>
      </c>
      <c r="B93">
        <v>2664</v>
      </c>
      <c r="C93" t="b">
        <f t="shared" si="1"/>
        <v>0</v>
      </c>
    </row>
    <row r="94" spans="1:3" hidden="1" x14ac:dyDescent="0.25">
      <c r="A94" t="s">
        <v>4965</v>
      </c>
      <c r="B94">
        <v>2665</v>
      </c>
      <c r="C94" t="b">
        <f t="shared" si="1"/>
        <v>0</v>
      </c>
    </row>
    <row r="95" spans="1:3" hidden="1" x14ac:dyDescent="0.25">
      <c r="A95" t="s">
        <v>2588</v>
      </c>
      <c r="B95">
        <v>95</v>
      </c>
      <c r="C95" t="b">
        <f t="shared" si="1"/>
        <v>0</v>
      </c>
    </row>
    <row r="96" spans="1:3" hidden="1" x14ac:dyDescent="0.25">
      <c r="A96" t="s">
        <v>2589</v>
      </c>
      <c r="B96">
        <v>96</v>
      </c>
      <c r="C96" t="b">
        <f t="shared" si="1"/>
        <v>0</v>
      </c>
    </row>
    <row r="97" spans="1:3" hidden="1" x14ac:dyDescent="0.25">
      <c r="A97" t="s">
        <v>2590</v>
      </c>
      <c r="B97">
        <v>97</v>
      </c>
      <c r="C97" t="b">
        <f t="shared" si="1"/>
        <v>0</v>
      </c>
    </row>
    <row r="98" spans="1:3" hidden="1" x14ac:dyDescent="0.25">
      <c r="A98" t="s">
        <v>4910</v>
      </c>
      <c r="B98">
        <v>2605</v>
      </c>
      <c r="C98" t="b">
        <f t="shared" si="1"/>
        <v>0</v>
      </c>
    </row>
    <row r="99" spans="1:3" hidden="1" x14ac:dyDescent="0.25">
      <c r="A99" t="s">
        <v>4871</v>
      </c>
      <c r="B99">
        <v>2560</v>
      </c>
      <c r="C99" t="b">
        <f t="shared" si="1"/>
        <v>0</v>
      </c>
    </row>
    <row r="100" spans="1:3" hidden="1" x14ac:dyDescent="0.25">
      <c r="A100" t="s">
        <v>3329</v>
      </c>
      <c r="B100">
        <v>869</v>
      </c>
      <c r="C100" t="b">
        <f t="shared" si="1"/>
        <v>0</v>
      </c>
    </row>
    <row r="101" spans="1:3" hidden="1" x14ac:dyDescent="0.25">
      <c r="A101" t="s">
        <v>3833</v>
      </c>
      <c r="B101">
        <v>1411</v>
      </c>
      <c r="C101" t="b">
        <f t="shared" si="1"/>
        <v>0</v>
      </c>
    </row>
    <row r="102" spans="1:3" x14ac:dyDescent="0.25">
      <c r="A102" t="s">
        <v>3833</v>
      </c>
      <c r="B102">
        <v>1646</v>
      </c>
      <c r="C102" t="b">
        <f t="shared" si="1"/>
        <v>1</v>
      </c>
    </row>
    <row r="103" spans="1:3" hidden="1" x14ac:dyDescent="0.25">
      <c r="A103" t="s">
        <v>3740</v>
      </c>
      <c r="B103">
        <v>1313</v>
      </c>
      <c r="C103" t="b">
        <f t="shared" si="1"/>
        <v>0</v>
      </c>
    </row>
    <row r="104" spans="1:3" hidden="1" x14ac:dyDescent="0.25">
      <c r="A104" t="s">
        <v>2618</v>
      </c>
      <c r="B104">
        <v>126</v>
      </c>
      <c r="C104" t="b">
        <f t="shared" si="1"/>
        <v>0</v>
      </c>
    </row>
    <row r="105" spans="1:3" hidden="1" x14ac:dyDescent="0.25">
      <c r="A105" t="s">
        <v>2620</v>
      </c>
      <c r="B105">
        <v>128</v>
      </c>
      <c r="C105" t="b">
        <f t="shared" si="1"/>
        <v>0</v>
      </c>
    </row>
    <row r="106" spans="1:3" hidden="1" x14ac:dyDescent="0.25">
      <c r="A106" t="s">
        <v>2621</v>
      </c>
      <c r="B106">
        <v>129</v>
      </c>
      <c r="C106" t="b">
        <f t="shared" si="1"/>
        <v>0</v>
      </c>
    </row>
    <row r="107" spans="1:3" hidden="1" x14ac:dyDescent="0.25">
      <c r="A107" t="s">
        <v>2619</v>
      </c>
      <c r="B107">
        <v>127</v>
      </c>
      <c r="C107" t="b">
        <f t="shared" si="1"/>
        <v>0</v>
      </c>
    </row>
    <row r="108" spans="1:3" hidden="1" x14ac:dyDescent="0.25">
      <c r="A108" t="s">
        <v>3189</v>
      </c>
      <c r="B108">
        <v>723</v>
      </c>
      <c r="C108" t="b">
        <f t="shared" si="1"/>
        <v>0</v>
      </c>
    </row>
    <row r="109" spans="1:3" hidden="1" x14ac:dyDescent="0.25">
      <c r="A109" t="s">
        <v>4911</v>
      </c>
      <c r="B109">
        <v>2606</v>
      </c>
      <c r="C109" t="b">
        <f t="shared" si="1"/>
        <v>0</v>
      </c>
    </row>
    <row r="110" spans="1:3" hidden="1" x14ac:dyDescent="0.25">
      <c r="A110" t="s">
        <v>3991</v>
      </c>
      <c r="B110">
        <v>1585</v>
      </c>
      <c r="C110" t="b">
        <f t="shared" si="1"/>
        <v>0</v>
      </c>
    </row>
    <row r="111" spans="1:3" hidden="1" x14ac:dyDescent="0.25">
      <c r="A111" t="s">
        <v>3989</v>
      </c>
      <c r="B111">
        <v>1583</v>
      </c>
      <c r="C111" t="b">
        <f t="shared" si="1"/>
        <v>0</v>
      </c>
    </row>
    <row r="112" spans="1:3" hidden="1" x14ac:dyDescent="0.25">
      <c r="A112" t="s">
        <v>3990</v>
      </c>
      <c r="B112">
        <v>1584</v>
      </c>
      <c r="C112" t="b">
        <f t="shared" si="1"/>
        <v>0</v>
      </c>
    </row>
    <row r="113" spans="1:3" hidden="1" x14ac:dyDescent="0.25">
      <c r="A113" t="s">
        <v>3003</v>
      </c>
      <c r="B113">
        <v>526</v>
      </c>
      <c r="C113" t="b">
        <f t="shared" si="1"/>
        <v>0</v>
      </c>
    </row>
    <row r="114" spans="1:3" hidden="1" x14ac:dyDescent="0.25">
      <c r="A114" t="s">
        <v>2639</v>
      </c>
      <c r="B114">
        <v>148</v>
      </c>
      <c r="C114" t="b">
        <f t="shared" si="1"/>
        <v>0</v>
      </c>
    </row>
    <row r="115" spans="1:3" hidden="1" x14ac:dyDescent="0.25">
      <c r="A115" t="s">
        <v>4205</v>
      </c>
      <c r="B115">
        <v>1827</v>
      </c>
      <c r="C115" t="b">
        <f t="shared" si="1"/>
        <v>0</v>
      </c>
    </row>
    <row r="116" spans="1:3" hidden="1" x14ac:dyDescent="0.25">
      <c r="A116" t="s">
        <v>4335</v>
      </c>
      <c r="B116">
        <v>1964</v>
      </c>
      <c r="C116" t="b">
        <f t="shared" si="1"/>
        <v>0</v>
      </c>
    </row>
    <row r="117" spans="1:3" hidden="1" x14ac:dyDescent="0.25">
      <c r="A117" t="s">
        <v>3330</v>
      </c>
      <c r="B117">
        <v>870</v>
      </c>
      <c r="C117" t="b">
        <f t="shared" si="1"/>
        <v>0</v>
      </c>
    </row>
    <row r="118" spans="1:3" hidden="1" x14ac:dyDescent="0.25">
      <c r="A118" t="s">
        <v>2651</v>
      </c>
      <c r="B118">
        <v>161</v>
      </c>
      <c r="C118" t="b">
        <f t="shared" si="1"/>
        <v>0</v>
      </c>
    </row>
    <row r="119" spans="1:3" hidden="1" x14ac:dyDescent="0.25">
      <c r="A119" t="s">
        <v>2853</v>
      </c>
      <c r="B119">
        <v>367</v>
      </c>
      <c r="C119" t="b">
        <f t="shared" si="1"/>
        <v>0</v>
      </c>
    </row>
    <row r="120" spans="1:3" hidden="1" x14ac:dyDescent="0.25">
      <c r="A120" t="s">
        <v>2854</v>
      </c>
      <c r="B120">
        <v>368</v>
      </c>
      <c r="C120" t="b">
        <f t="shared" si="1"/>
        <v>0</v>
      </c>
    </row>
    <row r="121" spans="1:3" hidden="1" x14ac:dyDescent="0.25">
      <c r="A121" t="s">
        <v>3190</v>
      </c>
      <c r="B121">
        <v>724</v>
      </c>
      <c r="C121" t="b">
        <f t="shared" si="1"/>
        <v>0</v>
      </c>
    </row>
    <row r="122" spans="1:3" hidden="1" x14ac:dyDescent="0.25">
      <c r="A122" t="s">
        <v>3834</v>
      </c>
      <c r="B122">
        <v>1412</v>
      </c>
      <c r="C122" t="b">
        <f t="shared" si="1"/>
        <v>0</v>
      </c>
    </row>
    <row r="123" spans="1:3" hidden="1" x14ac:dyDescent="0.25">
      <c r="A123" t="s">
        <v>2622</v>
      </c>
      <c r="B123">
        <v>130</v>
      </c>
      <c r="C123" t="b">
        <f t="shared" si="1"/>
        <v>0</v>
      </c>
    </row>
    <row r="124" spans="1:3" hidden="1" x14ac:dyDescent="0.25">
      <c r="A124" t="s">
        <v>2623</v>
      </c>
      <c r="B124">
        <v>131</v>
      </c>
      <c r="C124" t="b">
        <f t="shared" si="1"/>
        <v>0</v>
      </c>
    </row>
    <row r="125" spans="1:3" hidden="1" x14ac:dyDescent="0.25">
      <c r="A125" t="s">
        <v>2688</v>
      </c>
      <c r="B125">
        <v>198</v>
      </c>
      <c r="C125" t="b">
        <f t="shared" si="1"/>
        <v>0</v>
      </c>
    </row>
    <row r="126" spans="1:3" hidden="1" x14ac:dyDescent="0.25">
      <c r="A126" t="s">
        <v>4372</v>
      </c>
      <c r="B126">
        <v>2006</v>
      </c>
      <c r="C126" t="b">
        <f t="shared" si="1"/>
        <v>0</v>
      </c>
    </row>
    <row r="127" spans="1:3" hidden="1" x14ac:dyDescent="0.25">
      <c r="A127" t="s">
        <v>4373</v>
      </c>
      <c r="B127">
        <v>2007</v>
      </c>
      <c r="C127" t="b">
        <f t="shared" si="1"/>
        <v>0</v>
      </c>
    </row>
    <row r="128" spans="1:3" hidden="1" x14ac:dyDescent="0.25">
      <c r="A128" t="s">
        <v>2689</v>
      </c>
      <c r="B128">
        <v>199</v>
      </c>
      <c r="C128" t="b">
        <f t="shared" si="1"/>
        <v>0</v>
      </c>
    </row>
    <row r="129" spans="1:3" hidden="1" x14ac:dyDescent="0.25">
      <c r="A129" t="s">
        <v>2624</v>
      </c>
      <c r="B129">
        <v>132</v>
      </c>
      <c r="C129" t="b">
        <f t="shared" si="1"/>
        <v>0</v>
      </c>
    </row>
    <row r="130" spans="1:3" hidden="1" x14ac:dyDescent="0.25">
      <c r="A130" t="s">
        <v>3671</v>
      </c>
      <c r="B130">
        <v>1239</v>
      </c>
      <c r="C130" t="b">
        <f t="shared" si="1"/>
        <v>0</v>
      </c>
    </row>
    <row r="131" spans="1:3" hidden="1" x14ac:dyDescent="0.25">
      <c r="A131" t="s">
        <v>3672</v>
      </c>
      <c r="B131">
        <v>1240</v>
      </c>
      <c r="C131" t="b">
        <f t="shared" ref="C131:C194" si="2">A131=A130</f>
        <v>0</v>
      </c>
    </row>
    <row r="132" spans="1:3" hidden="1" x14ac:dyDescent="0.25">
      <c r="A132" t="s">
        <v>3462</v>
      </c>
      <c r="B132">
        <v>1017</v>
      </c>
      <c r="C132" t="b">
        <f t="shared" si="2"/>
        <v>0</v>
      </c>
    </row>
    <row r="133" spans="1:3" hidden="1" x14ac:dyDescent="0.25">
      <c r="A133" t="s">
        <v>3554</v>
      </c>
      <c r="B133">
        <v>1112</v>
      </c>
      <c r="C133" t="b">
        <f t="shared" si="2"/>
        <v>0</v>
      </c>
    </row>
    <row r="134" spans="1:3" hidden="1" x14ac:dyDescent="0.25">
      <c r="A134" t="s">
        <v>3555</v>
      </c>
      <c r="B134">
        <v>1113</v>
      </c>
      <c r="C134" t="b">
        <f t="shared" si="2"/>
        <v>0</v>
      </c>
    </row>
    <row r="135" spans="1:3" hidden="1" x14ac:dyDescent="0.25">
      <c r="A135" t="s">
        <v>4124</v>
      </c>
      <c r="B135">
        <v>1733</v>
      </c>
      <c r="C135" t="b">
        <f t="shared" si="2"/>
        <v>0</v>
      </c>
    </row>
    <row r="136" spans="1:3" x14ac:dyDescent="0.25">
      <c r="A136" t="s">
        <v>4124</v>
      </c>
      <c r="B136">
        <v>2459</v>
      </c>
      <c r="C136" t="b">
        <f t="shared" si="2"/>
        <v>1</v>
      </c>
    </row>
    <row r="137" spans="1:3" hidden="1" x14ac:dyDescent="0.25">
      <c r="A137" t="s">
        <v>2515</v>
      </c>
      <c r="B137">
        <v>19</v>
      </c>
      <c r="C137" t="b">
        <f t="shared" si="2"/>
        <v>0</v>
      </c>
    </row>
    <row r="138" spans="1:3" hidden="1" x14ac:dyDescent="0.25">
      <c r="A138" t="s">
        <v>4638</v>
      </c>
      <c r="B138">
        <v>2298</v>
      </c>
      <c r="C138" t="b">
        <f t="shared" si="2"/>
        <v>0</v>
      </c>
    </row>
    <row r="139" spans="1:3" hidden="1" x14ac:dyDescent="0.25">
      <c r="A139" t="s">
        <v>5040</v>
      </c>
      <c r="B139">
        <v>2743</v>
      </c>
      <c r="C139" t="b">
        <f t="shared" si="2"/>
        <v>0</v>
      </c>
    </row>
    <row r="140" spans="1:3" hidden="1" x14ac:dyDescent="0.25">
      <c r="A140" t="s">
        <v>3417</v>
      </c>
      <c r="B140">
        <v>964</v>
      </c>
      <c r="C140" t="b">
        <f t="shared" si="2"/>
        <v>0</v>
      </c>
    </row>
    <row r="141" spans="1:3" hidden="1" x14ac:dyDescent="0.25">
      <c r="A141" t="s">
        <v>3418</v>
      </c>
      <c r="B141">
        <v>965</v>
      </c>
      <c r="C141" t="b">
        <f t="shared" si="2"/>
        <v>0</v>
      </c>
    </row>
    <row r="142" spans="1:3" hidden="1" x14ac:dyDescent="0.25">
      <c r="A142" t="s">
        <v>3419</v>
      </c>
      <c r="B142">
        <v>966</v>
      </c>
      <c r="C142" t="b">
        <f t="shared" si="2"/>
        <v>0</v>
      </c>
    </row>
    <row r="143" spans="1:3" hidden="1" x14ac:dyDescent="0.25">
      <c r="A143" t="s">
        <v>4555</v>
      </c>
      <c r="B143">
        <v>2208</v>
      </c>
      <c r="C143" t="b">
        <f t="shared" si="2"/>
        <v>0</v>
      </c>
    </row>
    <row r="144" spans="1:3" hidden="1" x14ac:dyDescent="0.25">
      <c r="A144" t="s">
        <v>4556</v>
      </c>
      <c r="B144">
        <v>2209</v>
      </c>
      <c r="C144" t="b">
        <f t="shared" si="2"/>
        <v>0</v>
      </c>
    </row>
    <row r="145" spans="1:3" hidden="1" x14ac:dyDescent="0.25">
      <c r="A145" t="s">
        <v>2748</v>
      </c>
      <c r="B145">
        <v>260</v>
      </c>
      <c r="C145" t="b">
        <f t="shared" si="2"/>
        <v>0</v>
      </c>
    </row>
    <row r="146" spans="1:3" hidden="1" x14ac:dyDescent="0.25">
      <c r="A146" t="s">
        <v>3813</v>
      </c>
      <c r="B146">
        <v>1389</v>
      </c>
      <c r="C146" t="b">
        <f t="shared" si="2"/>
        <v>0</v>
      </c>
    </row>
    <row r="147" spans="1:3" hidden="1" x14ac:dyDescent="0.25">
      <c r="A147" t="s">
        <v>3814</v>
      </c>
      <c r="B147">
        <v>1390</v>
      </c>
      <c r="C147" t="b">
        <f t="shared" si="2"/>
        <v>0</v>
      </c>
    </row>
    <row r="148" spans="1:3" hidden="1" x14ac:dyDescent="0.25">
      <c r="A148" t="s">
        <v>4374</v>
      </c>
      <c r="B148">
        <v>2008</v>
      </c>
      <c r="C148" t="b">
        <f t="shared" si="2"/>
        <v>0</v>
      </c>
    </row>
    <row r="149" spans="1:3" hidden="1" x14ac:dyDescent="0.25">
      <c r="A149" t="s">
        <v>3075</v>
      </c>
      <c r="B149">
        <v>605</v>
      </c>
      <c r="C149" t="b">
        <f t="shared" si="2"/>
        <v>0</v>
      </c>
    </row>
    <row r="150" spans="1:3" x14ac:dyDescent="0.25">
      <c r="A150" t="s">
        <v>3075</v>
      </c>
      <c r="B150">
        <v>1114</v>
      </c>
      <c r="C150" t="b">
        <f t="shared" si="2"/>
        <v>1</v>
      </c>
    </row>
    <row r="151" spans="1:3" hidden="1" x14ac:dyDescent="0.25">
      <c r="A151" t="s">
        <v>3812</v>
      </c>
      <c r="B151">
        <v>1388</v>
      </c>
      <c r="C151" t="b">
        <f t="shared" si="2"/>
        <v>0</v>
      </c>
    </row>
    <row r="152" spans="1:3" hidden="1" x14ac:dyDescent="0.25">
      <c r="A152" t="s">
        <v>2652</v>
      </c>
      <c r="B152">
        <v>162</v>
      </c>
      <c r="C152" t="b">
        <f t="shared" si="2"/>
        <v>0</v>
      </c>
    </row>
    <row r="153" spans="1:3" hidden="1" x14ac:dyDescent="0.25">
      <c r="A153" t="s">
        <v>4836</v>
      </c>
      <c r="B153">
        <v>2521</v>
      </c>
      <c r="C153" t="b">
        <f t="shared" si="2"/>
        <v>0</v>
      </c>
    </row>
    <row r="154" spans="1:3" hidden="1" x14ac:dyDescent="0.25">
      <c r="A154" t="s">
        <v>4912</v>
      </c>
      <c r="B154">
        <v>2607</v>
      </c>
      <c r="C154" t="b">
        <f t="shared" si="2"/>
        <v>0</v>
      </c>
    </row>
    <row r="155" spans="1:3" hidden="1" x14ac:dyDescent="0.25">
      <c r="A155" t="s">
        <v>2690</v>
      </c>
      <c r="B155">
        <v>200</v>
      </c>
      <c r="C155" t="b">
        <f t="shared" si="2"/>
        <v>0</v>
      </c>
    </row>
    <row r="156" spans="1:3" hidden="1" x14ac:dyDescent="0.25">
      <c r="A156" t="s">
        <v>4913</v>
      </c>
      <c r="B156">
        <v>2608</v>
      </c>
      <c r="C156" t="b">
        <f t="shared" si="2"/>
        <v>0</v>
      </c>
    </row>
    <row r="157" spans="1:3" hidden="1" x14ac:dyDescent="0.25">
      <c r="A157" t="s">
        <v>2691</v>
      </c>
      <c r="B157">
        <v>201</v>
      </c>
      <c r="C157" t="b">
        <f t="shared" si="2"/>
        <v>0</v>
      </c>
    </row>
    <row r="158" spans="1:3" hidden="1" x14ac:dyDescent="0.25">
      <c r="A158" t="s">
        <v>2591</v>
      </c>
      <c r="B158">
        <v>98</v>
      </c>
      <c r="C158" t="b">
        <f t="shared" si="2"/>
        <v>0</v>
      </c>
    </row>
    <row r="159" spans="1:3" hidden="1" x14ac:dyDescent="0.25">
      <c r="A159" t="s">
        <v>2642</v>
      </c>
      <c r="B159">
        <v>151</v>
      </c>
      <c r="C159" t="b">
        <f t="shared" si="2"/>
        <v>0</v>
      </c>
    </row>
    <row r="160" spans="1:3" hidden="1" x14ac:dyDescent="0.25">
      <c r="A160" t="s">
        <v>2640</v>
      </c>
      <c r="B160">
        <v>149</v>
      </c>
      <c r="C160" t="b">
        <f t="shared" si="2"/>
        <v>0</v>
      </c>
    </row>
    <row r="161" spans="1:3" hidden="1" x14ac:dyDescent="0.25">
      <c r="A161" t="s">
        <v>2643</v>
      </c>
      <c r="B161">
        <v>152</v>
      </c>
      <c r="C161" t="b">
        <f t="shared" si="2"/>
        <v>0</v>
      </c>
    </row>
    <row r="162" spans="1:3" hidden="1" x14ac:dyDescent="0.25">
      <c r="A162" t="s">
        <v>2641</v>
      </c>
      <c r="B162">
        <v>150</v>
      </c>
      <c r="C162" t="b">
        <f t="shared" si="2"/>
        <v>0</v>
      </c>
    </row>
    <row r="163" spans="1:3" hidden="1" x14ac:dyDescent="0.25">
      <c r="A163" t="s">
        <v>2644</v>
      </c>
      <c r="B163">
        <v>153</v>
      </c>
      <c r="C163" t="b">
        <f t="shared" si="2"/>
        <v>0</v>
      </c>
    </row>
    <row r="164" spans="1:3" hidden="1" x14ac:dyDescent="0.25">
      <c r="A164" t="s">
        <v>2751</v>
      </c>
      <c r="B164">
        <v>263</v>
      </c>
      <c r="C164" t="b">
        <f t="shared" si="2"/>
        <v>0</v>
      </c>
    </row>
    <row r="165" spans="1:3" hidden="1" x14ac:dyDescent="0.25">
      <c r="A165" t="s">
        <v>2749</v>
      </c>
      <c r="B165">
        <v>261</v>
      </c>
      <c r="C165" t="b">
        <f t="shared" si="2"/>
        <v>0</v>
      </c>
    </row>
    <row r="166" spans="1:3" hidden="1" x14ac:dyDescent="0.25">
      <c r="A166" t="s">
        <v>2750</v>
      </c>
      <c r="B166">
        <v>262</v>
      </c>
      <c r="C166" t="b">
        <f t="shared" si="2"/>
        <v>0</v>
      </c>
    </row>
    <row r="167" spans="1:3" hidden="1" x14ac:dyDescent="0.25">
      <c r="A167" t="s">
        <v>2655</v>
      </c>
      <c r="B167">
        <v>165</v>
      </c>
      <c r="C167" t="b">
        <f t="shared" si="2"/>
        <v>0</v>
      </c>
    </row>
    <row r="168" spans="1:3" hidden="1" x14ac:dyDescent="0.25">
      <c r="A168" t="s">
        <v>2653</v>
      </c>
      <c r="B168">
        <v>163</v>
      </c>
      <c r="C168" t="b">
        <f t="shared" si="2"/>
        <v>0</v>
      </c>
    </row>
    <row r="169" spans="1:3" hidden="1" x14ac:dyDescent="0.25">
      <c r="A169" t="s">
        <v>2656</v>
      </c>
      <c r="B169">
        <v>166</v>
      </c>
      <c r="C169" t="b">
        <f t="shared" si="2"/>
        <v>0</v>
      </c>
    </row>
    <row r="170" spans="1:3" hidden="1" x14ac:dyDescent="0.25">
      <c r="A170" t="s">
        <v>2657</v>
      </c>
      <c r="B170">
        <v>167</v>
      </c>
      <c r="C170" t="b">
        <f t="shared" si="2"/>
        <v>0</v>
      </c>
    </row>
    <row r="171" spans="1:3" hidden="1" x14ac:dyDescent="0.25">
      <c r="A171" t="s">
        <v>2654</v>
      </c>
      <c r="B171">
        <v>164</v>
      </c>
      <c r="C171" t="b">
        <f t="shared" si="2"/>
        <v>0</v>
      </c>
    </row>
    <row r="172" spans="1:3" hidden="1" x14ac:dyDescent="0.25">
      <c r="A172" t="s">
        <v>4125</v>
      </c>
      <c r="B172">
        <v>1734</v>
      </c>
      <c r="C172" t="b">
        <f t="shared" si="2"/>
        <v>0</v>
      </c>
    </row>
    <row r="173" spans="1:3" hidden="1" x14ac:dyDescent="0.25">
      <c r="A173" t="s">
        <v>4966</v>
      </c>
      <c r="B173">
        <v>2666</v>
      </c>
      <c r="C173" t="b">
        <f t="shared" si="2"/>
        <v>0</v>
      </c>
    </row>
    <row r="174" spans="1:3" hidden="1" x14ac:dyDescent="0.25">
      <c r="A174" t="s">
        <v>4336</v>
      </c>
      <c r="B174">
        <v>1965</v>
      </c>
      <c r="C174" t="b">
        <f t="shared" si="2"/>
        <v>0</v>
      </c>
    </row>
    <row r="175" spans="1:3" hidden="1" x14ac:dyDescent="0.25">
      <c r="A175" t="s">
        <v>2823</v>
      </c>
      <c r="B175">
        <v>336</v>
      </c>
      <c r="C175" t="b">
        <f t="shared" si="2"/>
        <v>0</v>
      </c>
    </row>
    <row r="176" spans="1:3" hidden="1" x14ac:dyDescent="0.25">
      <c r="A176" t="s">
        <v>3578</v>
      </c>
      <c r="B176">
        <v>1139</v>
      </c>
      <c r="C176" t="b">
        <f t="shared" si="2"/>
        <v>0</v>
      </c>
    </row>
    <row r="177" spans="1:3" hidden="1" x14ac:dyDescent="0.25">
      <c r="A177" t="s">
        <v>3026</v>
      </c>
      <c r="B177">
        <v>553</v>
      </c>
      <c r="C177" t="b">
        <f t="shared" si="2"/>
        <v>0</v>
      </c>
    </row>
    <row r="178" spans="1:3" hidden="1" x14ac:dyDescent="0.25">
      <c r="A178" t="s">
        <v>3027</v>
      </c>
      <c r="B178">
        <v>554</v>
      </c>
      <c r="C178" t="b">
        <f t="shared" si="2"/>
        <v>0</v>
      </c>
    </row>
    <row r="179" spans="1:3" hidden="1" x14ac:dyDescent="0.25">
      <c r="A179" t="s">
        <v>2855</v>
      </c>
      <c r="B179">
        <v>369</v>
      </c>
      <c r="C179" t="b">
        <f t="shared" si="2"/>
        <v>0</v>
      </c>
    </row>
    <row r="180" spans="1:3" hidden="1" x14ac:dyDescent="0.25">
      <c r="A180" t="s">
        <v>2856</v>
      </c>
      <c r="B180">
        <v>370</v>
      </c>
      <c r="C180" t="b">
        <f t="shared" si="2"/>
        <v>0</v>
      </c>
    </row>
    <row r="181" spans="1:3" hidden="1" x14ac:dyDescent="0.25">
      <c r="A181" t="s">
        <v>2857</v>
      </c>
      <c r="B181">
        <v>371</v>
      </c>
      <c r="C181" t="b">
        <f t="shared" si="2"/>
        <v>0</v>
      </c>
    </row>
    <row r="182" spans="1:3" hidden="1" x14ac:dyDescent="0.25">
      <c r="A182" t="s">
        <v>2858</v>
      </c>
      <c r="B182">
        <v>372</v>
      </c>
      <c r="C182" t="b">
        <f t="shared" si="2"/>
        <v>0</v>
      </c>
    </row>
    <row r="183" spans="1:3" hidden="1" x14ac:dyDescent="0.25">
      <c r="A183" t="s">
        <v>2859</v>
      </c>
      <c r="B183">
        <v>373</v>
      </c>
      <c r="C183" t="b">
        <f t="shared" si="2"/>
        <v>0</v>
      </c>
    </row>
    <row r="184" spans="1:3" hidden="1" x14ac:dyDescent="0.25">
      <c r="A184" t="s">
        <v>2860</v>
      </c>
      <c r="B184">
        <v>374</v>
      </c>
      <c r="C184" t="b">
        <f t="shared" si="2"/>
        <v>0</v>
      </c>
    </row>
    <row r="185" spans="1:3" hidden="1" x14ac:dyDescent="0.25">
      <c r="A185" t="s">
        <v>2861</v>
      </c>
      <c r="B185">
        <v>375</v>
      </c>
      <c r="C185" t="b">
        <f t="shared" si="2"/>
        <v>0</v>
      </c>
    </row>
    <row r="186" spans="1:3" hidden="1" x14ac:dyDescent="0.25">
      <c r="A186" t="s">
        <v>2862</v>
      </c>
      <c r="B186">
        <v>376</v>
      </c>
      <c r="C186" t="b">
        <f t="shared" si="2"/>
        <v>0</v>
      </c>
    </row>
    <row r="187" spans="1:3" hidden="1" x14ac:dyDescent="0.25">
      <c r="A187" t="s">
        <v>2863</v>
      </c>
      <c r="B187">
        <v>377</v>
      </c>
      <c r="C187" t="b">
        <f t="shared" si="2"/>
        <v>0</v>
      </c>
    </row>
    <row r="188" spans="1:3" hidden="1" x14ac:dyDescent="0.25">
      <c r="A188" t="s">
        <v>2864</v>
      </c>
      <c r="B188">
        <v>378</v>
      </c>
      <c r="C188" t="b">
        <f t="shared" si="2"/>
        <v>0</v>
      </c>
    </row>
    <row r="189" spans="1:3" hidden="1" x14ac:dyDescent="0.25">
      <c r="A189" t="s">
        <v>2693</v>
      </c>
      <c r="B189">
        <v>203</v>
      </c>
      <c r="C189" t="b">
        <f t="shared" si="2"/>
        <v>0</v>
      </c>
    </row>
    <row r="190" spans="1:3" hidden="1" x14ac:dyDescent="0.25">
      <c r="A190" t="s">
        <v>2694</v>
      </c>
      <c r="B190">
        <v>204</v>
      </c>
      <c r="C190" t="b">
        <f t="shared" si="2"/>
        <v>0</v>
      </c>
    </row>
    <row r="191" spans="1:3" hidden="1" x14ac:dyDescent="0.25">
      <c r="A191" t="s">
        <v>3294</v>
      </c>
      <c r="B191">
        <v>831</v>
      </c>
      <c r="C191" t="b">
        <f t="shared" si="2"/>
        <v>0</v>
      </c>
    </row>
    <row r="192" spans="1:3" hidden="1" x14ac:dyDescent="0.25">
      <c r="A192" t="s">
        <v>3159</v>
      </c>
      <c r="B192">
        <v>692</v>
      </c>
      <c r="C192" t="b">
        <f t="shared" si="2"/>
        <v>0</v>
      </c>
    </row>
    <row r="193" spans="1:3" hidden="1" x14ac:dyDescent="0.25">
      <c r="A193" t="s">
        <v>2695</v>
      </c>
      <c r="B193">
        <v>205</v>
      </c>
      <c r="C193" t="b">
        <f t="shared" si="2"/>
        <v>0</v>
      </c>
    </row>
    <row r="194" spans="1:3" hidden="1" x14ac:dyDescent="0.25">
      <c r="A194" t="s">
        <v>2696</v>
      </c>
      <c r="B194">
        <v>206</v>
      </c>
      <c r="C194" t="b">
        <f t="shared" si="2"/>
        <v>0</v>
      </c>
    </row>
    <row r="195" spans="1:3" hidden="1" x14ac:dyDescent="0.25">
      <c r="A195" t="s">
        <v>2692</v>
      </c>
      <c r="B195">
        <v>202</v>
      </c>
      <c r="C195" t="b">
        <f t="shared" ref="C195:C258" si="3">A195=A194</f>
        <v>0</v>
      </c>
    </row>
    <row r="196" spans="1:3" hidden="1" x14ac:dyDescent="0.25">
      <c r="A196" t="s">
        <v>2697</v>
      </c>
      <c r="B196">
        <v>207</v>
      </c>
      <c r="C196" t="b">
        <f t="shared" si="3"/>
        <v>0</v>
      </c>
    </row>
    <row r="197" spans="1:3" hidden="1" x14ac:dyDescent="0.25">
      <c r="A197" t="s">
        <v>2698</v>
      </c>
      <c r="B197">
        <v>208</v>
      </c>
      <c r="C197" t="b">
        <f t="shared" si="3"/>
        <v>0</v>
      </c>
    </row>
    <row r="198" spans="1:3" hidden="1" x14ac:dyDescent="0.25">
      <c r="A198" t="s">
        <v>2699</v>
      </c>
      <c r="B198">
        <v>209</v>
      </c>
      <c r="C198" t="b">
        <f t="shared" si="3"/>
        <v>0</v>
      </c>
    </row>
    <row r="199" spans="1:3" hidden="1" x14ac:dyDescent="0.25">
      <c r="A199" t="s">
        <v>2700</v>
      </c>
      <c r="B199">
        <v>210</v>
      </c>
      <c r="C199" t="b">
        <f t="shared" si="3"/>
        <v>0</v>
      </c>
    </row>
    <row r="200" spans="1:3" hidden="1" x14ac:dyDescent="0.25">
      <c r="A200" t="s">
        <v>2701</v>
      </c>
      <c r="B200">
        <v>211</v>
      </c>
      <c r="C200" t="b">
        <f t="shared" si="3"/>
        <v>0</v>
      </c>
    </row>
    <row r="201" spans="1:3" hidden="1" x14ac:dyDescent="0.25">
      <c r="A201" t="s">
        <v>3077</v>
      </c>
      <c r="B201">
        <v>607</v>
      </c>
      <c r="C201" t="b">
        <f t="shared" si="3"/>
        <v>0</v>
      </c>
    </row>
    <row r="202" spans="1:3" hidden="1" x14ac:dyDescent="0.25">
      <c r="A202" t="s">
        <v>3076</v>
      </c>
      <c r="B202">
        <v>606</v>
      </c>
      <c r="C202" t="b">
        <f t="shared" si="3"/>
        <v>0</v>
      </c>
    </row>
    <row r="203" spans="1:3" hidden="1" x14ac:dyDescent="0.25">
      <c r="A203" t="s">
        <v>2702</v>
      </c>
      <c r="B203">
        <v>212</v>
      </c>
      <c r="C203" t="b">
        <f t="shared" si="3"/>
        <v>0</v>
      </c>
    </row>
    <row r="204" spans="1:3" hidden="1" x14ac:dyDescent="0.25">
      <c r="A204" t="s">
        <v>2928</v>
      </c>
      <c r="B204">
        <v>447</v>
      </c>
      <c r="C204" t="b">
        <f t="shared" si="3"/>
        <v>0</v>
      </c>
    </row>
    <row r="205" spans="1:3" hidden="1" x14ac:dyDescent="0.25">
      <c r="A205" t="s">
        <v>2703</v>
      </c>
      <c r="B205">
        <v>213</v>
      </c>
      <c r="C205" t="b">
        <f t="shared" si="3"/>
        <v>0</v>
      </c>
    </row>
    <row r="206" spans="1:3" hidden="1" x14ac:dyDescent="0.25">
      <c r="A206" t="s">
        <v>3160</v>
      </c>
      <c r="B206">
        <v>693</v>
      </c>
      <c r="C206" t="b">
        <f t="shared" si="3"/>
        <v>0</v>
      </c>
    </row>
    <row r="207" spans="1:3" hidden="1" x14ac:dyDescent="0.25">
      <c r="A207" t="s">
        <v>4051</v>
      </c>
      <c r="B207">
        <v>1649</v>
      </c>
      <c r="C207" t="b">
        <f t="shared" si="3"/>
        <v>0</v>
      </c>
    </row>
    <row r="208" spans="1:3" hidden="1" x14ac:dyDescent="0.25">
      <c r="A208" t="s">
        <v>3721</v>
      </c>
      <c r="B208">
        <v>1291</v>
      </c>
      <c r="C208" t="b">
        <f t="shared" si="3"/>
        <v>0</v>
      </c>
    </row>
    <row r="209" spans="1:3" x14ac:dyDescent="0.25">
      <c r="A209" t="s">
        <v>3721</v>
      </c>
      <c r="B209">
        <v>1647</v>
      </c>
      <c r="C209" t="b">
        <f t="shared" si="3"/>
        <v>1</v>
      </c>
    </row>
    <row r="210" spans="1:3" hidden="1" x14ac:dyDescent="0.25">
      <c r="A210" t="s">
        <v>4050</v>
      </c>
      <c r="B210">
        <v>1648</v>
      </c>
      <c r="C210" t="b">
        <f t="shared" si="3"/>
        <v>0</v>
      </c>
    </row>
    <row r="211" spans="1:3" hidden="1" x14ac:dyDescent="0.25">
      <c r="A211" t="s">
        <v>4615</v>
      </c>
      <c r="B211">
        <v>2274</v>
      </c>
      <c r="C211" t="b">
        <f t="shared" si="3"/>
        <v>0</v>
      </c>
    </row>
    <row r="212" spans="1:3" hidden="1" x14ac:dyDescent="0.25">
      <c r="A212" t="s">
        <v>2960</v>
      </c>
      <c r="B212">
        <v>480</v>
      </c>
      <c r="C212" t="b">
        <f t="shared" si="3"/>
        <v>0</v>
      </c>
    </row>
    <row r="213" spans="1:3" hidden="1" x14ac:dyDescent="0.25">
      <c r="A213" t="s">
        <v>3063</v>
      </c>
      <c r="B213">
        <v>592</v>
      </c>
      <c r="C213" t="b">
        <f t="shared" si="3"/>
        <v>0</v>
      </c>
    </row>
    <row r="214" spans="1:3" hidden="1" x14ac:dyDescent="0.25">
      <c r="A214" t="s">
        <v>2929</v>
      </c>
      <c r="B214">
        <v>448</v>
      </c>
      <c r="C214" t="b">
        <f t="shared" si="3"/>
        <v>0</v>
      </c>
    </row>
    <row r="215" spans="1:3" hidden="1" x14ac:dyDescent="0.25">
      <c r="A215" t="s">
        <v>2930</v>
      </c>
      <c r="B215">
        <v>449</v>
      </c>
      <c r="C215" t="b">
        <f t="shared" si="3"/>
        <v>0</v>
      </c>
    </row>
    <row r="216" spans="1:3" hidden="1" x14ac:dyDescent="0.25">
      <c r="A216" t="s">
        <v>2704</v>
      </c>
      <c r="B216">
        <v>214</v>
      </c>
      <c r="C216" t="b">
        <f t="shared" si="3"/>
        <v>0</v>
      </c>
    </row>
    <row r="217" spans="1:3" x14ac:dyDescent="0.25">
      <c r="A217" t="s">
        <v>2704</v>
      </c>
      <c r="B217">
        <v>1966</v>
      </c>
      <c r="C217" t="b">
        <f t="shared" si="3"/>
        <v>1</v>
      </c>
    </row>
    <row r="218" spans="1:3" hidden="1" x14ac:dyDescent="0.25">
      <c r="A218" t="s">
        <v>3249</v>
      </c>
      <c r="B218">
        <v>784</v>
      </c>
      <c r="C218" t="b">
        <f t="shared" si="3"/>
        <v>0</v>
      </c>
    </row>
    <row r="219" spans="1:3" hidden="1" x14ac:dyDescent="0.25">
      <c r="A219" t="s">
        <v>3248</v>
      </c>
      <c r="B219">
        <v>783</v>
      </c>
      <c r="C219" t="b">
        <f t="shared" si="3"/>
        <v>0</v>
      </c>
    </row>
    <row r="220" spans="1:3" hidden="1" x14ac:dyDescent="0.25">
      <c r="A220" t="s">
        <v>2865</v>
      </c>
      <c r="B220">
        <v>379</v>
      </c>
      <c r="C220" t="b">
        <f t="shared" si="3"/>
        <v>0</v>
      </c>
    </row>
    <row r="221" spans="1:3" hidden="1" x14ac:dyDescent="0.25">
      <c r="A221" t="s">
        <v>4206</v>
      </c>
      <c r="B221">
        <v>1828</v>
      </c>
      <c r="C221" t="b">
        <f t="shared" si="3"/>
        <v>0</v>
      </c>
    </row>
    <row r="222" spans="1:3" hidden="1" x14ac:dyDescent="0.25">
      <c r="A222" t="s">
        <v>4207</v>
      </c>
      <c r="B222">
        <v>1829</v>
      </c>
      <c r="C222" t="b">
        <f t="shared" si="3"/>
        <v>0</v>
      </c>
    </row>
    <row r="223" spans="1:3" hidden="1" x14ac:dyDescent="0.25">
      <c r="A223" t="s">
        <v>3191</v>
      </c>
      <c r="B223">
        <v>725</v>
      </c>
      <c r="C223" t="b">
        <f t="shared" si="3"/>
        <v>0</v>
      </c>
    </row>
    <row r="224" spans="1:3" hidden="1" x14ac:dyDescent="0.25">
      <c r="A224" t="s">
        <v>3511</v>
      </c>
      <c r="B224">
        <v>1068</v>
      </c>
      <c r="C224" t="b">
        <f t="shared" si="3"/>
        <v>0</v>
      </c>
    </row>
    <row r="225" spans="1:3" hidden="1" x14ac:dyDescent="0.25">
      <c r="A225" t="s">
        <v>3512</v>
      </c>
      <c r="B225">
        <v>1069</v>
      </c>
      <c r="C225" t="b">
        <f t="shared" si="3"/>
        <v>0</v>
      </c>
    </row>
    <row r="226" spans="1:3" hidden="1" x14ac:dyDescent="0.25">
      <c r="A226" t="s">
        <v>4616</v>
      </c>
      <c r="B226">
        <v>2275</v>
      </c>
      <c r="C226" t="b">
        <f t="shared" si="3"/>
        <v>0</v>
      </c>
    </row>
    <row r="227" spans="1:3" hidden="1" x14ac:dyDescent="0.25">
      <c r="A227" t="s">
        <v>2593</v>
      </c>
      <c r="B227">
        <v>100</v>
      </c>
      <c r="C227" t="b">
        <f t="shared" si="3"/>
        <v>0</v>
      </c>
    </row>
    <row r="228" spans="1:3" hidden="1" x14ac:dyDescent="0.25">
      <c r="A228" t="s">
        <v>2594</v>
      </c>
      <c r="B228">
        <v>101</v>
      </c>
      <c r="C228" t="b">
        <f t="shared" si="3"/>
        <v>0</v>
      </c>
    </row>
    <row r="229" spans="1:3" hidden="1" x14ac:dyDescent="0.25">
      <c r="A229" t="s">
        <v>2592</v>
      </c>
      <c r="B229">
        <v>99</v>
      </c>
      <c r="C229" t="b">
        <f t="shared" si="3"/>
        <v>0</v>
      </c>
    </row>
    <row r="230" spans="1:3" hidden="1" x14ac:dyDescent="0.25">
      <c r="A230" t="s">
        <v>5041</v>
      </c>
      <c r="B230">
        <v>2744</v>
      </c>
      <c r="C230" t="b">
        <f t="shared" si="3"/>
        <v>0</v>
      </c>
    </row>
    <row r="231" spans="1:3" hidden="1" x14ac:dyDescent="0.25">
      <c r="A231" t="s">
        <v>5042</v>
      </c>
      <c r="B231">
        <v>2745</v>
      </c>
      <c r="C231" t="b">
        <f t="shared" si="3"/>
        <v>0</v>
      </c>
    </row>
    <row r="232" spans="1:3" hidden="1" x14ac:dyDescent="0.25">
      <c r="A232" t="s">
        <v>3120</v>
      </c>
      <c r="B232">
        <v>652</v>
      </c>
      <c r="C232" t="b">
        <f t="shared" si="3"/>
        <v>0</v>
      </c>
    </row>
    <row r="233" spans="1:3" hidden="1" x14ac:dyDescent="0.25">
      <c r="A233" t="s">
        <v>4246</v>
      </c>
      <c r="B233">
        <v>1870</v>
      </c>
      <c r="C233" t="b">
        <f t="shared" si="3"/>
        <v>0</v>
      </c>
    </row>
    <row r="234" spans="1:3" hidden="1" x14ac:dyDescent="0.25">
      <c r="A234" t="s">
        <v>3028</v>
      </c>
      <c r="B234">
        <v>555</v>
      </c>
      <c r="C234" t="b">
        <f t="shared" si="3"/>
        <v>0</v>
      </c>
    </row>
    <row r="235" spans="1:3" hidden="1" x14ac:dyDescent="0.25">
      <c r="A235" t="s">
        <v>4837</v>
      </c>
      <c r="B235">
        <v>2522</v>
      </c>
      <c r="C235" t="b">
        <f t="shared" si="3"/>
        <v>0</v>
      </c>
    </row>
    <row r="236" spans="1:3" hidden="1" x14ac:dyDescent="0.25">
      <c r="A236" t="s">
        <v>4475</v>
      </c>
      <c r="B236">
        <v>2110</v>
      </c>
      <c r="C236" t="b">
        <f t="shared" si="3"/>
        <v>0</v>
      </c>
    </row>
    <row r="237" spans="1:3" hidden="1" x14ac:dyDescent="0.25">
      <c r="A237" t="s">
        <v>3250</v>
      </c>
      <c r="B237">
        <v>785</v>
      </c>
      <c r="C237" t="b">
        <f t="shared" si="3"/>
        <v>0</v>
      </c>
    </row>
    <row r="238" spans="1:3" hidden="1" x14ac:dyDescent="0.25">
      <c r="A238" t="s">
        <v>2752</v>
      </c>
      <c r="B238">
        <v>264</v>
      </c>
      <c r="C238" t="b">
        <f t="shared" si="3"/>
        <v>0</v>
      </c>
    </row>
    <row r="239" spans="1:3" hidden="1" x14ac:dyDescent="0.25">
      <c r="A239" t="s">
        <v>2753</v>
      </c>
      <c r="B239">
        <v>265</v>
      </c>
      <c r="C239" t="b">
        <f t="shared" si="3"/>
        <v>0</v>
      </c>
    </row>
    <row r="240" spans="1:3" hidden="1" x14ac:dyDescent="0.25">
      <c r="A240" t="s">
        <v>2754</v>
      </c>
      <c r="B240">
        <v>266</v>
      </c>
      <c r="C240" t="b">
        <f t="shared" si="3"/>
        <v>0</v>
      </c>
    </row>
    <row r="241" spans="1:3" hidden="1" x14ac:dyDescent="0.25">
      <c r="A241" t="s">
        <v>2755</v>
      </c>
      <c r="B241">
        <v>267</v>
      </c>
      <c r="C241" t="b">
        <f t="shared" si="3"/>
        <v>0</v>
      </c>
    </row>
    <row r="242" spans="1:3" hidden="1" x14ac:dyDescent="0.25">
      <c r="A242" t="s">
        <v>2756</v>
      </c>
      <c r="B242">
        <v>268</v>
      </c>
      <c r="C242" t="b">
        <f t="shared" si="3"/>
        <v>0</v>
      </c>
    </row>
    <row r="243" spans="1:3" hidden="1" x14ac:dyDescent="0.25">
      <c r="A243" t="s">
        <v>3121</v>
      </c>
      <c r="B243">
        <v>653</v>
      </c>
      <c r="C243" t="b">
        <f t="shared" si="3"/>
        <v>0</v>
      </c>
    </row>
    <row r="244" spans="1:3" hidden="1" x14ac:dyDescent="0.25">
      <c r="A244" t="s">
        <v>2757</v>
      </c>
      <c r="B244">
        <v>269</v>
      </c>
      <c r="C244" t="b">
        <f t="shared" si="3"/>
        <v>0</v>
      </c>
    </row>
    <row r="245" spans="1:3" hidden="1" x14ac:dyDescent="0.25">
      <c r="A245" t="s">
        <v>2724</v>
      </c>
      <c r="B245">
        <v>235</v>
      </c>
      <c r="C245" t="b">
        <f t="shared" si="3"/>
        <v>0</v>
      </c>
    </row>
    <row r="246" spans="1:3" hidden="1" x14ac:dyDescent="0.25">
      <c r="A246" t="s">
        <v>2725</v>
      </c>
      <c r="B246">
        <v>236</v>
      </c>
      <c r="C246" t="b">
        <f t="shared" si="3"/>
        <v>0</v>
      </c>
    </row>
    <row r="247" spans="1:3" hidden="1" x14ac:dyDescent="0.25">
      <c r="A247" t="s">
        <v>2726</v>
      </c>
      <c r="B247">
        <v>237</v>
      </c>
      <c r="C247" t="b">
        <f t="shared" si="3"/>
        <v>0</v>
      </c>
    </row>
    <row r="248" spans="1:3" hidden="1" x14ac:dyDescent="0.25">
      <c r="A248" t="s">
        <v>2727</v>
      </c>
      <c r="B248">
        <v>238</v>
      </c>
      <c r="C248" t="b">
        <f t="shared" si="3"/>
        <v>0</v>
      </c>
    </row>
    <row r="249" spans="1:3" hidden="1" x14ac:dyDescent="0.25">
      <c r="A249" t="s">
        <v>2728</v>
      </c>
      <c r="B249">
        <v>239</v>
      </c>
      <c r="C249" t="b">
        <f t="shared" si="3"/>
        <v>0</v>
      </c>
    </row>
    <row r="250" spans="1:3" hidden="1" x14ac:dyDescent="0.25">
      <c r="A250" t="s">
        <v>2731</v>
      </c>
      <c r="B250">
        <v>242</v>
      </c>
      <c r="C250" t="b">
        <f t="shared" si="3"/>
        <v>0</v>
      </c>
    </row>
    <row r="251" spans="1:3" hidden="1" x14ac:dyDescent="0.25">
      <c r="A251" t="s">
        <v>2729</v>
      </c>
      <c r="B251">
        <v>240</v>
      </c>
      <c r="C251" t="b">
        <f t="shared" si="3"/>
        <v>0</v>
      </c>
    </row>
    <row r="252" spans="1:3" hidden="1" x14ac:dyDescent="0.25">
      <c r="A252" t="s">
        <v>2730</v>
      </c>
      <c r="B252">
        <v>241</v>
      </c>
      <c r="C252" t="b">
        <f t="shared" si="3"/>
        <v>0</v>
      </c>
    </row>
    <row r="253" spans="1:3" hidden="1" x14ac:dyDescent="0.25">
      <c r="A253" t="s">
        <v>4518</v>
      </c>
      <c r="B253">
        <v>2160</v>
      </c>
      <c r="C253" t="b">
        <f t="shared" si="3"/>
        <v>0</v>
      </c>
    </row>
    <row r="254" spans="1:3" hidden="1" x14ac:dyDescent="0.25">
      <c r="A254" t="s">
        <v>4375</v>
      </c>
      <c r="B254">
        <v>2009</v>
      </c>
      <c r="C254" t="b">
        <f t="shared" si="3"/>
        <v>0</v>
      </c>
    </row>
    <row r="255" spans="1:3" hidden="1" x14ac:dyDescent="0.25">
      <c r="A255" t="s">
        <v>4208</v>
      </c>
      <c r="B255">
        <v>1830</v>
      </c>
      <c r="C255" t="b">
        <f t="shared" si="3"/>
        <v>0</v>
      </c>
    </row>
    <row r="256" spans="1:3" hidden="1" x14ac:dyDescent="0.25">
      <c r="A256" t="s">
        <v>3513</v>
      </c>
      <c r="B256">
        <v>1070</v>
      </c>
      <c r="C256" t="b">
        <f t="shared" si="3"/>
        <v>0</v>
      </c>
    </row>
    <row r="257" spans="1:3" hidden="1" x14ac:dyDescent="0.25">
      <c r="A257" t="s">
        <v>3514</v>
      </c>
      <c r="B257">
        <v>1071</v>
      </c>
      <c r="C257" t="b">
        <f t="shared" si="3"/>
        <v>0</v>
      </c>
    </row>
    <row r="258" spans="1:3" hidden="1" x14ac:dyDescent="0.25">
      <c r="A258" t="s">
        <v>2758</v>
      </c>
      <c r="B258">
        <v>270</v>
      </c>
      <c r="C258" t="b">
        <f t="shared" si="3"/>
        <v>0</v>
      </c>
    </row>
    <row r="259" spans="1:3" hidden="1" x14ac:dyDescent="0.25">
      <c r="A259" t="s">
        <v>2760</v>
      </c>
      <c r="B259">
        <v>272</v>
      </c>
      <c r="C259" t="b">
        <f t="shared" ref="C259:C322" si="4">A259=A258</f>
        <v>0</v>
      </c>
    </row>
    <row r="260" spans="1:3" hidden="1" x14ac:dyDescent="0.25">
      <c r="A260" t="s">
        <v>2761</v>
      </c>
      <c r="B260">
        <v>273</v>
      </c>
      <c r="C260" t="b">
        <f t="shared" si="4"/>
        <v>0</v>
      </c>
    </row>
    <row r="261" spans="1:3" hidden="1" x14ac:dyDescent="0.25">
      <c r="A261" t="s">
        <v>2762</v>
      </c>
      <c r="B261">
        <v>274</v>
      </c>
      <c r="C261" t="b">
        <f t="shared" si="4"/>
        <v>0</v>
      </c>
    </row>
    <row r="262" spans="1:3" hidden="1" x14ac:dyDescent="0.25">
      <c r="A262" t="s">
        <v>2763</v>
      </c>
      <c r="B262">
        <v>275</v>
      </c>
      <c r="C262" t="b">
        <f t="shared" si="4"/>
        <v>0</v>
      </c>
    </row>
    <row r="263" spans="1:3" hidden="1" x14ac:dyDescent="0.25">
      <c r="A263" t="s">
        <v>2764</v>
      </c>
      <c r="B263">
        <v>276</v>
      </c>
      <c r="C263" t="b">
        <f t="shared" si="4"/>
        <v>0</v>
      </c>
    </row>
    <row r="264" spans="1:3" hidden="1" x14ac:dyDescent="0.25">
      <c r="A264" t="s">
        <v>2765</v>
      </c>
      <c r="B264">
        <v>277</v>
      </c>
      <c r="C264" t="b">
        <f t="shared" si="4"/>
        <v>0</v>
      </c>
    </row>
    <row r="265" spans="1:3" hidden="1" x14ac:dyDescent="0.25">
      <c r="A265" t="s">
        <v>2767</v>
      </c>
      <c r="B265">
        <v>279</v>
      </c>
      <c r="C265" t="b">
        <f t="shared" si="4"/>
        <v>0</v>
      </c>
    </row>
    <row r="266" spans="1:3" hidden="1" x14ac:dyDescent="0.25">
      <c r="A266" t="s">
        <v>2766</v>
      </c>
      <c r="B266">
        <v>278</v>
      </c>
      <c r="C266" t="b">
        <f t="shared" si="4"/>
        <v>0</v>
      </c>
    </row>
    <row r="267" spans="1:3" hidden="1" x14ac:dyDescent="0.25">
      <c r="A267" t="s">
        <v>2759</v>
      </c>
      <c r="B267">
        <v>271</v>
      </c>
      <c r="C267" t="b">
        <f t="shared" si="4"/>
        <v>0</v>
      </c>
    </row>
    <row r="268" spans="1:3" hidden="1" x14ac:dyDescent="0.25">
      <c r="A268" t="s">
        <v>2768</v>
      </c>
      <c r="B268">
        <v>280</v>
      </c>
      <c r="C268" t="b">
        <f t="shared" si="4"/>
        <v>0</v>
      </c>
    </row>
    <row r="269" spans="1:3" hidden="1" x14ac:dyDescent="0.25">
      <c r="A269" t="s">
        <v>3271</v>
      </c>
      <c r="B269">
        <v>807</v>
      </c>
      <c r="C269" t="b">
        <f t="shared" si="4"/>
        <v>0</v>
      </c>
    </row>
    <row r="270" spans="1:3" hidden="1" x14ac:dyDescent="0.25">
      <c r="A270" t="s">
        <v>3273</v>
      </c>
      <c r="B270">
        <v>809</v>
      </c>
      <c r="C270" t="b">
        <f t="shared" si="4"/>
        <v>0</v>
      </c>
    </row>
    <row r="271" spans="1:3" hidden="1" x14ac:dyDescent="0.25">
      <c r="A271" t="s">
        <v>3274</v>
      </c>
      <c r="B271">
        <v>810</v>
      </c>
      <c r="C271" t="b">
        <f t="shared" si="4"/>
        <v>0</v>
      </c>
    </row>
    <row r="272" spans="1:3" hidden="1" x14ac:dyDescent="0.25">
      <c r="A272" t="s">
        <v>3272</v>
      </c>
      <c r="B272">
        <v>808</v>
      </c>
      <c r="C272" t="b">
        <f t="shared" si="4"/>
        <v>0</v>
      </c>
    </row>
    <row r="273" spans="1:3" hidden="1" x14ac:dyDescent="0.25">
      <c r="A273" t="s">
        <v>2732</v>
      </c>
      <c r="B273">
        <v>243</v>
      </c>
      <c r="C273" t="b">
        <f t="shared" si="4"/>
        <v>0</v>
      </c>
    </row>
    <row r="274" spans="1:3" hidden="1" x14ac:dyDescent="0.25">
      <c r="A274" t="s">
        <v>2733</v>
      </c>
      <c r="B274">
        <v>244</v>
      </c>
      <c r="C274" t="b">
        <f t="shared" si="4"/>
        <v>0</v>
      </c>
    </row>
    <row r="275" spans="1:3" hidden="1" x14ac:dyDescent="0.25">
      <c r="A275" t="s">
        <v>4376</v>
      </c>
      <c r="B275">
        <v>2010</v>
      </c>
      <c r="C275" t="b">
        <f t="shared" si="4"/>
        <v>0</v>
      </c>
    </row>
    <row r="276" spans="1:3" hidden="1" x14ac:dyDescent="0.25">
      <c r="A276" t="s">
        <v>4548</v>
      </c>
      <c r="B276">
        <v>2197</v>
      </c>
      <c r="C276" t="b">
        <f t="shared" si="4"/>
        <v>0</v>
      </c>
    </row>
    <row r="277" spans="1:3" hidden="1" x14ac:dyDescent="0.25">
      <c r="A277" t="s">
        <v>4549</v>
      </c>
      <c r="B277">
        <v>2198</v>
      </c>
      <c r="C277" t="b">
        <f t="shared" si="4"/>
        <v>0</v>
      </c>
    </row>
    <row r="278" spans="1:3" hidden="1" x14ac:dyDescent="0.25">
      <c r="A278" t="s">
        <v>4337</v>
      </c>
      <c r="B278">
        <v>1967</v>
      </c>
      <c r="C278" t="b">
        <f t="shared" si="4"/>
        <v>0</v>
      </c>
    </row>
    <row r="279" spans="1:3" hidden="1" x14ac:dyDescent="0.25">
      <c r="A279" t="s">
        <v>4126</v>
      </c>
      <c r="B279">
        <v>1735</v>
      </c>
      <c r="C279" t="b">
        <f t="shared" si="4"/>
        <v>0</v>
      </c>
    </row>
    <row r="280" spans="1:3" hidden="1" x14ac:dyDescent="0.25">
      <c r="A280" t="s">
        <v>4127</v>
      </c>
      <c r="B280">
        <v>1736</v>
      </c>
      <c r="C280" t="b">
        <f t="shared" si="4"/>
        <v>0</v>
      </c>
    </row>
    <row r="281" spans="1:3" hidden="1" x14ac:dyDescent="0.25">
      <c r="A281" t="s">
        <v>4128</v>
      </c>
      <c r="B281">
        <v>1737</v>
      </c>
      <c r="C281" t="b">
        <f t="shared" si="4"/>
        <v>0</v>
      </c>
    </row>
    <row r="282" spans="1:3" hidden="1" x14ac:dyDescent="0.25">
      <c r="A282" t="s">
        <v>3251</v>
      </c>
      <c r="B282">
        <v>786</v>
      </c>
      <c r="C282" t="b">
        <f t="shared" si="4"/>
        <v>0</v>
      </c>
    </row>
    <row r="283" spans="1:3" hidden="1" x14ac:dyDescent="0.25">
      <c r="A283" t="s">
        <v>4377</v>
      </c>
      <c r="B283">
        <v>2011</v>
      </c>
      <c r="C283" t="b">
        <f t="shared" si="4"/>
        <v>0</v>
      </c>
    </row>
    <row r="284" spans="1:3" hidden="1" x14ac:dyDescent="0.25">
      <c r="A284" t="s">
        <v>3029</v>
      </c>
      <c r="B284">
        <v>556</v>
      </c>
      <c r="C284" t="b">
        <f t="shared" si="4"/>
        <v>0</v>
      </c>
    </row>
    <row r="285" spans="1:3" x14ac:dyDescent="0.25">
      <c r="A285" t="s">
        <v>3029</v>
      </c>
      <c r="B285">
        <v>1450</v>
      </c>
      <c r="C285" t="b">
        <f t="shared" si="4"/>
        <v>1</v>
      </c>
    </row>
    <row r="286" spans="1:3" hidden="1" x14ac:dyDescent="0.25">
      <c r="A286" t="s">
        <v>3869</v>
      </c>
      <c r="B286">
        <v>1451</v>
      </c>
      <c r="C286" t="b">
        <f t="shared" si="4"/>
        <v>0</v>
      </c>
    </row>
    <row r="287" spans="1:3" hidden="1" x14ac:dyDescent="0.25">
      <c r="A287" t="s">
        <v>4657</v>
      </c>
      <c r="B287">
        <v>2319</v>
      </c>
      <c r="C287" t="b">
        <f t="shared" si="4"/>
        <v>0</v>
      </c>
    </row>
    <row r="288" spans="1:3" hidden="1" x14ac:dyDescent="0.25">
      <c r="A288" t="s">
        <v>4658</v>
      </c>
      <c r="B288">
        <v>2320</v>
      </c>
      <c r="C288" t="b">
        <f t="shared" si="4"/>
        <v>0</v>
      </c>
    </row>
    <row r="289" spans="1:3" hidden="1" x14ac:dyDescent="0.25">
      <c r="A289" t="s">
        <v>2658</v>
      </c>
      <c r="B289">
        <v>168</v>
      </c>
      <c r="C289" t="b">
        <f t="shared" si="4"/>
        <v>0</v>
      </c>
    </row>
    <row r="290" spans="1:3" hidden="1" x14ac:dyDescent="0.25">
      <c r="A290" t="s">
        <v>4378</v>
      </c>
      <c r="B290">
        <v>2012</v>
      </c>
      <c r="C290" t="b">
        <f t="shared" si="4"/>
        <v>0</v>
      </c>
    </row>
    <row r="291" spans="1:3" hidden="1" x14ac:dyDescent="0.25">
      <c r="A291" t="s">
        <v>4379</v>
      </c>
      <c r="B291">
        <v>2013</v>
      </c>
      <c r="C291" t="b">
        <f t="shared" si="4"/>
        <v>0</v>
      </c>
    </row>
    <row r="292" spans="1:3" hidden="1" x14ac:dyDescent="0.25">
      <c r="A292" t="s">
        <v>3192</v>
      </c>
      <c r="B292">
        <v>726</v>
      </c>
      <c r="C292" t="b">
        <f t="shared" si="4"/>
        <v>0</v>
      </c>
    </row>
    <row r="293" spans="1:3" hidden="1" x14ac:dyDescent="0.25">
      <c r="A293" t="s">
        <v>3628</v>
      </c>
      <c r="B293">
        <v>1195</v>
      </c>
      <c r="C293" t="b">
        <f t="shared" si="4"/>
        <v>0</v>
      </c>
    </row>
    <row r="294" spans="1:3" hidden="1" x14ac:dyDescent="0.25">
      <c r="A294" t="s">
        <v>2734</v>
      </c>
      <c r="B294">
        <v>245</v>
      </c>
      <c r="C294" t="b">
        <f t="shared" si="4"/>
        <v>0</v>
      </c>
    </row>
    <row r="295" spans="1:3" hidden="1" x14ac:dyDescent="0.25">
      <c r="A295" t="s">
        <v>3295</v>
      </c>
      <c r="B295">
        <v>832</v>
      </c>
      <c r="C295" t="b">
        <f t="shared" si="4"/>
        <v>0</v>
      </c>
    </row>
    <row r="296" spans="1:3" hidden="1" x14ac:dyDescent="0.25">
      <c r="A296" t="s">
        <v>4570</v>
      </c>
      <c r="B296">
        <v>2227</v>
      </c>
      <c r="C296" t="b">
        <f t="shared" si="4"/>
        <v>0</v>
      </c>
    </row>
    <row r="297" spans="1:3" hidden="1" x14ac:dyDescent="0.25">
      <c r="A297" t="s">
        <v>3161</v>
      </c>
      <c r="B297">
        <v>694</v>
      </c>
      <c r="C297" t="b">
        <f t="shared" si="4"/>
        <v>0</v>
      </c>
    </row>
    <row r="298" spans="1:3" hidden="1" x14ac:dyDescent="0.25">
      <c r="A298" t="s">
        <v>3890</v>
      </c>
      <c r="B298">
        <v>1474</v>
      </c>
      <c r="C298" t="b">
        <f t="shared" si="4"/>
        <v>0</v>
      </c>
    </row>
    <row r="299" spans="1:3" hidden="1" x14ac:dyDescent="0.25">
      <c r="A299" t="s">
        <v>3891</v>
      </c>
      <c r="B299">
        <v>1475</v>
      </c>
      <c r="C299" t="b">
        <f t="shared" si="4"/>
        <v>0</v>
      </c>
    </row>
    <row r="300" spans="1:3" hidden="1" x14ac:dyDescent="0.25">
      <c r="A300" t="s">
        <v>4247</v>
      </c>
      <c r="B300">
        <v>1871</v>
      </c>
      <c r="C300" t="b">
        <f t="shared" si="4"/>
        <v>0</v>
      </c>
    </row>
    <row r="301" spans="1:3" hidden="1" x14ac:dyDescent="0.25">
      <c r="A301" t="s">
        <v>4380</v>
      </c>
      <c r="B301">
        <v>2014</v>
      </c>
      <c r="C301" t="b">
        <f t="shared" si="4"/>
        <v>0</v>
      </c>
    </row>
    <row r="302" spans="1:3" hidden="1" x14ac:dyDescent="0.25">
      <c r="A302" t="s">
        <v>4381</v>
      </c>
      <c r="B302">
        <v>2015</v>
      </c>
      <c r="C302" t="b">
        <f t="shared" si="4"/>
        <v>0</v>
      </c>
    </row>
    <row r="303" spans="1:3" hidden="1" x14ac:dyDescent="0.25">
      <c r="A303" t="s">
        <v>4187</v>
      </c>
      <c r="B303">
        <v>1806</v>
      </c>
      <c r="C303" t="b">
        <f t="shared" si="4"/>
        <v>0</v>
      </c>
    </row>
    <row r="304" spans="1:3" hidden="1" x14ac:dyDescent="0.25">
      <c r="A304" t="s">
        <v>4382</v>
      </c>
      <c r="B304">
        <v>2016</v>
      </c>
      <c r="C304" t="b">
        <f t="shared" si="4"/>
        <v>0</v>
      </c>
    </row>
    <row r="305" spans="1:3" hidden="1" x14ac:dyDescent="0.25">
      <c r="A305" t="s">
        <v>4914</v>
      </c>
      <c r="B305">
        <v>2609</v>
      </c>
      <c r="C305" t="b">
        <f t="shared" si="4"/>
        <v>0</v>
      </c>
    </row>
    <row r="306" spans="1:3" hidden="1" x14ac:dyDescent="0.25">
      <c r="A306" t="s">
        <v>4915</v>
      </c>
      <c r="B306">
        <v>2610</v>
      </c>
      <c r="C306" t="b">
        <f t="shared" si="4"/>
        <v>0</v>
      </c>
    </row>
    <row r="307" spans="1:3" hidden="1" x14ac:dyDescent="0.25">
      <c r="A307" t="s">
        <v>3722</v>
      </c>
      <c r="B307">
        <v>1292</v>
      </c>
      <c r="C307" t="b">
        <f t="shared" si="4"/>
        <v>0</v>
      </c>
    </row>
    <row r="308" spans="1:3" x14ac:dyDescent="0.25">
      <c r="A308" t="s">
        <v>3722</v>
      </c>
      <c r="B308">
        <v>1920</v>
      </c>
      <c r="C308" t="b">
        <f t="shared" si="4"/>
        <v>1</v>
      </c>
    </row>
    <row r="309" spans="1:3" hidden="1" x14ac:dyDescent="0.25">
      <c r="A309" t="s">
        <v>4713</v>
      </c>
      <c r="B309">
        <v>2381</v>
      </c>
      <c r="C309" t="b">
        <f t="shared" si="4"/>
        <v>0</v>
      </c>
    </row>
    <row r="310" spans="1:3" hidden="1" x14ac:dyDescent="0.25">
      <c r="A310" t="s">
        <v>4659</v>
      </c>
      <c r="B310">
        <v>2321</v>
      </c>
      <c r="C310" t="b">
        <f t="shared" si="4"/>
        <v>0</v>
      </c>
    </row>
    <row r="311" spans="1:3" hidden="1" x14ac:dyDescent="0.25">
      <c r="A311" t="s">
        <v>3723</v>
      </c>
      <c r="B311">
        <v>1293</v>
      </c>
      <c r="C311" t="b">
        <f t="shared" si="4"/>
        <v>0</v>
      </c>
    </row>
    <row r="312" spans="1:3" hidden="1" x14ac:dyDescent="0.25">
      <c r="A312" t="s">
        <v>3974</v>
      </c>
      <c r="B312">
        <v>1564</v>
      </c>
      <c r="C312" t="b">
        <f t="shared" si="4"/>
        <v>0</v>
      </c>
    </row>
    <row r="313" spans="1:3" hidden="1" x14ac:dyDescent="0.25">
      <c r="A313" t="s">
        <v>5150</v>
      </c>
      <c r="B313">
        <v>2854</v>
      </c>
      <c r="C313" t="b">
        <f t="shared" si="4"/>
        <v>0</v>
      </c>
    </row>
    <row r="314" spans="1:3" hidden="1" x14ac:dyDescent="0.25">
      <c r="A314" t="s">
        <v>3515</v>
      </c>
      <c r="B314">
        <v>1072</v>
      </c>
      <c r="C314" t="b">
        <f t="shared" si="4"/>
        <v>0</v>
      </c>
    </row>
    <row r="315" spans="1:3" hidden="1" x14ac:dyDescent="0.25">
      <c r="A315" t="s">
        <v>3741</v>
      </c>
      <c r="B315">
        <v>1314</v>
      </c>
      <c r="C315" t="b">
        <f t="shared" si="4"/>
        <v>0</v>
      </c>
    </row>
    <row r="316" spans="1:3" hidden="1" x14ac:dyDescent="0.25">
      <c r="A316" t="s">
        <v>2931</v>
      </c>
      <c r="B316">
        <v>450</v>
      </c>
      <c r="C316" t="b">
        <f t="shared" si="4"/>
        <v>0</v>
      </c>
    </row>
    <row r="317" spans="1:3" hidden="1" x14ac:dyDescent="0.25">
      <c r="A317" t="s">
        <v>2932</v>
      </c>
      <c r="B317">
        <v>451</v>
      </c>
      <c r="C317" t="b">
        <f t="shared" si="4"/>
        <v>0</v>
      </c>
    </row>
    <row r="318" spans="1:3" hidden="1" x14ac:dyDescent="0.25">
      <c r="A318" t="s">
        <v>2933</v>
      </c>
      <c r="B318">
        <v>452</v>
      </c>
      <c r="C318" t="b">
        <f t="shared" si="4"/>
        <v>0</v>
      </c>
    </row>
    <row r="319" spans="1:3" hidden="1" x14ac:dyDescent="0.25">
      <c r="A319" t="s">
        <v>2934</v>
      </c>
      <c r="B319">
        <v>453</v>
      </c>
      <c r="C319" t="b">
        <f t="shared" si="4"/>
        <v>0</v>
      </c>
    </row>
    <row r="320" spans="1:3" hidden="1" x14ac:dyDescent="0.25">
      <c r="A320" t="s">
        <v>3673</v>
      </c>
      <c r="B320">
        <v>1241</v>
      </c>
      <c r="C320" t="b">
        <f t="shared" si="4"/>
        <v>0</v>
      </c>
    </row>
    <row r="321" spans="1:3" x14ac:dyDescent="0.25">
      <c r="A321" t="s">
        <v>3673</v>
      </c>
      <c r="B321">
        <v>2322</v>
      </c>
      <c r="C321" t="b">
        <f t="shared" si="4"/>
        <v>1</v>
      </c>
    </row>
    <row r="322" spans="1:3" hidden="1" x14ac:dyDescent="0.25">
      <c r="A322" t="s">
        <v>3078</v>
      </c>
      <c r="B322">
        <v>608</v>
      </c>
      <c r="C322" t="b">
        <f t="shared" si="4"/>
        <v>0</v>
      </c>
    </row>
    <row r="323" spans="1:3" hidden="1" x14ac:dyDescent="0.25">
      <c r="A323" t="s">
        <v>2825</v>
      </c>
      <c r="B323">
        <v>338</v>
      </c>
      <c r="C323" t="b">
        <f t="shared" ref="C323:C386" si="5">A323=A322</f>
        <v>0</v>
      </c>
    </row>
    <row r="324" spans="1:3" hidden="1" x14ac:dyDescent="0.25">
      <c r="A324" t="s">
        <v>2824</v>
      </c>
      <c r="B324">
        <v>337</v>
      </c>
      <c r="C324" t="b">
        <f t="shared" si="5"/>
        <v>0</v>
      </c>
    </row>
    <row r="325" spans="1:3" hidden="1" x14ac:dyDescent="0.25">
      <c r="A325" t="s">
        <v>2826</v>
      </c>
      <c r="B325">
        <v>339</v>
      </c>
      <c r="C325" t="b">
        <f t="shared" si="5"/>
        <v>0</v>
      </c>
    </row>
    <row r="326" spans="1:3" hidden="1" x14ac:dyDescent="0.25">
      <c r="A326" t="s">
        <v>2827</v>
      </c>
      <c r="B326">
        <v>340</v>
      </c>
      <c r="C326" t="b">
        <f t="shared" si="5"/>
        <v>0</v>
      </c>
    </row>
    <row r="327" spans="1:3" hidden="1" x14ac:dyDescent="0.25">
      <c r="A327" t="s">
        <v>2828</v>
      </c>
      <c r="B327">
        <v>341</v>
      </c>
      <c r="C327" t="b">
        <f t="shared" si="5"/>
        <v>0</v>
      </c>
    </row>
    <row r="328" spans="1:3" hidden="1" x14ac:dyDescent="0.25">
      <c r="A328" t="s">
        <v>2829</v>
      </c>
      <c r="B328">
        <v>342</v>
      </c>
      <c r="C328" t="b">
        <f t="shared" si="5"/>
        <v>0</v>
      </c>
    </row>
    <row r="329" spans="1:3" hidden="1" x14ac:dyDescent="0.25">
      <c r="A329" t="s">
        <v>4109</v>
      </c>
      <c r="B329">
        <v>1712</v>
      </c>
      <c r="C329" t="b">
        <f t="shared" si="5"/>
        <v>0</v>
      </c>
    </row>
    <row r="330" spans="1:3" hidden="1" x14ac:dyDescent="0.25">
      <c r="A330" t="s">
        <v>2830</v>
      </c>
      <c r="B330">
        <v>343</v>
      </c>
      <c r="C330" t="b">
        <f t="shared" si="5"/>
        <v>0</v>
      </c>
    </row>
    <row r="331" spans="1:3" hidden="1" x14ac:dyDescent="0.25">
      <c r="A331" t="s">
        <v>4383</v>
      </c>
      <c r="B331">
        <v>2017</v>
      </c>
      <c r="C331" t="b">
        <f t="shared" si="5"/>
        <v>0</v>
      </c>
    </row>
    <row r="332" spans="1:3" hidden="1" x14ac:dyDescent="0.25">
      <c r="A332" t="s">
        <v>4384</v>
      </c>
      <c r="B332">
        <v>2018</v>
      </c>
      <c r="C332" t="b">
        <f t="shared" si="5"/>
        <v>0</v>
      </c>
    </row>
    <row r="333" spans="1:3" hidden="1" x14ac:dyDescent="0.25">
      <c r="A333" t="s">
        <v>4660</v>
      </c>
      <c r="B333">
        <v>2323</v>
      </c>
      <c r="C333" t="b">
        <f t="shared" si="5"/>
        <v>0</v>
      </c>
    </row>
    <row r="334" spans="1:3" hidden="1" x14ac:dyDescent="0.25">
      <c r="A334" t="s">
        <v>4916</v>
      </c>
      <c r="B334">
        <v>2611</v>
      </c>
      <c r="C334" t="b">
        <f t="shared" si="5"/>
        <v>0</v>
      </c>
    </row>
    <row r="335" spans="1:3" hidden="1" x14ac:dyDescent="0.25">
      <c r="A335" t="s">
        <v>3102</v>
      </c>
      <c r="B335">
        <v>633</v>
      </c>
      <c r="C335" t="b">
        <f t="shared" si="5"/>
        <v>0</v>
      </c>
    </row>
    <row r="336" spans="1:3" hidden="1" x14ac:dyDescent="0.25">
      <c r="A336" t="s">
        <v>3103</v>
      </c>
      <c r="B336">
        <v>634</v>
      </c>
      <c r="C336" t="b">
        <f t="shared" si="5"/>
        <v>0</v>
      </c>
    </row>
    <row r="337" spans="1:3" hidden="1" x14ac:dyDescent="0.25">
      <c r="A337" t="s">
        <v>3975</v>
      </c>
      <c r="B337">
        <v>1565</v>
      </c>
      <c r="C337" t="b">
        <f t="shared" si="5"/>
        <v>0</v>
      </c>
    </row>
    <row r="338" spans="1:3" hidden="1" x14ac:dyDescent="0.25">
      <c r="A338" t="s">
        <v>4661</v>
      </c>
      <c r="B338">
        <v>2324</v>
      </c>
      <c r="C338" t="b">
        <f t="shared" si="5"/>
        <v>0</v>
      </c>
    </row>
    <row r="339" spans="1:3" hidden="1" x14ac:dyDescent="0.25">
      <c r="A339" t="s">
        <v>4662</v>
      </c>
      <c r="B339">
        <v>2325</v>
      </c>
      <c r="C339" t="b">
        <f t="shared" si="5"/>
        <v>0</v>
      </c>
    </row>
    <row r="340" spans="1:3" hidden="1" x14ac:dyDescent="0.25">
      <c r="A340" t="s">
        <v>4338</v>
      </c>
      <c r="B340">
        <v>1968</v>
      </c>
      <c r="C340" t="b">
        <f t="shared" si="5"/>
        <v>0</v>
      </c>
    </row>
    <row r="341" spans="1:3" hidden="1" x14ac:dyDescent="0.25">
      <c r="A341" t="s">
        <v>4967</v>
      </c>
      <c r="B341">
        <v>2667</v>
      </c>
      <c r="C341" t="b">
        <f t="shared" si="5"/>
        <v>0</v>
      </c>
    </row>
    <row r="342" spans="1:3" hidden="1" x14ac:dyDescent="0.25">
      <c r="A342" t="s">
        <v>2769</v>
      </c>
      <c r="B342">
        <v>281</v>
      </c>
      <c r="C342" t="b">
        <f t="shared" si="5"/>
        <v>0</v>
      </c>
    </row>
    <row r="343" spans="1:3" hidden="1" x14ac:dyDescent="0.25">
      <c r="A343" t="s">
        <v>2770</v>
      </c>
      <c r="B343">
        <v>282</v>
      </c>
      <c r="C343" t="b">
        <f t="shared" si="5"/>
        <v>0</v>
      </c>
    </row>
    <row r="344" spans="1:3" hidden="1" x14ac:dyDescent="0.25">
      <c r="A344" t="s">
        <v>3030</v>
      </c>
      <c r="B344">
        <v>557</v>
      </c>
      <c r="C344" t="b">
        <f t="shared" si="5"/>
        <v>0</v>
      </c>
    </row>
    <row r="345" spans="1:3" hidden="1" x14ac:dyDescent="0.25">
      <c r="A345" t="s">
        <v>3925</v>
      </c>
      <c r="B345">
        <v>1511</v>
      </c>
      <c r="C345" t="b">
        <f t="shared" si="5"/>
        <v>0</v>
      </c>
    </row>
    <row r="346" spans="1:3" hidden="1" x14ac:dyDescent="0.25">
      <c r="A346" t="s">
        <v>3926</v>
      </c>
      <c r="B346">
        <v>1512</v>
      </c>
      <c r="C346" t="b">
        <f t="shared" si="5"/>
        <v>0</v>
      </c>
    </row>
    <row r="347" spans="1:3" hidden="1" x14ac:dyDescent="0.25">
      <c r="A347" t="s">
        <v>3927</v>
      </c>
      <c r="B347">
        <v>1513</v>
      </c>
      <c r="C347" t="b">
        <f t="shared" si="5"/>
        <v>0</v>
      </c>
    </row>
    <row r="348" spans="1:3" hidden="1" x14ac:dyDescent="0.25">
      <c r="A348" t="s">
        <v>3928</v>
      </c>
      <c r="B348">
        <v>1514</v>
      </c>
      <c r="C348" t="b">
        <f t="shared" si="5"/>
        <v>0</v>
      </c>
    </row>
    <row r="349" spans="1:3" hidden="1" x14ac:dyDescent="0.25">
      <c r="A349" t="s">
        <v>4282</v>
      </c>
      <c r="B349">
        <v>1908</v>
      </c>
      <c r="C349" t="b">
        <f t="shared" si="5"/>
        <v>0</v>
      </c>
    </row>
    <row r="350" spans="1:3" hidden="1" x14ac:dyDescent="0.25">
      <c r="A350" t="s">
        <v>3892</v>
      </c>
      <c r="B350">
        <v>1476</v>
      </c>
      <c r="C350" t="b">
        <f t="shared" si="5"/>
        <v>0</v>
      </c>
    </row>
    <row r="351" spans="1:3" hidden="1" x14ac:dyDescent="0.25">
      <c r="A351" t="s">
        <v>4714</v>
      </c>
      <c r="B351">
        <v>2382</v>
      </c>
      <c r="C351" t="b">
        <f t="shared" si="5"/>
        <v>0</v>
      </c>
    </row>
    <row r="352" spans="1:3" hidden="1" x14ac:dyDescent="0.25">
      <c r="A352" t="s">
        <v>2831</v>
      </c>
      <c r="B352">
        <v>344</v>
      </c>
      <c r="C352" t="b">
        <f t="shared" si="5"/>
        <v>0</v>
      </c>
    </row>
    <row r="353" spans="1:3" hidden="1" x14ac:dyDescent="0.25">
      <c r="A353" t="s">
        <v>2832</v>
      </c>
      <c r="B353">
        <v>345</v>
      </c>
      <c r="C353" t="b">
        <f t="shared" si="5"/>
        <v>0</v>
      </c>
    </row>
    <row r="354" spans="1:3" hidden="1" x14ac:dyDescent="0.25">
      <c r="A354" t="s">
        <v>3122</v>
      </c>
      <c r="B354">
        <v>654</v>
      </c>
      <c r="C354" t="b">
        <f t="shared" si="5"/>
        <v>0</v>
      </c>
    </row>
    <row r="355" spans="1:3" x14ac:dyDescent="0.25">
      <c r="A355" t="s">
        <v>3122</v>
      </c>
      <c r="B355">
        <v>967</v>
      </c>
      <c r="C355" t="b">
        <f t="shared" si="5"/>
        <v>1</v>
      </c>
    </row>
    <row r="356" spans="1:3" hidden="1" x14ac:dyDescent="0.25">
      <c r="A356" t="s">
        <v>3629</v>
      </c>
      <c r="B356">
        <v>1196</v>
      </c>
      <c r="C356" t="b">
        <f t="shared" si="5"/>
        <v>0</v>
      </c>
    </row>
    <row r="357" spans="1:3" hidden="1" x14ac:dyDescent="0.25">
      <c r="A357" t="s">
        <v>4339</v>
      </c>
      <c r="B357">
        <v>1969</v>
      </c>
      <c r="C357" t="b">
        <f t="shared" si="5"/>
        <v>0</v>
      </c>
    </row>
    <row r="358" spans="1:3" hidden="1" x14ac:dyDescent="0.25">
      <c r="A358" t="s">
        <v>3601</v>
      </c>
      <c r="B358">
        <v>1163</v>
      </c>
      <c r="C358" t="b">
        <f t="shared" si="5"/>
        <v>0</v>
      </c>
    </row>
    <row r="359" spans="1:3" hidden="1" x14ac:dyDescent="0.25">
      <c r="A359" t="s">
        <v>4784</v>
      </c>
      <c r="B359">
        <v>2460</v>
      </c>
      <c r="C359" t="b">
        <f t="shared" si="5"/>
        <v>0</v>
      </c>
    </row>
    <row r="360" spans="1:3" hidden="1" x14ac:dyDescent="0.25">
      <c r="A360" t="s">
        <v>4785</v>
      </c>
      <c r="B360">
        <v>2461</v>
      </c>
      <c r="C360" t="b">
        <f t="shared" si="5"/>
        <v>0</v>
      </c>
    </row>
    <row r="361" spans="1:3" hidden="1" x14ac:dyDescent="0.25">
      <c r="A361" t="s">
        <v>4786</v>
      </c>
      <c r="B361">
        <v>2462</v>
      </c>
      <c r="C361" t="b">
        <f t="shared" si="5"/>
        <v>0</v>
      </c>
    </row>
    <row r="362" spans="1:3" hidden="1" x14ac:dyDescent="0.25">
      <c r="A362" t="s">
        <v>5043</v>
      </c>
      <c r="B362">
        <v>2746</v>
      </c>
      <c r="C362" t="b">
        <f t="shared" si="5"/>
        <v>0</v>
      </c>
    </row>
    <row r="363" spans="1:3" hidden="1" x14ac:dyDescent="0.25">
      <c r="A363" t="s">
        <v>3992</v>
      </c>
      <c r="B363">
        <v>1586</v>
      </c>
      <c r="C363" t="b">
        <f t="shared" si="5"/>
        <v>0</v>
      </c>
    </row>
    <row r="364" spans="1:3" hidden="1" x14ac:dyDescent="0.25">
      <c r="A364" t="s">
        <v>2771</v>
      </c>
      <c r="B364">
        <v>283</v>
      </c>
      <c r="C364" t="b">
        <f t="shared" si="5"/>
        <v>0</v>
      </c>
    </row>
    <row r="365" spans="1:3" hidden="1" x14ac:dyDescent="0.25">
      <c r="A365" t="s">
        <v>2773</v>
      </c>
      <c r="B365">
        <v>285</v>
      </c>
      <c r="C365" t="b">
        <f t="shared" si="5"/>
        <v>0</v>
      </c>
    </row>
    <row r="366" spans="1:3" hidden="1" x14ac:dyDescent="0.25">
      <c r="A366" t="s">
        <v>2774</v>
      </c>
      <c r="B366">
        <v>286</v>
      </c>
      <c r="C366" t="b">
        <f t="shared" si="5"/>
        <v>0</v>
      </c>
    </row>
    <row r="367" spans="1:3" hidden="1" x14ac:dyDescent="0.25">
      <c r="A367" t="s">
        <v>2772</v>
      </c>
      <c r="B367">
        <v>284</v>
      </c>
      <c r="C367" t="b">
        <f t="shared" si="5"/>
        <v>0</v>
      </c>
    </row>
    <row r="368" spans="1:3" hidden="1" x14ac:dyDescent="0.25">
      <c r="A368" t="s">
        <v>3252</v>
      </c>
      <c r="B368">
        <v>787</v>
      </c>
      <c r="C368" t="b">
        <f t="shared" si="5"/>
        <v>0</v>
      </c>
    </row>
    <row r="369" spans="1:3" hidden="1" x14ac:dyDescent="0.25">
      <c r="A369" t="s">
        <v>5151</v>
      </c>
      <c r="B369">
        <v>2855</v>
      </c>
      <c r="C369" t="b">
        <f t="shared" si="5"/>
        <v>0</v>
      </c>
    </row>
    <row r="370" spans="1:3" hidden="1" x14ac:dyDescent="0.25">
      <c r="A370" t="s">
        <v>4787</v>
      </c>
      <c r="B370">
        <v>2463</v>
      </c>
      <c r="C370" t="b">
        <f t="shared" si="5"/>
        <v>0</v>
      </c>
    </row>
    <row r="371" spans="1:3" hidden="1" x14ac:dyDescent="0.25">
      <c r="A371" t="s">
        <v>4663</v>
      </c>
      <c r="B371">
        <v>2326</v>
      </c>
      <c r="C371" t="b">
        <f t="shared" si="5"/>
        <v>0</v>
      </c>
    </row>
    <row r="372" spans="1:3" hidden="1" x14ac:dyDescent="0.25">
      <c r="A372" t="s">
        <v>4664</v>
      </c>
      <c r="B372">
        <v>2327</v>
      </c>
      <c r="C372" t="b">
        <f t="shared" si="5"/>
        <v>0</v>
      </c>
    </row>
    <row r="373" spans="1:3" hidden="1" x14ac:dyDescent="0.25">
      <c r="A373" t="s">
        <v>4872</v>
      </c>
      <c r="B373">
        <v>2561</v>
      </c>
      <c r="C373" t="b">
        <f t="shared" si="5"/>
        <v>0</v>
      </c>
    </row>
    <row r="374" spans="1:3" hidden="1" x14ac:dyDescent="0.25">
      <c r="A374" t="s">
        <v>3463</v>
      </c>
      <c r="B374">
        <v>1018</v>
      </c>
      <c r="C374" t="b">
        <f t="shared" si="5"/>
        <v>0</v>
      </c>
    </row>
    <row r="375" spans="1:3" hidden="1" x14ac:dyDescent="0.25">
      <c r="A375" t="s">
        <v>3556</v>
      </c>
      <c r="B375">
        <v>1115</v>
      </c>
      <c r="C375" t="b">
        <f t="shared" si="5"/>
        <v>0</v>
      </c>
    </row>
    <row r="376" spans="1:3" hidden="1" x14ac:dyDescent="0.25">
      <c r="A376" t="s">
        <v>2866</v>
      </c>
      <c r="B376">
        <v>380</v>
      </c>
      <c r="C376" t="b">
        <f t="shared" si="5"/>
        <v>0</v>
      </c>
    </row>
    <row r="377" spans="1:3" hidden="1" x14ac:dyDescent="0.25">
      <c r="A377" t="s">
        <v>4838</v>
      </c>
      <c r="B377">
        <v>2523</v>
      </c>
      <c r="C377" t="b">
        <f t="shared" si="5"/>
        <v>0</v>
      </c>
    </row>
    <row r="378" spans="1:3" hidden="1" x14ac:dyDescent="0.25">
      <c r="A378" t="s">
        <v>4748</v>
      </c>
      <c r="B378">
        <v>2421</v>
      </c>
      <c r="C378" t="b">
        <f t="shared" si="5"/>
        <v>0</v>
      </c>
    </row>
    <row r="379" spans="1:3" hidden="1" x14ac:dyDescent="0.25">
      <c r="A379" t="s">
        <v>4749</v>
      </c>
      <c r="B379">
        <v>2422</v>
      </c>
      <c r="C379" t="b">
        <f t="shared" si="5"/>
        <v>0</v>
      </c>
    </row>
    <row r="380" spans="1:3" hidden="1" x14ac:dyDescent="0.25">
      <c r="A380" t="s">
        <v>2516</v>
      </c>
      <c r="B380">
        <v>20</v>
      </c>
      <c r="C380" t="b">
        <f t="shared" si="5"/>
        <v>0</v>
      </c>
    </row>
    <row r="381" spans="1:3" x14ac:dyDescent="0.25">
      <c r="A381" t="s">
        <v>2516</v>
      </c>
      <c r="B381">
        <v>481</v>
      </c>
      <c r="C381" t="b">
        <f t="shared" si="5"/>
        <v>1</v>
      </c>
    </row>
    <row r="382" spans="1:3" hidden="1" x14ac:dyDescent="0.25">
      <c r="A382" t="s">
        <v>4715</v>
      </c>
      <c r="B382">
        <v>2383</v>
      </c>
      <c r="C382" t="b">
        <f t="shared" si="5"/>
        <v>0</v>
      </c>
    </row>
    <row r="383" spans="1:3" hidden="1" x14ac:dyDescent="0.25">
      <c r="A383" t="s">
        <v>3193</v>
      </c>
      <c r="B383">
        <v>727</v>
      </c>
      <c r="C383" t="b">
        <f t="shared" si="5"/>
        <v>0</v>
      </c>
    </row>
    <row r="384" spans="1:3" hidden="1" x14ac:dyDescent="0.25">
      <c r="A384" t="s">
        <v>2833</v>
      </c>
      <c r="B384">
        <v>346</v>
      </c>
      <c r="C384" t="b">
        <f t="shared" si="5"/>
        <v>0</v>
      </c>
    </row>
    <row r="385" spans="1:3" hidden="1" x14ac:dyDescent="0.25">
      <c r="A385" t="s">
        <v>3253</v>
      </c>
      <c r="B385">
        <v>788</v>
      </c>
      <c r="C385" t="b">
        <f t="shared" si="5"/>
        <v>0</v>
      </c>
    </row>
    <row r="386" spans="1:3" hidden="1" x14ac:dyDescent="0.25">
      <c r="A386" t="s">
        <v>4188</v>
      </c>
      <c r="B386">
        <v>1807</v>
      </c>
      <c r="C386" t="b">
        <f t="shared" si="5"/>
        <v>0</v>
      </c>
    </row>
    <row r="387" spans="1:3" hidden="1" x14ac:dyDescent="0.25">
      <c r="A387" t="s">
        <v>3742</v>
      </c>
      <c r="B387">
        <v>1315</v>
      </c>
      <c r="C387" t="b">
        <f t="shared" ref="C387:C450" si="6">A387=A386</f>
        <v>0</v>
      </c>
    </row>
    <row r="388" spans="1:3" hidden="1" x14ac:dyDescent="0.25">
      <c r="A388" t="s">
        <v>4839</v>
      </c>
      <c r="B388">
        <v>2524</v>
      </c>
      <c r="C388" t="b">
        <f t="shared" si="6"/>
        <v>0</v>
      </c>
    </row>
    <row r="389" spans="1:3" hidden="1" x14ac:dyDescent="0.25">
      <c r="A389" t="s">
        <v>3743</v>
      </c>
      <c r="B389">
        <v>1316</v>
      </c>
      <c r="C389" t="b">
        <f t="shared" si="6"/>
        <v>0</v>
      </c>
    </row>
    <row r="390" spans="1:3" hidden="1" x14ac:dyDescent="0.25">
      <c r="A390" t="s">
        <v>5152</v>
      </c>
      <c r="B390">
        <v>2856</v>
      </c>
      <c r="C390" t="b">
        <f t="shared" si="6"/>
        <v>0</v>
      </c>
    </row>
    <row r="391" spans="1:3" hidden="1" x14ac:dyDescent="0.25">
      <c r="A391" t="s">
        <v>5153</v>
      </c>
      <c r="B391">
        <v>2857</v>
      </c>
      <c r="C391" t="b">
        <f t="shared" si="6"/>
        <v>0</v>
      </c>
    </row>
    <row r="392" spans="1:3" hidden="1" x14ac:dyDescent="0.25">
      <c r="A392" t="s">
        <v>5154</v>
      </c>
      <c r="B392">
        <v>2858</v>
      </c>
      <c r="C392" t="b">
        <f t="shared" si="6"/>
        <v>0</v>
      </c>
    </row>
    <row r="393" spans="1:3" hidden="1" x14ac:dyDescent="0.25">
      <c r="A393" t="s">
        <v>5155</v>
      </c>
      <c r="B393">
        <v>2859</v>
      </c>
      <c r="C393" t="b">
        <f t="shared" si="6"/>
        <v>0</v>
      </c>
    </row>
    <row r="394" spans="1:3" hidden="1" x14ac:dyDescent="0.25">
      <c r="A394" t="s">
        <v>3745</v>
      </c>
      <c r="B394">
        <v>1318</v>
      </c>
      <c r="C394" t="b">
        <f t="shared" si="6"/>
        <v>0</v>
      </c>
    </row>
    <row r="395" spans="1:3" hidden="1" x14ac:dyDescent="0.25">
      <c r="A395" t="s">
        <v>2500</v>
      </c>
      <c r="B395">
        <v>4</v>
      </c>
      <c r="C395" t="b">
        <f t="shared" si="6"/>
        <v>0</v>
      </c>
    </row>
    <row r="396" spans="1:3" hidden="1" x14ac:dyDescent="0.25">
      <c r="A396" t="s">
        <v>3744</v>
      </c>
      <c r="B396">
        <v>1317</v>
      </c>
      <c r="C396" t="b">
        <f t="shared" si="6"/>
        <v>0</v>
      </c>
    </row>
    <row r="397" spans="1:3" hidden="1" x14ac:dyDescent="0.25">
      <c r="A397" t="s">
        <v>2868</v>
      </c>
      <c r="B397">
        <v>382</v>
      </c>
      <c r="C397" t="b">
        <f t="shared" si="6"/>
        <v>0</v>
      </c>
    </row>
    <row r="398" spans="1:3" hidden="1" x14ac:dyDescent="0.25">
      <c r="A398" t="s">
        <v>2869</v>
      </c>
      <c r="B398">
        <v>383</v>
      </c>
      <c r="C398" t="b">
        <f t="shared" si="6"/>
        <v>0</v>
      </c>
    </row>
    <row r="399" spans="1:3" hidden="1" x14ac:dyDescent="0.25">
      <c r="A399" t="s">
        <v>2867</v>
      </c>
      <c r="B399">
        <v>381</v>
      </c>
      <c r="C399" t="b">
        <f t="shared" si="6"/>
        <v>0</v>
      </c>
    </row>
    <row r="400" spans="1:3" hidden="1" x14ac:dyDescent="0.25">
      <c r="A400" t="s">
        <v>2870</v>
      </c>
      <c r="B400">
        <v>384</v>
      </c>
      <c r="C400" t="b">
        <f t="shared" si="6"/>
        <v>0</v>
      </c>
    </row>
    <row r="401" spans="1:3" hidden="1" x14ac:dyDescent="0.25">
      <c r="A401" t="s">
        <v>2871</v>
      </c>
      <c r="B401">
        <v>385</v>
      </c>
      <c r="C401" t="b">
        <f t="shared" si="6"/>
        <v>0</v>
      </c>
    </row>
    <row r="402" spans="1:3" hidden="1" x14ac:dyDescent="0.25">
      <c r="A402" t="s">
        <v>3389</v>
      </c>
      <c r="B402">
        <v>933</v>
      </c>
      <c r="C402" t="b">
        <f t="shared" si="6"/>
        <v>0</v>
      </c>
    </row>
    <row r="403" spans="1:3" hidden="1" x14ac:dyDescent="0.25">
      <c r="A403" t="s">
        <v>3388</v>
      </c>
      <c r="B403">
        <v>932</v>
      </c>
      <c r="C403" t="b">
        <f t="shared" si="6"/>
        <v>0</v>
      </c>
    </row>
    <row r="404" spans="1:3" hidden="1" x14ac:dyDescent="0.25">
      <c r="A404" t="s">
        <v>3390</v>
      </c>
      <c r="B404">
        <v>934</v>
      </c>
      <c r="C404" t="b">
        <f t="shared" si="6"/>
        <v>0</v>
      </c>
    </row>
    <row r="405" spans="1:3" hidden="1" x14ac:dyDescent="0.25">
      <c r="A405" t="s">
        <v>2896</v>
      </c>
      <c r="B405">
        <v>412</v>
      </c>
      <c r="C405" t="b">
        <f t="shared" si="6"/>
        <v>0</v>
      </c>
    </row>
    <row r="406" spans="1:3" hidden="1" x14ac:dyDescent="0.25">
      <c r="A406" t="s">
        <v>3356</v>
      </c>
      <c r="B406">
        <v>898</v>
      </c>
      <c r="C406" t="b">
        <f t="shared" si="6"/>
        <v>0</v>
      </c>
    </row>
    <row r="407" spans="1:3" hidden="1" x14ac:dyDescent="0.25">
      <c r="A407" t="s">
        <v>3893</v>
      </c>
      <c r="B407">
        <v>1477</v>
      </c>
      <c r="C407" t="b">
        <f t="shared" si="6"/>
        <v>0</v>
      </c>
    </row>
    <row r="408" spans="1:3" hidden="1" x14ac:dyDescent="0.25">
      <c r="A408" t="s">
        <v>3357</v>
      </c>
      <c r="B408">
        <v>899</v>
      </c>
      <c r="C408" t="b">
        <f t="shared" si="6"/>
        <v>0</v>
      </c>
    </row>
    <row r="409" spans="1:3" hidden="1" x14ac:dyDescent="0.25">
      <c r="A409" t="s">
        <v>3516</v>
      </c>
      <c r="B409">
        <v>1073</v>
      </c>
      <c r="C409" t="b">
        <f t="shared" si="6"/>
        <v>0</v>
      </c>
    </row>
    <row r="410" spans="1:3" hidden="1" x14ac:dyDescent="0.25">
      <c r="A410" t="s">
        <v>3746</v>
      </c>
      <c r="B410">
        <v>1319</v>
      </c>
      <c r="C410" t="b">
        <f t="shared" si="6"/>
        <v>0</v>
      </c>
    </row>
    <row r="411" spans="1:3" hidden="1" x14ac:dyDescent="0.25">
      <c r="A411" t="s">
        <v>5044</v>
      </c>
      <c r="B411">
        <v>2747</v>
      </c>
      <c r="C411" t="b">
        <f t="shared" si="6"/>
        <v>0</v>
      </c>
    </row>
    <row r="412" spans="1:3" hidden="1" x14ac:dyDescent="0.25">
      <c r="A412" t="s">
        <v>5045</v>
      </c>
      <c r="B412">
        <v>2748</v>
      </c>
      <c r="C412" t="b">
        <f t="shared" si="6"/>
        <v>0</v>
      </c>
    </row>
    <row r="413" spans="1:3" hidden="1" x14ac:dyDescent="0.25">
      <c r="A413" t="s">
        <v>4716</v>
      </c>
      <c r="B413">
        <v>2384</v>
      </c>
      <c r="C413" t="b">
        <f t="shared" si="6"/>
        <v>0</v>
      </c>
    </row>
    <row r="414" spans="1:3" hidden="1" x14ac:dyDescent="0.25">
      <c r="A414" t="s">
        <v>3464</v>
      </c>
      <c r="B414">
        <v>1019</v>
      </c>
      <c r="C414" t="b">
        <f t="shared" si="6"/>
        <v>0</v>
      </c>
    </row>
    <row r="415" spans="1:3" hidden="1" x14ac:dyDescent="0.25">
      <c r="A415" t="s">
        <v>3465</v>
      </c>
      <c r="B415">
        <v>1020</v>
      </c>
      <c r="C415" t="b">
        <f t="shared" si="6"/>
        <v>0</v>
      </c>
    </row>
    <row r="416" spans="1:3" hidden="1" x14ac:dyDescent="0.25">
      <c r="A416" t="s">
        <v>3466</v>
      </c>
      <c r="B416">
        <v>1021</v>
      </c>
      <c r="C416" t="b">
        <f t="shared" si="6"/>
        <v>0</v>
      </c>
    </row>
    <row r="417" spans="1:3" hidden="1" x14ac:dyDescent="0.25">
      <c r="A417" t="s">
        <v>3467</v>
      </c>
      <c r="B417">
        <v>1022</v>
      </c>
      <c r="C417" t="b">
        <f t="shared" si="6"/>
        <v>0</v>
      </c>
    </row>
    <row r="418" spans="1:3" hidden="1" x14ac:dyDescent="0.25">
      <c r="A418" t="s">
        <v>4209</v>
      </c>
      <c r="B418">
        <v>1831</v>
      </c>
      <c r="C418" t="b">
        <f t="shared" si="6"/>
        <v>0</v>
      </c>
    </row>
    <row r="419" spans="1:3" hidden="1" x14ac:dyDescent="0.25">
      <c r="A419" t="s">
        <v>2659</v>
      </c>
      <c r="B419">
        <v>169</v>
      </c>
      <c r="C419" t="b">
        <f t="shared" si="6"/>
        <v>0</v>
      </c>
    </row>
    <row r="420" spans="1:3" hidden="1" x14ac:dyDescent="0.25">
      <c r="A420" t="s">
        <v>3123</v>
      </c>
      <c r="B420">
        <v>655</v>
      </c>
      <c r="C420" t="b">
        <f t="shared" si="6"/>
        <v>0</v>
      </c>
    </row>
    <row r="421" spans="1:3" hidden="1" x14ac:dyDescent="0.25">
      <c r="A421" t="s">
        <v>4873</v>
      </c>
      <c r="B421">
        <v>2562</v>
      </c>
      <c r="C421" t="b">
        <f t="shared" si="6"/>
        <v>0</v>
      </c>
    </row>
    <row r="422" spans="1:3" hidden="1" x14ac:dyDescent="0.25">
      <c r="A422" t="s">
        <v>4874</v>
      </c>
      <c r="B422">
        <v>2563</v>
      </c>
      <c r="C422" t="b">
        <f t="shared" si="6"/>
        <v>0</v>
      </c>
    </row>
    <row r="423" spans="1:3" hidden="1" x14ac:dyDescent="0.25">
      <c r="A423" t="s">
        <v>4875</v>
      </c>
      <c r="B423">
        <v>2564</v>
      </c>
      <c r="C423" t="b">
        <f t="shared" si="6"/>
        <v>0</v>
      </c>
    </row>
    <row r="424" spans="1:3" hidden="1" x14ac:dyDescent="0.25">
      <c r="A424" t="s">
        <v>3162</v>
      </c>
      <c r="B424">
        <v>695</v>
      </c>
      <c r="C424" t="b">
        <f t="shared" si="6"/>
        <v>0</v>
      </c>
    </row>
    <row r="425" spans="1:3" x14ac:dyDescent="0.25">
      <c r="A425" t="s">
        <v>3162</v>
      </c>
      <c r="B425">
        <v>2161</v>
      </c>
      <c r="C425" t="b">
        <f t="shared" si="6"/>
        <v>1</v>
      </c>
    </row>
    <row r="426" spans="1:3" hidden="1" x14ac:dyDescent="0.25">
      <c r="A426" t="s">
        <v>4665</v>
      </c>
      <c r="B426">
        <v>2328</v>
      </c>
      <c r="C426" t="b">
        <f t="shared" si="6"/>
        <v>0</v>
      </c>
    </row>
    <row r="427" spans="1:3" hidden="1" x14ac:dyDescent="0.25">
      <c r="A427" t="s">
        <v>4248</v>
      </c>
      <c r="B427">
        <v>1872</v>
      </c>
      <c r="C427" t="b">
        <f t="shared" si="6"/>
        <v>0</v>
      </c>
    </row>
    <row r="428" spans="1:3" hidden="1" x14ac:dyDescent="0.25">
      <c r="A428" t="s">
        <v>4788</v>
      </c>
      <c r="B428">
        <v>2464</v>
      </c>
      <c r="C428" t="b">
        <f t="shared" si="6"/>
        <v>0</v>
      </c>
    </row>
    <row r="429" spans="1:3" hidden="1" x14ac:dyDescent="0.25">
      <c r="A429" t="s">
        <v>3747</v>
      </c>
      <c r="B429">
        <v>1320</v>
      </c>
      <c r="C429" t="b">
        <f t="shared" si="6"/>
        <v>0</v>
      </c>
    </row>
    <row r="430" spans="1:3" hidden="1" x14ac:dyDescent="0.25">
      <c r="A430" t="s">
        <v>2531</v>
      </c>
      <c r="B430">
        <v>36</v>
      </c>
      <c r="C430" t="b">
        <f t="shared" si="6"/>
        <v>0</v>
      </c>
    </row>
    <row r="431" spans="1:3" x14ac:dyDescent="0.25">
      <c r="A431" t="s">
        <v>2531</v>
      </c>
      <c r="B431">
        <v>2385</v>
      </c>
      <c r="C431" t="b">
        <f t="shared" si="6"/>
        <v>1</v>
      </c>
    </row>
    <row r="432" spans="1:3" hidden="1" x14ac:dyDescent="0.25">
      <c r="A432" t="s">
        <v>4617</v>
      </c>
      <c r="B432">
        <v>2276</v>
      </c>
      <c r="C432" t="b">
        <f t="shared" si="6"/>
        <v>0</v>
      </c>
    </row>
    <row r="433" spans="1:3" hidden="1" x14ac:dyDescent="0.25">
      <c r="A433" t="s">
        <v>3420</v>
      </c>
      <c r="B433">
        <v>968</v>
      </c>
      <c r="C433" t="b">
        <f t="shared" si="6"/>
        <v>0</v>
      </c>
    </row>
    <row r="434" spans="1:3" hidden="1" x14ac:dyDescent="0.25">
      <c r="A434" t="s">
        <v>3422</v>
      </c>
      <c r="B434">
        <v>970</v>
      </c>
      <c r="C434" t="b">
        <f t="shared" si="6"/>
        <v>0</v>
      </c>
    </row>
    <row r="435" spans="1:3" hidden="1" x14ac:dyDescent="0.25">
      <c r="A435" t="s">
        <v>3423</v>
      </c>
      <c r="B435">
        <v>971</v>
      </c>
      <c r="C435" t="b">
        <f t="shared" si="6"/>
        <v>0</v>
      </c>
    </row>
    <row r="436" spans="1:3" hidden="1" x14ac:dyDescent="0.25">
      <c r="A436" t="s">
        <v>3421</v>
      </c>
      <c r="B436">
        <v>969</v>
      </c>
      <c r="C436" t="b">
        <f t="shared" si="6"/>
        <v>0</v>
      </c>
    </row>
    <row r="437" spans="1:3" hidden="1" x14ac:dyDescent="0.25">
      <c r="A437" t="s">
        <v>3424</v>
      </c>
      <c r="B437">
        <v>972</v>
      </c>
      <c r="C437" t="b">
        <f t="shared" si="6"/>
        <v>0</v>
      </c>
    </row>
    <row r="438" spans="1:3" hidden="1" x14ac:dyDescent="0.25">
      <c r="A438" t="s">
        <v>4293</v>
      </c>
      <c r="B438">
        <v>1921</v>
      </c>
      <c r="C438" t="b">
        <f t="shared" si="6"/>
        <v>0</v>
      </c>
    </row>
    <row r="439" spans="1:3" hidden="1" x14ac:dyDescent="0.25">
      <c r="A439" t="s">
        <v>4294</v>
      </c>
      <c r="B439">
        <v>1922</v>
      </c>
      <c r="C439" t="b">
        <f t="shared" si="6"/>
        <v>0</v>
      </c>
    </row>
    <row r="440" spans="1:3" hidden="1" x14ac:dyDescent="0.25">
      <c r="A440" t="s">
        <v>3579</v>
      </c>
      <c r="B440">
        <v>1140</v>
      </c>
      <c r="C440" t="b">
        <f t="shared" si="6"/>
        <v>0</v>
      </c>
    </row>
    <row r="441" spans="1:3" hidden="1" x14ac:dyDescent="0.25">
      <c r="A441" t="s">
        <v>3580</v>
      </c>
      <c r="B441">
        <v>1141</v>
      </c>
      <c r="C441" t="b">
        <f t="shared" si="6"/>
        <v>0</v>
      </c>
    </row>
    <row r="442" spans="1:3" hidden="1" x14ac:dyDescent="0.25">
      <c r="A442" t="s">
        <v>4876</v>
      </c>
      <c r="B442">
        <v>2565</v>
      </c>
      <c r="C442" t="b">
        <f t="shared" si="6"/>
        <v>0</v>
      </c>
    </row>
    <row r="443" spans="1:3" hidden="1" x14ac:dyDescent="0.25">
      <c r="A443" t="s">
        <v>2897</v>
      </c>
      <c r="B443">
        <v>413</v>
      </c>
      <c r="C443" t="b">
        <f t="shared" si="6"/>
        <v>0</v>
      </c>
    </row>
    <row r="444" spans="1:3" hidden="1" x14ac:dyDescent="0.25">
      <c r="A444" t="s">
        <v>2898</v>
      </c>
      <c r="B444">
        <v>414</v>
      </c>
      <c r="C444" t="b">
        <f t="shared" si="6"/>
        <v>0</v>
      </c>
    </row>
    <row r="445" spans="1:3" hidden="1" x14ac:dyDescent="0.25">
      <c r="A445" t="s">
        <v>2899</v>
      </c>
      <c r="B445">
        <v>415</v>
      </c>
      <c r="C445" t="b">
        <f t="shared" si="6"/>
        <v>0</v>
      </c>
    </row>
    <row r="446" spans="1:3" hidden="1" x14ac:dyDescent="0.25">
      <c r="A446" t="s">
        <v>2900</v>
      </c>
      <c r="B446">
        <v>416</v>
      </c>
      <c r="C446" t="b">
        <f t="shared" si="6"/>
        <v>0</v>
      </c>
    </row>
    <row r="447" spans="1:3" hidden="1" x14ac:dyDescent="0.25">
      <c r="A447" t="s">
        <v>2901</v>
      </c>
      <c r="B447">
        <v>417</v>
      </c>
      <c r="C447" t="b">
        <f t="shared" si="6"/>
        <v>0</v>
      </c>
    </row>
    <row r="448" spans="1:3" hidden="1" x14ac:dyDescent="0.25">
      <c r="A448" t="s">
        <v>2903</v>
      </c>
      <c r="B448">
        <v>419</v>
      </c>
      <c r="C448" t="b">
        <f t="shared" si="6"/>
        <v>0</v>
      </c>
    </row>
    <row r="449" spans="1:3" hidden="1" x14ac:dyDescent="0.25">
      <c r="A449" t="s">
        <v>2902</v>
      </c>
      <c r="B449">
        <v>418</v>
      </c>
      <c r="C449" t="b">
        <f t="shared" si="6"/>
        <v>0</v>
      </c>
    </row>
    <row r="450" spans="1:3" hidden="1" x14ac:dyDescent="0.25">
      <c r="A450" t="s">
        <v>2661</v>
      </c>
      <c r="B450">
        <v>171</v>
      </c>
      <c r="C450" t="b">
        <f t="shared" si="6"/>
        <v>0</v>
      </c>
    </row>
    <row r="451" spans="1:3" hidden="1" x14ac:dyDescent="0.25">
      <c r="A451" t="s">
        <v>2662</v>
      </c>
      <c r="B451">
        <v>172</v>
      </c>
      <c r="C451" t="b">
        <f t="shared" ref="C451:C514" si="7">A451=A450</f>
        <v>0</v>
      </c>
    </row>
    <row r="452" spans="1:3" hidden="1" x14ac:dyDescent="0.25">
      <c r="A452" t="s">
        <v>2660</v>
      </c>
      <c r="B452">
        <v>170</v>
      </c>
      <c r="C452" t="b">
        <f t="shared" si="7"/>
        <v>0</v>
      </c>
    </row>
    <row r="453" spans="1:3" hidden="1" x14ac:dyDescent="0.25">
      <c r="A453" t="s">
        <v>4249</v>
      </c>
      <c r="B453">
        <v>1873</v>
      </c>
      <c r="C453" t="b">
        <f t="shared" si="7"/>
        <v>0</v>
      </c>
    </row>
    <row r="454" spans="1:3" hidden="1" x14ac:dyDescent="0.25">
      <c r="A454" t="s">
        <v>4295</v>
      </c>
      <c r="B454">
        <v>1923</v>
      </c>
      <c r="C454" t="b">
        <f t="shared" si="7"/>
        <v>0</v>
      </c>
    </row>
    <row r="455" spans="1:3" x14ac:dyDescent="0.25">
      <c r="A455" t="s">
        <v>4295</v>
      </c>
      <c r="B455">
        <v>2860</v>
      </c>
      <c r="C455" t="b">
        <f t="shared" si="7"/>
        <v>1</v>
      </c>
    </row>
    <row r="456" spans="1:3" hidden="1" x14ac:dyDescent="0.25">
      <c r="A456" t="s">
        <v>3748</v>
      </c>
      <c r="B456">
        <v>1321</v>
      </c>
      <c r="C456" t="b">
        <f t="shared" si="7"/>
        <v>0</v>
      </c>
    </row>
    <row r="457" spans="1:3" hidden="1" x14ac:dyDescent="0.25">
      <c r="A457" t="s">
        <v>3749</v>
      </c>
      <c r="B457">
        <v>1322</v>
      </c>
      <c r="C457" t="b">
        <f t="shared" si="7"/>
        <v>0</v>
      </c>
    </row>
    <row r="458" spans="1:3" hidden="1" x14ac:dyDescent="0.25">
      <c r="A458" t="s">
        <v>4528</v>
      </c>
      <c r="B458">
        <v>2173</v>
      </c>
      <c r="C458" t="b">
        <f t="shared" si="7"/>
        <v>0</v>
      </c>
    </row>
    <row r="459" spans="1:3" hidden="1" x14ac:dyDescent="0.25">
      <c r="A459" t="s">
        <v>3894</v>
      </c>
      <c r="B459">
        <v>1478</v>
      </c>
      <c r="C459" t="b">
        <f t="shared" si="7"/>
        <v>0</v>
      </c>
    </row>
    <row r="460" spans="1:3" hidden="1" x14ac:dyDescent="0.25">
      <c r="A460" t="s">
        <v>3993</v>
      </c>
      <c r="B460">
        <v>1587</v>
      </c>
      <c r="C460" t="b">
        <f t="shared" si="7"/>
        <v>0</v>
      </c>
    </row>
    <row r="461" spans="1:3" hidden="1" x14ac:dyDescent="0.25">
      <c r="A461" t="s">
        <v>3163</v>
      </c>
      <c r="B461">
        <v>696</v>
      </c>
      <c r="C461" t="b">
        <f t="shared" si="7"/>
        <v>0</v>
      </c>
    </row>
    <row r="462" spans="1:3" hidden="1" x14ac:dyDescent="0.25">
      <c r="A462" t="s">
        <v>3870</v>
      </c>
      <c r="B462">
        <v>1452</v>
      </c>
      <c r="C462" t="b">
        <f t="shared" si="7"/>
        <v>0</v>
      </c>
    </row>
    <row r="463" spans="1:3" hidden="1" x14ac:dyDescent="0.25">
      <c r="A463" t="s">
        <v>4052</v>
      </c>
      <c r="B463">
        <v>1650</v>
      </c>
      <c r="C463" t="b">
        <f t="shared" si="7"/>
        <v>0</v>
      </c>
    </row>
    <row r="464" spans="1:3" hidden="1" x14ac:dyDescent="0.25">
      <c r="A464" t="s">
        <v>4250</v>
      </c>
      <c r="B464">
        <v>1874</v>
      </c>
      <c r="C464" t="b">
        <f t="shared" si="7"/>
        <v>0</v>
      </c>
    </row>
    <row r="465" spans="1:3" hidden="1" x14ac:dyDescent="0.25">
      <c r="A465" t="s">
        <v>2904</v>
      </c>
      <c r="B465">
        <v>420</v>
      </c>
      <c r="C465" t="b">
        <f t="shared" si="7"/>
        <v>0</v>
      </c>
    </row>
    <row r="466" spans="1:3" hidden="1" x14ac:dyDescent="0.25">
      <c r="A466" t="s">
        <v>3674</v>
      </c>
      <c r="B466">
        <v>1242</v>
      </c>
      <c r="C466" t="b">
        <f t="shared" si="7"/>
        <v>0</v>
      </c>
    </row>
    <row r="467" spans="1:3" hidden="1" x14ac:dyDescent="0.25">
      <c r="A467" t="s">
        <v>3425</v>
      </c>
      <c r="B467">
        <v>973</v>
      </c>
      <c r="C467" t="b">
        <f t="shared" si="7"/>
        <v>0</v>
      </c>
    </row>
    <row r="468" spans="1:3" hidden="1" x14ac:dyDescent="0.25">
      <c r="A468" t="s">
        <v>2597</v>
      </c>
      <c r="B468">
        <v>104</v>
      </c>
      <c r="C468" t="b">
        <f t="shared" si="7"/>
        <v>0</v>
      </c>
    </row>
    <row r="469" spans="1:3" hidden="1" x14ac:dyDescent="0.25">
      <c r="A469" t="s">
        <v>2595</v>
      </c>
      <c r="B469">
        <v>102</v>
      </c>
      <c r="C469" t="b">
        <f t="shared" si="7"/>
        <v>0</v>
      </c>
    </row>
    <row r="470" spans="1:3" hidden="1" x14ac:dyDescent="0.25">
      <c r="A470" t="s">
        <v>2596</v>
      </c>
      <c r="B470">
        <v>103</v>
      </c>
      <c r="C470" t="b">
        <f t="shared" si="7"/>
        <v>0</v>
      </c>
    </row>
    <row r="471" spans="1:3" hidden="1" x14ac:dyDescent="0.25">
      <c r="A471" t="s">
        <v>3104</v>
      </c>
      <c r="B471">
        <v>635</v>
      </c>
      <c r="C471" t="b">
        <f t="shared" si="7"/>
        <v>0</v>
      </c>
    </row>
    <row r="472" spans="1:3" hidden="1" x14ac:dyDescent="0.25">
      <c r="A472" t="s">
        <v>3602</v>
      </c>
      <c r="B472">
        <v>1164</v>
      </c>
      <c r="C472" t="b">
        <f t="shared" si="7"/>
        <v>0</v>
      </c>
    </row>
    <row r="473" spans="1:3" hidden="1" x14ac:dyDescent="0.25">
      <c r="A473" t="s">
        <v>5046</v>
      </c>
      <c r="B473">
        <v>2749</v>
      </c>
      <c r="C473" t="b">
        <f t="shared" si="7"/>
        <v>0</v>
      </c>
    </row>
    <row r="474" spans="1:3" hidden="1" x14ac:dyDescent="0.25">
      <c r="A474" t="s">
        <v>4750</v>
      </c>
      <c r="B474">
        <v>2423</v>
      </c>
      <c r="C474" t="b">
        <f t="shared" si="7"/>
        <v>0</v>
      </c>
    </row>
    <row r="475" spans="1:3" hidden="1" x14ac:dyDescent="0.25">
      <c r="A475" t="s">
        <v>4340</v>
      </c>
      <c r="B475">
        <v>1970</v>
      </c>
      <c r="C475" t="b">
        <f t="shared" si="7"/>
        <v>0</v>
      </c>
    </row>
    <row r="476" spans="1:3" hidden="1" x14ac:dyDescent="0.25">
      <c r="A476" t="s">
        <v>2935</v>
      </c>
      <c r="B476">
        <v>454</v>
      </c>
      <c r="C476" t="b">
        <f t="shared" si="7"/>
        <v>0</v>
      </c>
    </row>
    <row r="477" spans="1:3" x14ac:dyDescent="0.25">
      <c r="A477" t="s">
        <v>2935</v>
      </c>
      <c r="B477">
        <v>974</v>
      </c>
      <c r="C477" t="b">
        <f t="shared" si="7"/>
        <v>1</v>
      </c>
    </row>
    <row r="478" spans="1:3" hidden="1" x14ac:dyDescent="0.25">
      <c r="A478" t="s">
        <v>4666</v>
      </c>
      <c r="B478">
        <v>2329</v>
      </c>
      <c r="C478" t="b">
        <f t="shared" si="7"/>
        <v>0</v>
      </c>
    </row>
    <row r="479" spans="1:3" hidden="1" x14ac:dyDescent="0.25">
      <c r="A479" t="s">
        <v>2532</v>
      </c>
      <c r="B479">
        <v>37</v>
      </c>
      <c r="C479" t="b">
        <f t="shared" si="7"/>
        <v>0</v>
      </c>
    </row>
    <row r="480" spans="1:3" hidden="1" x14ac:dyDescent="0.25">
      <c r="A480" t="s">
        <v>3675</v>
      </c>
      <c r="B480">
        <v>1243</v>
      </c>
      <c r="C480" t="b">
        <f t="shared" si="7"/>
        <v>0</v>
      </c>
    </row>
    <row r="481" spans="1:3" hidden="1" x14ac:dyDescent="0.25">
      <c r="A481" t="s">
        <v>2936</v>
      </c>
      <c r="B481">
        <v>455</v>
      </c>
      <c r="C481" t="b">
        <f t="shared" si="7"/>
        <v>0</v>
      </c>
    </row>
    <row r="482" spans="1:3" hidden="1" x14ac:dyDescent="0.25">
      <c r="A482" t="s">
        <v>2939</v>
      </c>
      <c r="B482">
        <v>458</v>
      </c>
      <c r="C482" t="b">
        <f t="shared" si="7"/>
        <v>0</v>
      </c>
    </row>
    <row r="483" spans="1:3" hidden="1" x14ac:dyDescent="0.25">
      <c r="A483" t="s">
        <v>2940</v>
      </c>
      <c r="B483">
        <v>459</v>
      </c>
      <c r="C483" t="b">
        <f t="shared" si="7"/>
        <v>0</v>
      </c>
    </row>
    <row r="484" spans="1:3" hidden="1" x14ac:dyDescent="0.25">
      <c r="A484" t="s">
        <v>2937</v>
      </c>
      <c r="B484">
        <v>456</v>
      </c>
      <c r="C484" t="b">
        <f t="shared" si="7"/>
        <v>0</v>
      </c>
    </row>
    <row r="485" spans="1:3" hidden="1" x14ac:dyDescent="0.25">
      <c r="A485" t="s">
        <v>2941</v>
      </c>
      <c r="B485">
        <v>460</v>
      </c>
      <c r="C485" t="b">
        <f t="shared" si="7"/>
        <v>0</v>
      </c>
    </row>
    <row r="486" spans="1:3" hidden="1" x14ac:dyDescent="0.25">
      <c r="A486" t="s">
        <v>2942</v>
      </c>
      <c r="B486">
        <v>461</v>
      </c>
      <c r="C486" t="b">
        <f t="shared" si="7"/>
        <v>0</v>
      </c>
    </row>
    <row r="487" spans="1:3" hidden="1" x14ac:dyDescent="0.25">
      <c r="A487" t="s">
        <v>2938</v>
      </c>
      <c r="B487">
        <v>457</v>
      </c>
      <c r="C487" t="b">
        <f t="shared" si="7"/>
        <v>0</v>
      </c>
    </row>
    <row r="488" spans="1:3" hidden="1" x14ac:dyDescent="0.25">
      <c r="A488" t="s">
        <v>2943</v>
      </c>
      <c r="B488">
        <v>462</v>
      </c>
      <c r="C488" t="b">
        <f t="shared" si="7"/>
        <v>0</v>
      </c>
    </row>
    <row r="489" spans="1:3" hidden="1" x14ac:dyDescent="0.25">
      <c r="A489" t="s">
        <v>3124</v>
      </c>
      <c r="B489">
        <v>656</v>
      </c>
      <c r="C489" t="b">
        <f t="shared" si="7"/>
        <v>0</v>
      </c>
    </row>
    <row r="490" spans="1:3" hidden="1" x14ac:dyDescent="0.25">
      <c r="A490" t="s">
        <v>3125</v>
      </c>
      <c r="B490">
        <v>657</v>
      </c>
      <c r="C490" t="b">
        <f t="shared" si="7"/>
        <v>0</v>
      </c>
    </row>
    <row r="491" spans="1:3" hidden="1" x14ac:dyDescent="0.25">
      <c r="A491" t="s">
        <v>4557</v>
      </c>
      <c r="B491">
        <v>2210</v>
      </c>
      <c r="C491" t="b">
        <f t="shared" si="7"/>
        <v>0</v>
      </c>
    </row>
    <row r="492" spans="1:3" hidden="1" x14ac:dyDescent="0.25">
      <c r="A492" t="s">
        <v>4385</v>
      </c>
      <c r="B492">
        <v>2019</v>
      </c>
      <c r="C492" t="b">
        <f t="shared" si="7"/>
        <v>0</v>
      </c>
    </row>
    <row r="493" spans="1:3" hidden="1" x14ac:dyDescent="0.25">
      <c r="A493" t="s">
        <v>3815</v>
      </c>
      <c r="B493">
        <v>1391</v>
      </c>
      <c r="C493" t="b">
        <f t="shared" si="7"/>
        <v>0</v>
      </c>
    </row>
    <row r="494" spans="1:3" hidden="1" x14ac:dyDescent="0.25">
      <c r="A494" t="s">
        <v>3391</v>
      </c>
      <c r="B494">
        <v>935</v>
      </c>
      <c r="C494" t="b">
        <f t="shared" si="7"/>
        <v>0</v>
      </c>
    </row>
    <row r="495" spans="1:3" hidden="1" x14ac:dyDescent="0.25">
      <c r="A495" t="s">
        <v>2517</v>
      </c>
      <c r="B495">
        <v>21</v>
      </c>
      <c r="C495" t="b">
        <f t="shared" si="7"/>
        <v>0</v>
      </c>
    </row>
    <row r="496" spans="1:3" hidden="1" x14ac:dyDescent="0.25">
      <c r="A496" t="s">
        <v>2961</v>
      </c>
      <c r="B496">
        <v>482</v>
      </c>
      <c r="C496" t="b">
        <f t="shared" si="7"/>
        <v>0</v>
      </c>
    </row>
    <row r="497" spans="1:3" hidden="1" x14ac:dyDescent="0.25">
      <c r="A497" t="s">
        <v>2963</v>
      </c>
      <c r="B497">
        <v>484</v>
      </c>
      <c r="C497" t="b">
        <f t="shared" si="7"/>
        <v>0</v>
      </c>
    </row>
    <row r="498" spans="1:3" hidden="1" x14ac:dyDescent="0.25">
      <c r="A498" t="s">
        <v>2964</v>
      </c>
      <c r="B498">
        <v>485</v>
      </c>
      <c r="C498" t="b">
        <f t="shared" si="7"/>
        <v>0</v>
      </c>
    </row>
    <row r="499" spans="1:3" hidden="1" x14ac:dyDescent="0.25">
      <c r="A499" t="s">
        <v>2962</v>
      </c>
      <c r="B499">
        <v>483</v>
      </c>
      <c r="C499" t="b">
        <f t="shared" si="7"/>
        <v>0</v>
      </c>
    </row>
    <row r="500" spans="1:3" hidden="1" x14ac:dyDescent="0.25">
      <c r="A500" t="s">
        <v>2965</v>
      </c>
      <c r="B500">
        <v>486</v>
      </c>
      <c r="C500" t="b">
        <f t="shared" si="7"/>
        <v>0</v>
      </c>
    </row>
    <row r="501" spans="1:3" hidden="1" x14ac:dyDescent="0.25">
      <c r="A501" t="s">
        <v>4968</v>
      </c>
      <c r="B501">
        <v>2668</v>
      </c>
      <c r="C501" t="b">
        <f t="shared" si="7"/>
        <v>0</v>
      </c>
    </row>
    <row r="502" spans="1:3" hidden="1" x14ac:dyDescent="0.25">
      <c r="A502" t="s">
        <v>4969</v>
      </c>
      <c r="B502">
        <v>2669</v>
      </c>
      <c r="C502" t="b">
        <f t="shared" si="7"/>
        <v>0</v>
      </c>
    </row>
    <row r="503" spans="1:3" hidden="1" x14ac:dyDescent="0.25">
      <c r="A503" t="s">
        <v>4970</v>
      </c>
      <c r="B503">
        <v>2670</v>
      </c>
      <c r="C503" t="b">
        <f t="shared" si="7"/>
        <v>0</v>
      </c>
    </row>
    <row r="504" spans="1:3" hidden="1" x14ac:dyDescent="0.25">
      <c r="A504" t="s">
        <v>4971</v>
      </c>
      <c r="B504">
        <v>2671</v>
      </c>
      <c r="C504" t="b">
        <f t="shared" si="7"/>
        <v>0</v>
      </c>
    </row>
    <row r="505" spans="1:3" hidden="1" x14ac:dyDescent="0.25">
      <c r="A505" t="s">
        <v>5156</v>
      </c>
      <c r="B505">
        <v>2861</v>
      </c>
      <c r="C505" t="b">
        <f t="shared" si="7"/>
        <v>0</v>
      </c>
    </row>
    <row r="506" spans="1:3" hidden="1" x14ac:dyDescent="0.25">
      <c r="A506" t="s">
        <v>4667</v>
      </c>
      <c r="B506">
        <v>2330</v>
      </c>
      <c r="C506" t="b">
        <f t="shared" si="7"/>
        <v>0</v>
      </c>
    </row>
    <row r="507" spans="1:3" hidden="1" x14ac:dyDescent="0.25">
      <c r="A507" t="s">
        <v>4668</v>
      </c>
      <c r="B507">
        <v>2331</v>
      </c>
      <c r="C507" t="b">
        <f t="shared" si="7"/>
        <v>0</v>
      </c>
    </row>
    <row r="508" spans="1:3" hidden="1" x14ac:dyDescent="0.25">
      <c r="A508" t="s">
        <v>4669</v>
      </c>
      <c r="B508">
        <v>2332</v>
      </c>
      <c r="C508" t="b">
        <f t="shared" si="7"/>
        <v>0</v>
      </c>
    </row>
    <row r="509" spans="1:3" hidden="1" x14ac:dyDescent="0.25">
      <c r="A509" t="s">
        <v>4670</v>
      </c>
      <c r="B509">
        <v>2333</v>
      </c>
      <c r="C509" t="b">
        <f t="shared" si="7"/>
        <v>0</v>
      </c>
    </row>
    <row r="510" spans="1:3" hidden="1" x14ac:dyDescent="0.25">
      <c r="A510" t="s">
        <v>2533</v>
      </c>
      <c r="B510">
        <v>38</v>
      </c>
      <c r="C510" t="b">
        <f t="shared" si="7"/>
        <v>0</v>
      </c>
    </row>
    <row r="511" spans="1:3" hidden="1" x14ac:dyDescent="0.25">
      <c r="A511" t="s">
        <v>3126</v>
      </c>
      <c r="B511">
        <v>658</v>
      </c>
      <c r="C511" t="b">
        <f t="shared" si="7"/>
        <v>0</v>
      </c>
    </row>
    <row r="512" spans="1:3" x14ac:dyDescent="0.25">
      <c r="A512" t="s">
        <v>3126</v>
      </c>
      <c r="B512">
        <v>2211</v>
      </c>
      <c r="C512" t="b">
        <f t="shared" si="7"/>
        <v>1</v>
      </c>
    </row>
    <row r="513" spans="1:3" hidden="1" x14ac:dyDescent="0.25">
      <c r="A513" t="s">
        <v>3994</v>
      </c>
      <c r="B513">
        <v>1588</v>
      </c>
      <c r="C513" t="b">
        <f t="shared" si="7"/>
        <v>0</v>
      </c>
    </row>
    <row r="514" spans="1:3" hidden="1" x14ac:dyDescent="0.25">
      <c r="A514" t="s">
        <v>3995</v>
      </c>
      <c r="B514">
        <v>1589</v>
      </c>
      <c r="C514" t="b">
        <f t="shared" si="7"/>
        <v>0</v>
      </c>
    </row>
    <row r="515" spans="1:3" hidden="1" x14ac:dyDescent="0.25">
      <c r="A515" t="s">
        <v>2775</v>
      </c>
      <c r="B515">
        <v>287</v>
      </c>
      <c r="C515" t="b">
        <f t="shared" ref="C515:C578" si="8">A515=A514</f>
        <v>0</v>
      </c>
    </row>
    <row r="516" spans="1:3" hidden="1" x14ac:dyDescent="0.25">
      <c r="A516" t="s">
        <v>4717</v>
      </c>
      <c r="B516">
        <v>2386</v>
      </c>
      <c r="C516" t="b">
        <f t="shared" si="8"/>
        <v>0</v>
      </c>
    </row>
    <row r="517" spans="1:3" hidden="1" x14ac:dyDescent="0.25">
      <c r="A517" t="s">
        <v>2985</v>
      </c>
      <c r="B517">
        <v>507</v>
      </c>
      <c r="C517" t="b">
        <f t="shared" si="8"/>
        <v>0</v>
      </c>
    </row>
    <row r="518" spans="1:3" hidden="1" x14ac:dyDescent="0.25">
      <c r="A518" t="s">
        <v>2983</v>
      </c>
      <c r="B518">
        <v>505</v>
      </c>
      <c r="C518" t="b">
        <f t="shared" si="8"/>
        <v>0</v>
      </c>
    </row>
    <row r="519" spans="1:3" hidden="1" x14ac:dyDescent="0.25">
      <c r="A519" t="s">
        <v>2986</v>
      </c>
      <c r="B519">
        <v>508</v>
      </c>
      <c r="C519" t="b">
        <f t="shared" si="8"/>
        <v>0</v>
      </c>
    </row>
    <row r="520" spans="1:3" hidden="1" x14ac:dyDescent="0.25">
      <c r="A520" t="s">
        <v>2987</v>
      </c>
      <c r="B520">
        <v>509</v>
      </c>
      <c r="C520" t="b">
        <f t="shared" si="8"/>
        <v>0</v>
      </c>
    </row>
    <row r="521" spans="1:3" hidden="1" x14ac:dyDescent="0.25">
      <c r="A521" t="s">
        <v>4129</v>
      </c>
      <c r="B521">
        <v>1739</v>
      </c>
      <c r="C521" t="b">
        <f t="shared" si="8"/>
        <v>0</v>
      </c>
    </row>
    <row r="522" spans="1:3" hidden="1" x14ac:dyDescent="0.25">
      <c r="A522" t="s">
        <v>3603</v>
      </c>
      <c r="B522">
        <v>1166</v>
      </c>
      <c r="C522" t="b">
        <f t="shared" si="8"/>
        <v>0</v>
      </c>
    </row>
    <row r="523" spans="1:3" hidden="1" x14ac:dyDescent="0.25">
      <c r="A523" t="s">
        <v>2984</v>
      </c>
      <c r="B523">
        <v>506</v>
      </c>
      <c r="C523" t="b">
        <f t="shared" si="8"/>
        <v>0</v>
      </c>
    </row>
    <row r="524" spans="1:3" x14ac:dyDescent="0.25">
      <c r="A524" t="s">
        <v>2984</v>
      </c>
      <c r="B524">
        <v>1165</v>
      </c>
      <c r="C524" t="b">
        <f t="shared" si="8"/>
        <v>1</v>
      </c>
    </row>
    <row r="525" spans="1:3" x14ac:dyDescent="0.25">
      <c r="A525" t="s">
        <v>2984</v>
      </c>
      <c r="B525">
        <v>1738</v>
      </c>
      <c r="C525" t="b">
        <f t="shared" si="8"/>
        <v>1</v>
      </c>
    </row>
    <row r="526" spans="1:3" hidden="1" x14ac:dyDescent="0.25">
      <c r="A526" t="s">
        <v>4071</v>
      </c>
      <c r="B526">
        <v>1671</v>
      </c>
      <c r="C526" t="b">
        <f t="shared" si="8"/>
        <v>0</v>
      </c>
    </row>
    <row r="527" spans="1:3" hidden="1" x14ac:dyDescent="0.25">
      <c r="A527" t="s">
        <v>3750</v>
      </c>
      <c r="B527">
        <v>1323</v>
      </c>
      <c r="C527" t="b">
        <f t="shared" si="8"/>
        <v>0</v>
      </c>
    </row>
    <row r="528" spans="1:3" hidden="1" x14ac:dyDescent="0.25">
      <c r="A528" t="s">
        <v>5047</v>
      </c>
      <c r="B528">
        <v>2750</v>
      </c>
      <c r="C528" t="b">
        <f t="shared" si="8"/>
        <v>0</v>
      </c>
    </row>
    <row r="529" spans="1:3" hidden="1" x14ac:dyDescent="0.25">
      <c r="A529" t="s">
        <v>5048</v>
      </c>
      <c r="B529">
        <v>2751</v>
      </c>
      <c r="C529" t="b">
        <f t="shared" si="8"/>
        <v>0</v>
      </c>
    </row>
    <row r="530" spans="1:3" hidden="1" x14ac:dyDescent="0.25">
      <c r="A530" t="s">
        <v>5049</v>
      </c>
      <c r="B530">
        <v>2752</v>
      </c>
      <c r="C530" t="b">
        <f t="shared" si="8"/>
        <v>0</v>
      </c>
    </row>
    <row r="531" spans="1:3" hidden="1" x14ac:dyDescent="0.25">
      <c r="A531" t="s">
        <v>3751</v>
      </c>
      <c r="B531">
        <v>1324</v>
      </c>
      <c r="C531" t="b">
        <f t="shared" si="8"/>
        <v>0</v>
      </c>
    </row>
    <row r="532" spans="1:3" hidden="1" x14ac:dyDescent="0.25">
      <c r="A532" t="s">
        <v>3752</v>
      </c>
      <c r="B532">
        <v>1325</v>
      </c>
      <c r="C532" t="b">
        <f t="shared" si="8"/>
        <v>0</v>
      </c>
    </row>
    <row r="533" spans="1:3" hidden="1" x14ac:dyDescent="0.25">
      <c r="A533" t="s">
        <v>3676</v>
      </c>
      <c r="B533">
        <v>1244</v>
      </c>
      <c r="C533" t="b">
        <f t="shared" si="8"/>
        <v>0</v>
      </c>
    </row>
    <row r="534" spans="1:3" hidden="1" x14ac:dyDescent="0.25">
      <c r="A534" t="s">
        <v>3468</v>
      </c>
      <c r="B534">
        <v>1023</v>
      </c>
      <c r="C534" t="b">
        <f t="shared" si="8"/>
        <v>0</v>
      </c>
    </row>
    <row r="535" spans="1:3" hidden="1" x14ac:dyDescent="0.25">
      <c r="A535" t="s">
        <v>4386</v>
      </c>
      <c r="B535">
        <v>2020</v>
      </c>
      <c r="C535" t="b">
        <f t="shared" si="8"/>
        <v>0</v>
      </c>
    </row>
    <row r="536" spans="1:3" hidden="1" x14ac:dyDescent="0.25">
      <c r="A536" t="s">
        <v>4387</v>
      </c>
      <c r="B536">
        <v>2021</v>
      </c>
      <c r="C536" t="b">
        <f t="shared" si="8"/>
        <v>0</v>
      </c>
    </row>
    <row r="537" spans="1:3" hidden="1" x14ac:dyDescent="0.25">
      <c r="A537" t="s">
        <v>4388</v>
      </c>
      <c r="B537">
        <v>2022</v>
      </c>
      <c r="C537" t="b">
        <f t="shared" si="8"/>
        <v>0</v>
      </c>
    </row>
    <row r="538" spans="1:3" hidden="1" x14ac:dyDescent="0.25">
      <c r="A538" t="s">
        <v>3296</v>
      </c>
      <c r="B538">
        <v>833</v>
      </c>
      <c r="C538" t="b">
        <f t="shared" si="8"/>
        <v>0</v>
      </c>
    </row>
    <row r="539" spans="1:3" hidden="1" x14ac:dyDescent="0.25">
      <c r="A539" t="s">
        <v>3297</v>
      </c>
      <c r="B539">
        <v>834</v>
      </c>
      <c r="C539" t="b">
        <f t="shared" si="8"/>
        <v>0</v>
      </c>
    </row>
    <row r="540" spans="1:3" hidden="1" x14ac:dyDescent="0.25">
      <c r="A540" t="s">
        <v>5157</v>
      </c>
      <c r="B540">
        <v>2862</v>
      </c>
      <c r="C540" t="b">
        <f t="shared" si="8"/>
        <v>0</v>
      </c>
    </row>
    <row r="541" spans="1:3" hidden="1" x14ac:dyDescent="0.25">
      <c r="A541" t="s">
        <v>4189</v>
      </c>
      <c r="B541">
        <v>1808</v>
      </c>
      <c r="C541" t="b">
        <f t="shared" si="8"/>
        <v>0</v>
      </c>
    </row>
    <row r="542" spans="1:3" hidden="1" x14ac:dyDescent="0.25">
      <c r="A542" t="s">
        <v>3004</v>
      </c>
      <c r="B542">
        <v>527</v>
      </c>
      <c r="C542" t="b">
        <f t="shared" si="8"/>
        <v>0</v>
      </c>
    </row>
    <row r="543" spans="1:3" hidden="1" x14ac:dyDescent="0.25">
      <c r="A543" t="s">
        <v>3005</v>
      </c>
      <c r="B543">
        <v>528</v>
      </c>
      <c r="C543" t="b">
        <f t="shared" si="8"/>
        <v>0</v>
      </c>
    </row>
    <row r="544" spans="1:3" hidden="1" x14ac:dyDescent="0.25">
      <c r="A544" t="s">
        <v>3006</v>
      </c>
      <c r="B544">
        <v>529</v>
      </c>
      <c r="C544" t="b">
        <f t="shared" si="8"/>
        <v>0</v>
      </c>
    </row>
    <row r="545" spans="1:3" hidden="1" x14ac:dyDescent="0.25">
      <c r="A545" t="s">
        <v>3007</v>
      </c>
      <c r="B545">
        <v>530</v>
      </c>
      <c r="C545" t="b">
        <f t="shared" si="8"/>
        <v>0</v>
      </c>
    </row>
    <row r="546" spans="1:3" hidden="1" x14ac:dyDescent="0.25">
      <c r="A546" t="s">
        <v>2872</v>
      </c>
      <c r="B546">
        <v>386</v>
      </c>
      <c r="C546" t="b">
        <f t="shared" si="8"/>
        <v>0</v>
      </c>
    </row>
    <row r="547" spans="1:3" hidden="1" x14ac:dyDescent="0.25">
      <c r="A547" t="s">
        <v>3976</v>
      </c>
      <c r="B547">
        <v>1566</v>
      </c>
      <c r="C547" t="b">
        <f t="shared" si="8"/>
        <v>0</v>
      </c>
    </row>
    <row r="548" spans="1:3" hidden="1" x14ac:dyDescent="0.25">
      <c r="A548" t="s">
        <v>4389</v>
      </c>
      <c r="B548">
        <v>2023</v>
      </c>
      <c r="C548" t="b">
        <f t="shared" si="8"/>
        <v>0</v>
      </c>
    </row>
    <row r="549" spans="1:3" hidden="1" x14ac:dyDescent="0.25">
      <c r="A549" t="s">
        <v>3517</v>
      </c>
      <c r="B549">
        <v>1074</v>
      </c>
      <c r="C549" t="b">
        <f t="shared" si="8"/>
        <v>0</v>
      </c>
    </row>
    <row r="550" spans="1:3" hidden="1" x14ac:dyDescent="0.25">
      <c r="A550" t="s">
        <v>3518</v>
      </c>
      <c r="B550">
        <v>1075</v>
      </c>
      <c r="C550" t="b">
        <f t="shared" si="8"/>
        <v>0</v>
      </c>
    </row>
    <row r="551" spans="1:3" hidden="1" x14ac:dyDescent="0.25">
      <c r="A551" t="s">
        <v>4390</v>
      </c>
      <c r="B551">
        <v>2024</v>
      </c>
      <c r="C551" t="b">
        <f t="shared" si="8"/>
        <v>0</v>
      </c>
    </row>
    <row r="552" spans="1:3" hidden="1" x14ac:dyDescent="0.25">
      <c r="A552" t="s">
        <v>4718</v>
      </c>
      <c r="B552">
        <v>2387</v>
      </c>
      <c r="C552" t="b">
        <f t="shared" si="8"/>
        <v>0</v>
      </c>
    </row>
    <row r="553" spans="1:3" hidden="1" x14ac:dyDescent="0.25">
      <c r="A553" t="s">
        <v>3194</v>
      </c>
      <c r="B553">
        <v>728</v>
      </c>
      <c r="C553" t="b">
        <f t="shared" si="8"/>
        <v>0</v>
      </c>
    </row>
    <row r="554" spans="1:3" hidden="1" x14ac:dyDescent="0.25">
      <c r="A554" t="s">
        <v>3724</v>
      </c>
      <c r="B554">
        <v>1294</v>
      </c>
      <c r="C554" t="b">
        <f t="shared" si="8"/>
        <v>0</v>
      </c>
    </row>
    <row r="555" spans="1:3" hidden="1" x14ac:dyDescent="0.25">
      <c r="A555" t="s">
        <v>3871</v>
      </c>
      <c r="B555">
        <v>1453</v>
      </c>
      <c r="C555" t="b">
        <f t="shared" si="8"/>
        <v>0</v>
      </c>
    </row>
    <row r="556" spans="1:3" hidden="1" x14ac:dyDescent="0.25">
      <c r="A556" t="s">
        <v>3677</v>
      </c>
      <c r="B556">
        <v>1245</v>
      </c>
      <c r="C556" t="b">
        <f t="shared" si="8"/>
        <v>0</v>
      </c>
    </row>
    <row r="557" spans="1:3" hidden="1" x14ac:dyDescent="0.25">
      <c r="A557" t="s">
        <v>3032</v>
      </c>
      <c r="B557">
        <v>559</v>
      </c>
      <c r="C557" t="b">
        <f t="shared" si="8"/>
        <v>0</v>
      </c>
    </row>
    <row r="558" spans="1:3" hidden="1" x14ac:dyDescent="0.25">
      <c r="A558" t="s">
        <v>3033</v>
      </c>
      <c r="B558">
        <v>560</v>
      </c>
      <c r="C558" t="b">
        <f t="shared" si="8"/>
        <v>0</v>
      </c>
    </row>
    <row r="559" spans="1:3" hidden="1" x14ac:dyDescent="0.25">
      <c r="A559" t="s">
        <v>3034</v>
      </c>
      <c r="B559">
        <v>561</v>
      </c>
      <c r="C559" t="b">
        <f t="shared" si="8"/>
        <v>0</v>
      </c>
    </row>
    <row r="560" spans="1:3" hidden="1" x14ac:dyDescent="0.25">
      <c r="A560" t="s">
        <v>3996</v>
      </c>
      <c r="B560">
        <v>1590</v>
      </c>
      <c r="C560" t="b">
        <f t="shared" si="8"/>
        <v>0</v>
      </c>
    </row>
    <row r="561" spans="1:3" hidden="1" x14ac:dyDescent="0.25">
      <c r="A561" t="s">
        <v>3997</v>
      </c>
      <c r="B561">
        <v>1591</v>
      </c>
      <c r="C561" t="b">
        <f t="shared" si="8"/>
        <v>0</v>
      </c>
    </row>
    <row r="562" spans="1:3" hidden="1" x14ac:dyDescent="0.25">
      <c r="A562" t="s">
        <v>3035</v>
      </c>
      <c r="B562">
        <v>562</v>
      </c>
      <c r="C562" t="b">
        <f t="shared" si="8"/>
        <v>0</v>
      </c>
    </row>
    <row r="563" spans="1:3" hidden="1" x14ac:dyDescent="0.25">
      <c r="A563" t="s">
        <v>3031</v>
      </c>
      <c r="B563">
        <v>558</v>
      </c>
      <c r="C563" t="b">
        <f t="shared" si="8"/>
        <v>0</v>
      </c>
    </row>
    <row r="564" spans="1:3" hidden="1" x14ac:dyDescent="0.25">
      <c r="A564" t="s">
        <v>3036</v>
      </c>
      <c r="B564">
        <v>563</v>
      </c>
      <c r="C564" t="b">
        <f t="shared" si="8"/>
        <v>0</v>
      </c>
    </row>
    <row r="565" spans="1:3" hidden="1" x14ac:dyDescent="0.25">
      <c r="A565" t="s">
        <v>3998</v>
      </c>
      <c r="B565">
        <v>1592</v>
      </c>
      <c r="C565" t="b">
        <f t="shared" si="8"/>
        <v>0</v>
      </c>
    </row>
    <row r="566" spans="1:3" hidden="1" x14ac:dyDescent="0.25">
      <c r="A566" t="s">
        <v>3895</v>
      </c>
      <c r="B566">
        <v>1479</v>
      </c>
      <c r="C566" t="b">
        <f t="shared" si="8"/>
        <v>0</v>
      </c>
    </row>
    <row r="567" spans="1:3" x14ac:dyDescent="0.25">
      <c r="A567" t="s">
        <v>3895</v>
      </c>
      <c r="B567">
        <v>2199</v>
      </c>
      <c r="C567" t="b">
        <f t="shared" si="8"/>
        <v>1</v>
      </c>
    </row>
    <row r="568" spans="1:3" hidden="1" x14ac:dyDescent="0.25">
      <c r="A568" t="s">
        <v>3999</v>
      </c>
      <c r="B568">
        <v>1593</v>
      </c>
      <c r="C568" t="b">
        <f t="shared" si="8"/>
        <v>0</v>
      </c>
    </row>
    <row r="569" spans="1:3" hidden="1" x14ac:dyDescent="0.25">
      <c r="A569" t="s">
        <v>3896</v>
      </c>
      <c r="B569">
        <v>1480</v>
      </c>
      <c r="C569" t="b">
        <f t="shared" si="8"/>
        <v>0</v>
      </c>
    </row>
    <row r="570" spans="1:3" hidden="1" x14ac:dyDescent="0.25">
      <c r="A570" t="s">
        <v>3195</v>
      </c>
      <c r="B570">
        <v>729</v>
      </c>
      <c r="C570" t="b">
        <f t="shared" si="8"/>
        <v>0</v>
      </c>
    </row>
    <row r="571" spans="1:3" hidden="1" x14ac:dyDescent="0.25">
      <c r="A571" t="s">
        <v>3196</v>
      </c>
      <c r="B571">
        <v>730</v>
      </c>
      <c r="C571" t="b">
        <f t="shared" si="8"/>
        <v>0</v>
      </c>
    </row>
    <row r="572" spans="1:3" hidden="1" x14ac:dyDescent="0.25">
      <c r="A572" t="s">
        <v>3197</v>
      </c>
      <c r="B572">
        <v>731</v>
      </c>
      <c r="C572" t="b">
        <f t="shared" si="8"/>
        <v>0</v>
      </c>
    </row>
    <row r="573" spans="1:3" hidden="1" x14ac:dyDescent="0.25">
      <c r="A573" t="s">
        <v>2534</v>
      </c>
      <c r="B573">
        <v>39</v>
      </c>
      <c r="C573" t="b">
        <f t="shared" si="8"/>
        <v>0</v>
      </c>
    </row>
    <row r="574" spans="1:3" x14ac:dyDescent="0.25">
      <c r="A574" t="s">
        <v>2534</v>
      </c>
      <c r="B574">
        <v>2388</v>
      </c>
      <c r="C574" t="b">
        <f t="shared" si="8"/>
        <v>1</v>
      </c>
    </row>
    <row r="575" spans="1:3" hidden="1" x14ac:dyDescent="0.25">
      <c r="A575" t="s">
        <v>3604</v>
      </c>
      <c r="B575">
        <v>1167</v>
      </c>
      <c r="C575" t="b">
        <f t="shared" si="8"/>
        <v>0</v>
      </c>
    </row>
    <row r="576" spans="1:3" hidden="1" x14ac:dyDescent="0.25">
      <c r="A576" t="s">
        <v>3929</v>
      </c>
      <c r="B576">
        <v>1515</v>
      </c>
      <c r="C576" t="b">
        <f t="shared" si="8"/>
        <v>0</v>
      </c>
    </row>
    <row r="577" spans="1:3" hidden="1" x14ac:dyDescent="0.25">
      <c r="A577" t="s">
        <v>3725</v>
      </c>
      <c r="B577">
        <v>1295</v>
      </c>
      <c r="C577" t="b">
        <f t="shared" si="8"/>
        <v>0</v>
      </c>
    </row>
    <row r="578" spans="1:3" hidden="1" x14ac:dyDescent="0.25">
      <c r="A578" t="s">
        <v>3726</v>
      </c>
      <c r="B578">
        <v>1296</v>
      </c>
      <c r="C578" t="b">
        <f t="shared" si="8"/>
        <v>0</v>
      </c>
    </row>
    <row r="579" spans="1:3" hidden="1" x14ac:dyDescent="0.25">
      <c r="A579" t="s">
        <v>2834</v>
      </c>
      <c r="B579">
        <v>347</v>
      </c>
      <c r="C579" t="b">
        <f t="shared" ref="C579:C642" si="9">A579=A578</f>
        <v>0</v>
      </c>
    </row>
    <row r="580" spans="1:3" hidden="1" x14ac:dyDescent="0.25">
      <c r="A580" t="s">
        <v>2836</v>
      </c>
      <c r="B580">
        <v>349</v>
      </c>
      <c r="C580" t="b">
        <f t="shared" si="9"/>
        <v>0</v>
      </c>
    </row>
    <row r="581" spans="1:3" hidden="1" x14ac:dyDescent="0.25">
      <c r="A581" t="s">
        <v>2835</v>
      </c>
      <c r="B581">
        <v>348</v>
      </c>
      <c r="C581" t="b">
        <f t="shared" si="9"/>
        <v>0</v>
      </c>
    </row>
    <row r="582" spans="1:3" x14ac:dyDescent="0.25">
      <c r="A582" t="s">
        <v>2835</v>
      </c>
      <c r="B582">
        <v>1168</v>
      </c>
      <c r="C582" t="b">
        <f t="shared" si="9"/>
        <v>1</v>
      </c>
    </row>
    <row r="583" spans="1:3" hidden="1" x14ac:dyDescent="0.25">
      <c r="A583" t="s">
        <v>4164</v>
      </c>
      <c r="B583">
        <v>1779</v>
      </c>
      <c r="C583" t="b">
        <f t="shared" si="9"/>
        <v>0</v>
      </c>
    </row>
    <row r="584" spans="1:3" hidden="1" x14ac:dyDescent="0.25">
      <c r="A584" t="s">
        <v>4165</v>
      </c>
      <c r="B584">
        <v>1780</v>
      </c>
      <c r="C584" t="b">
        <f t="shared" si="9"/>
        <v>0</v>
      </c>
    </row>
    <row r="585" spans="1:3" hidden="1" x14ac:dyDescent="0.25">
      <c r="A585" t="s">
        <v>4166</v>
      </c>
      <c r="B585">
        <v>1781</v>
      </c>
      <c r="C585" t="b">
        <f t="shared" si="9"/>
        <v>0</v>
      </c>
    </row>
    <row r="586" spans="1:3" hidden="1" x14ac:dyDescent="0.25">
      <c r="A586" t="s">
        <v>3426</v>
      </c>
      <c r="B586">
        <v>975</v>
      </c>
      <c r="C586" t="b">
        <f t="shared" si="9"/>
        <v>0</v>
      </c>
    </row>
    <row r="587" spans="1:3" x14ac:dyDescent="0.25">
      <c r="A587" t="s">
        <v>3426</v>
      </c>
      <c r="B587">
        <v>1740</v>
      </c>
      <c r="C587" t="b">
        <f t="shared" si="9"/>
        <v>1</v>
      </c>
    </row>
    <row r="588" spans="1:3" x14ac:dyDescent="0.25">
      <c r="A588" t="s">
        <v>3426</v>
      </c>
      <c r="B588">
        <v>2863</v>
      </c>
      <c r="C588" t="b">
        <f t="shared" si="9"/>
        <v>1</v>
      </c>
    </row>
    <row r="589" spans="1:3" hidden="1" x14ac:dyDescent="0.25">
      <c r="A589" t="s">
        <v>2776</v>
      </c>
      <c r="B589">
        <v>288</v>
      </c>
      <c r="C589" t="b">
        <f t="shared" si="9"/>
        <v>0</v>
      </c>
    </row>
    <row r="590" spans="1:3" hidden="1" x14ac:dyDescent="0.25">
      <c r="A590" t="s">
        <v>2777</v>
      </c>
      <c r="B590">
        <v>289</v>
      </c>
      <c r="C590" t="b">
        <f t="shared" si="9"/>
        <v>0</v>
      </c>
    </row>
    <row r="591" spans="1:3" hidden="1" x14ac:dyDescent="0.25">
      <c r="A591" t="s">
        <v>2778</v>
      </c>
      <c r="B591">
        <v>290</v>
      </c>
      <c r="C591" t="b">
        <f t="shared" si="9"/>
        <v>0</v>
      </c>
    </row>
    <row r="592" spans="1:3" hidden="1" x14ac:dyDescent="0.25">
      <c r="A592" t="s">
        <v>2779</v>
      </c>
      <c r="B592">
        <v>291</v>
      </c>
      <c r="C592" t="b">
        <f t="shared" si="9"/>
        <v>0</v>
      </c>
    </row>
    <row r="593" spans="1:3" hidden="1" x14ac:dyDescent="0.25">
      <c r="A593" t="s">
        <v>4753</v>
      </c>
      <c r="B593">
        <v>2426</v>
      </c>
      <c r="C593" t="b">
        <f t="shared" si="9"/>
        <v>0</v>
      </c>
    </row>
    <row r="594" spans="1:3" hidden="1" x14ac:dyDescent="0.25">
      <c r="A594" t="s">
        <v>4751</v>
      </c>
      <c r="B594">
        <v>2424</v>
      </c>
      <c r="C594" t="b">
        <f t="shared" si="9"/>
        <v>0</v>
      </c>
    </row>
    <row r="595" spans="1:3" hidden="1" x14ac:dyDescent="0.25">
      <c r="A595" t="s">
        <v>4752</v>
      </c>
      <c r="B595">
        <v>2425</v>
      </c>
      <c r="C595" t="b">
        <f t="shared" si="9"/>
        <v>0</v>
      </c>
    </row>
    <row r="596" spans="1:3" hidden="1" x14ac:dyDescent="0.25">
      <c r="A596" t="s">
        <v>3630</v>
      </c>
      <c r="B596">
        <v>1197</v>
      </c>
      <c r="C596" t="b">
        <f t="shared" si="9"/>
        <v>0</v>
      </c>
    </row>
    <row r="597" spans="1:3" x14ac:dyDescent="0.25">
      <c r="A597" t="s">
        <v>3630</v>
      </c>
      <c r="B597">
        <v>2566</v>
      </c>
      <c r="C597" t="b">
        <f t="shared" si="9"/>
        <v>1</v>
      </c>
    </row>
    <row r="598" spans="1:3" x14ac:dyDescent="0.25">
      <c r="A598" t="s">
        <v>3630</v>
      </c>
      <c r="B598">
        <v>2612</v>
      </c>
      <c r="C598" t="b">
        <f t="shared" si="9"/>
        <v>1</v>
      </c>
    </row>
    <row r="599" spans="1:3" hidden="1" x14ac:dyDescent="0.25">
      <c r="A599" t="s">
        <v>3835</v>
      </c>
      <c r="B599">
        <v>1413</v>
      </c>
      <c r="C599" t="b">
        <f t="shared" si="9"/>
        <v>0</v>
      </c>
    </row>
    <row r="600" spans="1:3" hidden="1" x14ac:dyDescent="0.25">
      <c r="A600" t="s">
        <v>3962</v>
      </c>
      <c r="B600">
        <v>1551</v>
      </c>
      <c r="C600" t="b">
        <f t="shared" si="9"/>
        <v>0</v>
      </c>
    </row>
    <row r="601" spans="1:3" x14ac:dyDescent="0.25">
      <c r="A601" t="s">
        <v>3962</v>
      </c>
      <c r="B601">
        <v>2389</v>
      </c>
      <c r="C601" t="b">
        <f t="shared" si="9"/>
        <v>1</v>
      </c>
    </row>
    <row r="602" spans="1:3" hidden="1" x14ac:dyDescent="0.25">
      <c r="A602" t="s">
        <v>4550</v>
      </c>
      <c r="B602">
        <v>2200</v>
      </c>
      <c r="C602" t="b">
        <f t="shared" si="9"/>
        <v>0</v>
      </c>
    </row>
    <row r="603" spans="1:3" hidden="1" x14ac:dyDescent="0.25">
      <c r="A603" t="s">
        <v>4391</v>
      </c>
      <c r="B603">
        <v>2025</v>
      </c>
      <c r="C603" t="b">
        <f t="shared" si="9"/>
        <v>0</v>
      </c>
    </row>
    <row r="604" spans="1:3" hidden="1" x14ac:dyDescent="0.25">
      <c r="A604" t="s">
        <v>4840</v>
      </c>
      <c r="B604">
        <v>2525</v>
      </c>
      <c r="C604" t="b">
        <f t="shared" si="9"/>
        <v>0</v>
      </c>
    </row>
    <row r="605" spans="1:3" hidden="1" x14ac:dyDescent="0.25">
      <c r="A605" t="s">
        <v>4251</v>
      </c>
      <c r="B605">
        <v>1875</v>
      </c>
      <c r="C605" t="b">
        <f t="shared" si="9"/>
        <v>0</v>
      </c>
    </row>
    <row r="606" spans="1:3" hidden="1" x14ac:dyDescent="0.25">
      <c r="A606" t="s">
        <v>3275</v>
      </c>
      <c r="B606">
        <v>811</v>
      </c>
      <c r="C606" t="b">
        <f t="shared" si="9"/>
        <v>0</v>
      </c>
    </row>
    <row r="607" spans="1:3" hidden="1" x14ac:dyDescent="0.25">
      <c r="A607" t="s">
        <v>3605</v>
      </c>
      <c r="B607">
        <v>1169</v>
      </c>
      <c r="C607" t="b">
        <f t="shared" si="9"/>
        <v>0</v>
      </c>
    </row>
    <row r="608" spans="1:3" hidden="1" x14ac:dyDescent="0.25">
      <c r="A608" t="s">
        <v>4571</v>
      </c>
      <c r="B608">
        <v>2228</v>
      </c>
      <c r="C608" t="b">
        <f t="shared" si="9"/>
        <v>0</v>
      </c>
    </row>
    <row r="609" spans="1:3" hidden="1" x14ac:dyDescent="0.25">
      <c r="A609" t="s">
        <v>4972</v>
      </c>
      <c r="B609">
        <v>2672</v>
      </c>
      <c r="C609" t="b">
        <f t="shared" si="9"/>
        <v>0</v>
      </c>
    </row>
    <row r="610" spans="1:3" hidden="1" x14ac:dyDescent="0.25">
      <c r="A610" t="s">
        <v>3930</v>
      </c>
      <c r="B610">
        <v>1516</v>
      </c>
      <c r="C610" t="b">
        <f t="shared" si="9"/>
        <v>0</v>
      </c>
    </row>
    <row r="611" spans="1:3" hidden="1" x14ac:dyDescent="0.25">
      <c r="A611" t="s">
        <v>3678</v>
      </c>
      <c r="B611">
        <v>1246</v>
      </c>
      <c r="C611" t="b">
        <f t="shared" si="9"/>
        <v>0</v>
      </c>
    </row>
    <row r="612" spans="1:3" hidden="1" x14ac:dyDescent="0.25">
      <c r="A612" t="s">
        <v>3631</v>
      </c>
      <c r="B612">
        <v>1198</v>
      </c>
      <c r="C612" t="b">
        <f t="shared" si="9"/>
        <v>0</v>
      </c>
    </row>
    <row r="613" spans="1:3" hidden="1" x14ac:dyDescent="0.25">
      <c r="A613" t="s">
        <v>4754</v>
      </c>
      <c r="B613">
        <v>2427</v>
      </c>
      <c r="C613" t="b">
        <f t="shared" si="9"/>
        <v>0</v>
      </c>
    </row>
    <row r="614" spans="1:3" hidden="1" x14ac:dyDescent="0.25">
      <c r="A614" t="s">
        <v>3836</v>
      </c>
      <c r="B614">
        <v>1414</v>
      </c>
      <c r="C614" t="b">
        <f t="shared" si="9"/>
        <v>0</v>
      </c>
    </row>
    <row r="615" spans="1:3" hidden="1" x14ac:dyDescent="0.25">
      <c r="A615" t="s">
        <v>2873</v>
      </c>
      <c r="B615">
        <v>387</v>
      </c>
      <c r="C615" t="b">
        <f t="shared" si="9"/>
        <v>0</v>
      </c>
    </row>
    <row r="616" spans="1:3" hidden="1" x14ac:dyDescent="0.25">
      <c r="A616" t="s">
        <v>3931</v>
      </c>
      <c r="B616">
        <v>1517</v>
      </c>
      <c r="C616" t="b">
        <f t="shared" si="9"/>
        <v>0</v>
      </c>
    </row>
    <row r="617" spans="1:3" hidden="1" x14ac:dyDescent="0.25">
      <c r="A617" t="s">
        <v>3679</v>
      </c>
      <c r="B617">
        <v>1247</v>
      </c>
      <c r="C617" t="b">
        <f t="shared" si="9"/>
        <v>0</v>
      </c>
    </row>
    <row r="618" spans="1:3" hidden="1" x14ac:dyDescent="0.25">
      <c r="A618" t="s">
        <v>4572</v>
      </c>
      <c r="B618">
        <v>2229</v>
      </c>
      <c r="C618" t="b">
        <f t="shared" si="9"/>
        <v>0</v>
      </c>
    </row>
    <row r="619" spans="1:3" hidden="1" x14ac:dyDescent="0.25">
      <c r="A619" t="s">
        <v>4573</v>
      </c>
      <c r="B619">
        <v>2230</v>
      </c>
      <c r="C619" t="b">
        <f t="shared" si="9"/>
        <v>0</v>
      </c>
    </row>
    <row r="620" spans="1:3" hidden="1" x14ac:dyDescent="0.25">
      <c r="A620" t="s">
        <v>4574</v>
      </c>
      <c r="B620">
        <v>2231</v>
      </c>
      <c r="C620" t="b">
        <f t="shared" si="9"/>
        <v>0</v>
      </c>
    </row>
    <row r="621" spans="1:3" hidden="1" x14ac:dyDescent="0.25">
      <c r="A621" t="s">
        <v>4053</v>
      </c>
      <c r="B621">
        <v>1651</v>
      </c>
      <c r="C621" t="b">
        <f t="shared" si="9"/>
        <v>0</v>
      </c>
    </row>
    <row r="622" spans="1:3" hidden="1" x14ac:dyDescent="0.25">
      <c r="A622" t="s">
        <v>2645</v>
      </c>
      <c r="B622">
        <v>154</v>
      </c>
      <c r="C622" t="b">
        <f t="shared" si="9"/>
        <v>0</v>
      </c>
    </row>
    <row r="623" spans="1:3" hidden="1" x14ac:dyDescent="0.25">
      <c r="A623" t="s">
        <v>3079</v>
      </c>
      <c r="B623">
        <v>609</v>
      </c>
      <c r="C623" t="b">
        <f t="shared" si="9"/>
        <v>0</v>
      </c>
    </row>
    <row r="624" spans="1:3" hidden="1" x14ac:dyDescent="0.25">
      <c r="A624" t="s">
        <v>4841</v>
      </c>
      <c r="B624">
        <v>2526</v>
      </c>
      <c r="C624" t="b">
        <f t="shared" si="9"/>
        <v>0</v>
      </c>
    </row>
    <row r="625" spans="1:3" hidden="1" x14ac:dyDescent="0.25">
      <c r="A625" t="s">
        <v>4558</v>
      </c>
      <c r="B625">
        <v>2212</v>
      </c>
      <c r="C625" t="b">
        <f t="shared" si="9"/>
        <v>0</v>
      </c>
    </row>
    <row r="626" spans="1:3" hidden="1" x14ac:dyDescent="0.25">
      <c r="A626" t="s">
        <v>4719</v>
      </c>
      <c r="B626">
        <v>2390</v>
      </c>
      <c r="C626" t="b">
        <f t="shared" si="9"/>
        <v>0</v>
      </c>
    </row>
    <row r="627" spans="1:3" hidden="1" x14ac:dyDescent="0.25">
      <c r="A627" t="s">
        <v>3254</v>
      </c>
      <c r="B627">
        <v>789</v>
      </c>
      <c r="C627" t="b">
        <f t="shared" si="9"/>
        <v>0</v>
      </c>
    </row>
    <row r="628" spans="1:3" hidden="1" x14ac:dyDescent="0.25">
      <c r="A628" t="s">
        <v>4000</v>
      </c>
      <c r="B628">
        <v>1594</v>
      </c>
      <c r="C628" t="b">
        <f t="shared" si="9"/>
        <v>0</v>
      </c>
    </row>
    <row r="629" spans="1:3" hidden="1" x14ac:dyDescent="0.25">
      <c r="A629" t="s">
        <v>3753</v>
      </c>
      <c r="B629">
        <v>1326</v>
      </c>
      <c r="C629" t="b">
        <f t="shared" si="9"/>
        <v>0</v>
      </c>
    </row>
    <row r="630" spans="1:3" hidden="1" x14ac:dyDescent="0.25">
      <c r="A630" t="s">
        <v>4918</v>
      </c>
      <c r="B630">
        <v>2614</v>
      </c>
      <c r="C630" t="b">
        <f t="shared" si="9"/>
        <v>0</v>
      </c>
    </row>
    <row r="631" spans="1:3" hidden="1" x14ac:dyDescent="0.25">
      <c r="A631" t="s">
        <v>4917</v>
      </c>
      <c r="B631">
        <v>2613</v>
      </c>
      <c r="C631" t="b">
        <f t="shared" si="9"/>
        <v>0</v>
      </c>
    </row>
    <row r="632" spans="1:3" hidden="1" x14ac:dyDescent="0.25">
      <c r="A632" t="s">
        <v>2646</v>
      </c>
      <c r="B632">
        <v>155</v>
      </c>
      <c r="C632" t="b">
        <f t="shared" si="9"/>
        <v>0</v>
      </c>
    </row>
    <row r="633" spans="1:3" hidden="1" x14ac:dyDescent="0.25">
      <c r="A633" t="s">
        <v>3065</v>
      </c>
      <c r="B633">
        <v>594</v>
      </c>
      <c r="C633" t="b">
        <f t="shared" si="9"/>
        <v>0</v>
      </c>
    </row>
    <row r="634" spans="1:3" hidden="1" x14ac:dyDescent="0.25">
      <c r="A634" t="s">
        <v>3064</v>
      </c>
      <c r="B634">
        <v>593</v>
      </c>
      <c r="C634" t="b">
        <f t="shared" si="9"/>
        <v>0</v>
      </c>
    </row>
    <row r="635" spans="1:3" hidden="1" x14ac:dyDescent="0.25">
      <c r="A635" t="s">
        <v>3066</v>
      </c>
      <c r="B635">
        <v>595</v>
      </c>
      <c r="C635" t="b">
        <f t="shared" si="9"/>
        <v>0</v>
      </c>
    </row>
    <row r="636" spans="1:3" hidden="1" x14ac:dyDescent="0.25">
      <c r="A636" t="s">
        <v>4575</v>
      </c>
      <c r="B636">
        <v>2232</v>
      </c>
      <c r="C636" t="b">
        <f t="shared" si="9"/>
        <v>0</v>
      </c>
    </row>
    <row r="637" spans="1:3" hidden="1" x14ac:dyDescent="0.25">
      <c r="A637" t="s">
        <v>3932</v>
      </c>
      <c r="B637">
        <v>1518</v>
      </c>
      <c r="C637" t="b">
        <f t="shared" si="9"/>
        <v>0</v>
      </c>
    </row>
    <row r="638" spans="1:3" hidden="1" x14ac:dyDescent="0.25">
      <c r="A638" t="s">
        <v>3164</v>
      </c>
      <c r="B638">
        <v>697</v>
      </c>
      <c r="C638" t="b">
        <f t="shared" si="9"/>
        <v>0</v>
      </c>
    </row>
    <row r="639" spans="1:3" hidden="1" x14ac:dyDescent="0.25">
      <c r="A639" t="s">
        <v>4789</v>
      </c>
      <c r="B639">
        <v>2465</v>
      </c>
      <c r="C639" t="b">
        <f t="shared" si="9"/>
        <v>0</v>
      </c>
    </row>
    <row r="640" spans="1:3" hidden="1" x14ac:dyDescent="0.25">
      <c r="A640" t="s">
        <v>4341</v>
      </c>
      <c r="B640">
        <v>1971</v>
      </c>
      <c r="C640" t="b">
        <f t="shared" si="9"/>
        <v>0</v>
      </c>
    </row>
    <row r="641" spans="1:3" hidden="1" x14ac:dyDescent="0.25">
      <c r="A641" t="s">
        <v>3581</v>
      </c>
      <c r="B641">
        <v>1142</v>
      </c>
      <c r="C641" t="b">
        <f t="shared" si="9"/>
        <v>0</v>
      </c>
    </row>
    <row r="642" spans="1:3" hidden="1" x14ac:dyDescent="0.25">
      <c r="A642" t="s">
        <v>3583</v>
      </c>
      <c r="B642">
        <v>1144</v>
      </c>
      <c r="C642" t="b">
        <f t="shared" si="9"/>
        <v>0</v>
      </c>
    </row>
    <row r="643" spans="1:3" hidden="1" x14ac:dyDescent="0.25">
      <c r="A643" t="s">
        <v>3582</v>
      </c>
      <c r="B643">
        <v>1143</v>
      </c>
      <c r="C643" t="b">
        <f t="shared" ref="C643:C706" si="10">A643=A642</f>
        <v>0</v>
      </c>
    </row>
    <row r="644" spans="1:3" hidden="1" x14ac:dyDescent="0.25">
      <c r="A644" t="s">
        <v>2735</v>
      </c>
      <c r="B644">
        <v>246</v>
      </c>
      <c r="C644" t="b">
        <f t="shared" si="10"/>
        <v>0</v>
      </c>
    </row>
    <row r="645" spans="1:3" hidden="1" x14ac:dyDescent="0.25">
      <c r="A645" t="s">
        <v>4252</v>
      </c>
      <c r="B645">
        <v>1876</v>
      </c>
      <c r="C645" t="b">
        <f t="shared" si="10"/>
        <v>0</v>
      </c>
    </row>
    <row r="646" spans="1:3" x14ac:dyDescent="0.25">
      <c r="A646" t="s">
        <v>4252</v>
      </c>
      <c r="B646">
        <v>2111</v>
      </c>
      <c r="C646" t="b">
        <f t="shared" si="10"/>
        <v>1</v>
      </c>
    </row>
    <row r="647" spans="1:3" hidden="1" x14ac:dyDescent="0.25">
      <c r="A647" t="s">
        <v>4497</v>
      </c>
      <c r="B647">
        <v>2135</v>
      </c>
      <c r="C647" t="b">
        <f t="shared" si="10"/>
        <v>0</v>
      </c>
    </row>
    <row r="648" spans="1:3" hidden="1" x14ac:dyDescent="0.25">
      <c r="A648" t="s">
        <v>2501</v>
      </c>
      <c r="B648">
        <v>5</v>
      </c>
      <c r="C648" t="b">
        <f t="shared" si="10"/>
        <v>0</v>
      </c>
    </row>
    <row r="649" spans="1:3" hidden="1" x14ac:dyDescent="0.25">
      <c r="A649" t="s">
        <v>2598</v>
      </c>
      <c r="B649">
        <v>105</v>
      </c>
      <c r="C649" t="b">
        <f t="shared" si="10"/>
        <v>0</v>
      </c>
    </row>
    <row r="650" spans="1:3" x14ac:dyDescent="0.25">
      <c r="A650" t="s">
        <v>2598</v>
      </c>
      <c r="B650">
        <v>1713</v>
      </c>
      <c r="C650" t="b">
        <f t="shared" si="10"/>
        <v>1</v>
      </c>
    </row>
    <row r="651" spans="1:3" x14ac:dyDescent="0.25">
      <c r="A651" t="s">
        <v>2598</v>
      </c>
      <c r="B651">
        <v>2466</v>
      </c>
      <c r="C651" t="b">
        <f t="shared" si="10"/>
        <v>1</v>
      </c>
    </row>
    <row r="652" spans="1:3" hidden="1" x14ac:dyDescent="0.25">
      <c r="A652" t="s">
        <v>4110</v>
      </c>
      <c r="B652">
        <v>1714</v>
      </c>
      <c r="C652" t="b">
        <f t="shared" si="10"/>
        <v>0</v>
      </c>
    </row>
    <row r="653" spans="1:3" hidden="1" x14ac:dyDescent="0.25">
      <c r="A653" t="s">
        <v>2988</v>
      </c>
      <c r="B653">
        <v>510</v>
      </c>
      <c r="C653" t="b">
        <f t="shared" si="10"/>
        <v>0</v>
      </c>
    </row>
    <row r="654" spans="1:3" hidden="1" x14ac:dyDescent="0.25">
      <c r="A654" t="s">
        <v>4144</v>
      </c>
      <c r="B654">
        <v>1758</v>
      </c>
      <c r="C654" t="b">
        <f t="shared" si="10"/>
        <v>0</v>
      </c>
    </row>
    <row r="655" spans="1:3" hidden="1" x14ac:dyDescent="0.25">
      <c r="A655" t="s">
        <v>3037</v>
      </c>
      <c r="B655">
        <v>564</v>
      </c>
      <c r="C655" t="b">
        <f t="shared" si="10"/>
        <v>0</v>
      </c>
    </row>
    <row r="656" spans="1:3" hidden="1" x14ac:dyDescent="0.25">
      <c r="A656" t="s">
        <v>4296</v>
      </c>
      <c r="B656">
        <v>1924</v>
      </c>
      <c r="C656" t="b">
        <f t="shared" si="10"/>
        <v>0</v>
      </c>
    </row>
    <row r="657" spans="1:3" hidden="1" x14ac:dyDescent="0.25">
      <c r="A657" t="s">
        <v>3519</v>
      </c>
      <c r="B657">
        <v>1076</v>
      </c>
      <c r="C657" t="b">
        <f t="shared" si="10"/>
        <v>0</v>
      </c>
    </row>
    <row r="658" spans="1:3" hidden="1" x14ac:dyDescent="0.25">
      <c r="A658" t="s">
        <v>3198</v>
      </c>
      <c r="B658">
        <v>732</v>
      </c>
      <c r="C658" t="b">
        <f t="shared" si="10"/>
        <v>0</v>
      </c>
    </row>
    <row r="659" spans="1:3" hidden="1" x14ac:dyDescent="0.25">
      <c r="A659" t="s">
        <v>3200</v>
      </c>
      <c r="B659">
        <v>734</v>
      </c>
      <c r="C659" t="b">
        <f t="shared" si="10"/>
        <v>0</v>
      </c>
    </row>
    <row r="660" spans="1:3" hidden="1" x14ac:dyDescent="0.25">
      <c r="A660" t="s">
        <v>3201</v>
      </c>
      <c r="B660">
        <v>735</v>
      </c>
      <c r="C660" t="b">
        <f t="shared" si="10"/>
        <v>0</v>
      </c>
    </row>
    <row r="661" spans="1:3" hidden="1" x14ac:dyDescent="0.25">
      <c r="A661" t="s">
        <v>3199</v>
      </c>
      <c r="B661">
        <v>733</v>
      </c>
      <c r="C661" t="b">
        <f t="shared" si="10"/>
        <v>0</v>
      </c>
    </row>
    <row r="662" spans="1:3" hidden="1" x14ac:dyDescent="0.25">
      <c r="A662" t="s">
        <v>4342</v>
      </c>
      <c r="B662">
        <v>1972</v>
      </c>
      <c r="C662" t="b">
        <f t="shared" si="10"/>
        <v>0</v>
      </c>
    </row>
    <row r="663" spans="1:3" x14ac:dyDescent="0.25">
      <c r="A663" t="s">
        <v>4342</v>
      </c>
      <c r="B663">
        <v>2567</v>
      </c>
      <c r="C663" t="b">
        <f t="shared" si="10"/>
        <v>1</v>
      </c>
    </row>
    <row r="664" spans="1:3" hidden="1" x14ac:dyDescent="0.25">
      <c r="A664" t="s">
        <v>5050</v>
      </c>
      <c r="B664">
        <v>2753</v>
      </c>
      <c r="C664" t="b">
        <f t="shared" si="10"/>
        <v>0</v>
      </c>
    </row>
    <row r="665" spans="1:3" hidden="1" x14ac:dyDescent="0.25">
      <c r="A665" t="s">
        <v>5051</v>
      </c>
      <c r="B665">
        <v>2754</v>
      </c>
      <c r="C665" t="b">
        <f t="shared" si="10"/>
        <v>0</v>
      </c>
    </row>
    <row r="666" spans="1:3" hidden="1" x14ac:dyDescent="0.25">
      <c r="A666" t="s">
        <v>5052</v>
      </c>
      <c r="B666">
        <v>2755</v>
      </c>
      <c r="C666" t="b">
        <f t="shared" si="10"/>
        <v>0</v>
      </c>
    </row>
    <row r="667" spans="1:3" hidden="1" x14ac:dyDescent="0.25">
      <c r="A667" t="s">
        <v>5053</v>
      </c>
      <c r="B667">
        <v>2756</v>
      </c>
      <c r="C667" t="b">
        <f t="shared" si="10"/>
        <v>0</v>
      </c>
    </row>
    <row r="668" spans="1:3" hidden="1" x14ac:dyDescent="0.25">
      <c r="A668" t="s">
        <v>4919</v>
      </c>
      <c r="B668">
        <v>2615</v>
      </c>
      <c r="C668" t="b">
        <f t="shared" si="10"/>
        <v>0</v>
      </c>
    </row>
    <row r="669" spans="1:3" hidden="1" x14ac:dyDescent="0.25">
      <c r="A669" t="s">
        <v>4920</v>
      </c>
      <c r="B669">
        <v>2616</v>
      </c>
      <c r="C669" t="b">
        <f t="shared" si="10"/>
        <v>0</v>
      </c>
    </row>
    <row r="670" spans="1:3" hidden="1" x14ac:dyDescent="0.25">
      <c r="A670" t="s">
        <v>4921</v>
      </c>
      <c r="B670">
        <v>2617</v>
      </c>
      <c r="C670" t="b">
        <f t="shared" si="10"/>
        <v>0</v>
      </c>
    </row>
    <row r="671" spans="1:3" hidden="1" x14ac:dyDescent="0.25">
      <c r="A671" t="s">
        <v>4922</v>
      </c>
      <c r="B671">
        <v>2618</v>
      </c>
      <c r="C671" t="b">
        <f t="shared" si="10"/>
        <v>0</v>
      </c>
    </row>
    <row r="672" spans="1:3" hidden="1" x14ac:dyDescent="0.25">
      <c r="A672" t="s">
        <v>4791</v>
      </c>
      <c r="B672">
        <v>2468</v>
      </c>
      <c r="C672" t="b">
        <f t="shared" si="10"/>
        <v>0</v>
      </c>
    </row>
    <row r="673" spans="1:3" hidden="1" x14ac:dyDescent="0.25">
      <c r="A673" t="s">
        <v>4790</v>
      </c>
      <c r="B673">
        <v>2467</v>
      </c>
      <c r="C673" t="b">
        <f t="shared" si="10"/>
        <v>0</v>
      </c>
    </row>
    <row r="674" spans="1:3" hidden="1" x14ac:dyDescent="0.25">
      <c r="A674" t="s">
        <v>2625</v>
      </c>
      <c r="B674">
        <v>133</v>
      </c>
      <c r="C674" t="b">
        <f t="shared" si="10"/>
        <v>0</v>
      </c>
    </row>
    <row r="675" spans="1:3" hidden="1" x14ac:dyDescent="0.25">
      <c r="A675" t="s">
        <v>3606</v>
      </c>
      <c r="B675">
        <v>1170</v>
      </c>
      <c r="C675" t="b">
        <f t="shared" si="10"/>
        <v>0</v>
      </c>
    </row>
    <row r="676" spans="1:3" x14ac:dyDescent="0.25">
      <c r="A676" t="s">
        <v>3606</v>
      </c>
      <c r="B676">
        <v>1415</v>
      </c>
      <c r="C676" t="b">
        <f t="shared" si="10"/>
        <v>1</v>
      </c>
    </row>
    <row r="677" spans="1:3" x14ac:dyDescent="0.25">
      <c r="A677" t="s">
        <v>3606</v>
      </c>
      <c r="B677">
        <v>1519</v>
      </c>
      <c r="C677" t="b">
        <f t="shared" si="10"/>
        <v>1</v>
      </c>
    </row>
    <row r="678" spans="1:3" x14ac:dyDescent="0.25">
      <c r="A678" t="s">
        <v>3606</v>
      </c>
      <c r="B678">
        <v>1741</v>
      </c>
      <c r="C678" t="b">
        <f t="shared" si="10"/>
        <v>1</v>
      </c>
    </row>
    <row r="679" spans="1:3" hidden="1" x14ac:dyDescent="0.25">
      <c r="A679" t="s">
        <v>3897</v>
      </c>
      <c r="B679">
        <v>1481</v>
      </c>
      <c r="C679" t="b">
        <f t="shared" si="10"/>
        <v>0</v>
      </c>
    </row>
    <row r="680" spans="1:3" hidden="1" x14ac:dyDescent="0.25">
      <c r="A680" t="s">
        <v>4792</v>
      </c>
      <c r="B680">
        <v>2469</v>
      </c>
      <c r="C680" t="b">
        <f t="shared" si="10"/>
        <v>0</v>
      </c>
    </row>
    <row r="681" spans="1:3" hidden="1" x14ac:dyDescent="0.25">
      <c r="A681" t="s">
        <v>3469</v>
      </c>
      <c r="B681">
        <v>1024</v>
      </c>
      <c r="C681" t="b">
        <f t="shared" si="10"/>
        <v>0</v>
      </c>
    </row>
    <row r="682" spans="1:3" hidden="1" x14ac:dyDescent="0.25">
      <c r="A682" t="s">
        <v>3081</v>
      </c>
      <c r="B682">
        <v>611</v>
      </c>
      <c r="C682" t="b">
        <f t="shared" si="10"/>
        <v>0</v>
      </c>
    </row>
    <row r="683" spans="1:3" hidden="1" x14ac:dyDescent="0.25">
      <c r="A683" t="s">
        <v>3127</v>
      </c>
      <c r="B683">
        <v>659</v>
      </c>
      <c r="C683" t="b">
        <f t="shared" si="10"/>
        <v>0</v>
      </c>
    </row>
    <row r="684" spans="1:3" hidden="1" x14ac:dyDescent="0.25">
      <c r="A684" t="s">
        <v>4671</v>
      </c>
      <c r="B684">
        <v>2334</v>
      </c>
      <c r="C684" t="b">
        <f t="shared" si="10"/>
        <v>0</v>
      </c>
    </row>
    <row r="685" spans="1:3" hidden="1" x14ac:dyDescent="0.25">
      <c r="A685" t="s">
        <v>3080</v>
      </c>
      <c r="B685">
        <v>610</v>
      </c>
      <c r="C685" t="b">
        <f t="shared" si="10"/>
        <v>0</v>
      </c>
    </row>
    <row r="686" spans="1:3" hidden="1" x14ac:dyDescent="0.25">
      <c r="A686" t="s">
        <v>3082</v>
      </c>
      <c r="B686">
        <v>612</v>
      </c>
      <c r="C686" t="b">
        <f t="shared" si="10"/>
        <v>0</v>
      </c>
    </row>
    <row r="687" spans="1:3" hidden="1" x14ac:dyDescent="0.25">
      <c r="A687" t="s">
        <v>3083</v>
      </c>
      <c r="B687">
        <v>613</v>
      </c>
      <c r="C687" t="b">
        <f t="shared" si="10"/>
        <v>0</v>
      </c>
    </row>
    <row r="688" spans="1:3" hidden="1" x14ac:dyDescent="0.25">
      <c r="A688" t="s">
        <v>3084</v>
      </c>
      <c r="B688">
        <v>614</v>
      </c>
      <c r="C688" t="b">
        <f t="shared" si="10"/>
        <v>0</v>
      </c>
    </row>
    <row r="689" spans="1:3" hidden="1" x14ac:dyDescent="0.25">
      <c r="A689" t="s">
        <v>3128</v>
      </c>
      <c r="B689">
        <v>660</v>
      </c>
      <c r="C689" t="b">
        <f t="shared" si="10"/>
        <v>0</v>
      </c>
    </row>
    <row r="690" spans="1:3" hidden="1" x14ac:dyDescent="0.25">
      <c r="A690" t="s">
        <v>2663</v>
      </c>
      <c r="B690">
        <v>173</v>
      </c>
      <c r="C690" t="b">
        <f t="shared" si="10"/>
        <v>0</v>
      </c>
    </row>
    <row r="691" spans="1:3" hidden="1" x14ac:dyDescent="0.25">
      <c r="A691" t="s">
        <v>2664</v>
      </c>
      <c r="B691">
        <v>174</v>
      </c>
      <c r="C691" t="b">
        <f t="shared" si="10"/>
        <v>0</v>
      </c>
    </row>
    <row r="692" spans="1:3" hidden="1" x14ac:dyDescent="0.25">
      <c r="A692" t="s">
        <v>4877</v>
      </c>
      <c r="B692">
        <v>2568</v>
      </c>
      <c r="C692" t="b">
        <f t="shared" si="10"/>
        <v>0</v>
      </c>
    </row>
    <row r="693" spans="1:3" hidden="1" x14ac:dyDescent="0.25">
      <c r="A693" t="s">
        <v>4639</v>
      </c>
      <c r="B693">
        <v>2299</v>
      </c>
      <c r="C693" t="b">
        <f t="shared" si="10"/>
        <v>0</v>
      </c>
    </row>
    <row r="694" spans="1:3" hidden="1" x14ac:dyDescent="0.25">
      <c r="A694" t="s">
        <v>3607</v>
      </c>
      <c r="B694">
        <v>1171</v>
      </c>
      <c r="C694" t="b">
        <f t="shared" si="10"/>
        <v>0</v>
      </c>
    </row>
    <row r="695" spans="1:3" x14ac:dyDescent="0.25">
      <c r="A695" t="s">
        <v>3607</v>
      </c>
      <c r="B695">
        <v>1973</v>
      </c>
      <c r="C695" t="b">
        <f t="shared" si="10"/>
        <v>1</v>
      </c>
    </row>
    <row r="696" spans="1:3" hidden="1" x14ac:dyDescent="0.25">
      <c r="A696" t="s">
        <v>2989</v>
      </c>
      <c r="B696">
        <v>511</v>
      </c>
      <c r="C696" t="b">
        <f t="shared" si="10"/>
        <v>0</v>
      </c>
    </row>
    <row r="697" spans="1:3" hidden="1" x14ac:dyDescent="0.25">
      <c r="A697" t="s">
        <v>2990</v>
      </c>
      <c r="B697">
        <v>512</v>
      </c>
      <c r="C697" t="b">
        <f t="shared" si="10"/>
        <v>0</v>
      </c>
    </row>
    <row r="698" spans="1:3" hidden="1" x14ac:dyDescent="0.25">
      <c r="A698" t="s">
        <v>5054</v>
      </c>
      <c r="B698">
        <v>2757</v>
      </c>
      <c r="C698" t="b">
        <f t="shared" si="10"/>
        <v>0</v>
      </c>
    </row>
    <row r="699" spans="1:3" hidden="1" x14ac:dyDescent="0.25">
      <c r="A699" t="s">
        <v>5055</v>
      </c>
      <c r="B699">
        <v>2758</v>
      </c>
      <c r="C699" t="b">
        <f t="shared" si="10"/>
        <v>0</v>
      </c>
    </row>
    <row r="700" spans="1:3" hidden="1" x14ac:dyDescent="0.25">
      <c r="A700" t="s">
        <v>5056</v>
      </c>
      <c r="B700">
        <v>2759</v>
      </c>
      <c r="C700" t="b">
        <f t="shared" si="10"/>
        <v>0</v>
      </c>
    </row>
    <row r="701" spans="1:3" hidden="1" x14ac:dyDescent="0.25">
      <c r="A701" t="s">
        <v>5057</v>
      </c>
      <c r="B701">
        <v>2760</v>
      </c>
      <c r="C701" t="b">
        <f t="shared" si="10"/>
        <v>0</v>
      </c>
    </row>
    <row r="702" spans="1:3" hidden="1" x14ac:dyDescent="0.25">
      <c r="A702" t="s">
        <v>5058</v>
      </c>
      <c r="B702">
        <v>2761</v>
      </c>
      <c r="C702" t="b">
        <f t="shared" si="10"/>
        <v>0</v>
      </c>
    </row>
    <row r="703" spans="1:3" hidden="1" x14ac:dyDescent="0.25">
      <c r="A703" t="s">
        <v>5059</v>
      </c>
      <c r="B703">
        <v>2762</v>
      </c>
      <c r="C703" t="b">
        <f t="shared" si="10"/>
        <v>0</v>
      </c>
    </row>
    <row r="704" spans="1:3" hidden="1" x14ac:dyDescent="0.25">
      <c r="A704" t="s">
        <v>5060</v>
      </c>
      <c r="B704">
        <v>2763</v>
      </c>
      <c r="C704" t="b">
        <f t="shared" si="10"/>
        <v>0</v>
      </c>
    </row>
    <row r="705" spans="1:3" hidden="1" x14ac:dyDescent="0.25">
      <c r="A705" t="s">
        <v>5061</v>
      </c>
      <c r="B705">
        <v>2764</v>
      </c>
      <c r="C705" t="b">
        <f t="shared" si="10"/>
        <v>0</v>
      </c>
    </row>
    <row r="706" spans="1:3" hidden="1" x14ac:dyDescent="0.25">
      <c r="A706" t="s">
        <v>5062</v>
      </c>
      <c r="B706">
        <v>2765</v>
      </c>
      <c r="C706" t="b">
        <f t="shared" si="10"/>
        <v>0</v>
      </c>
    </row>
    <row r="707" spans="1:3" hidden="1" x14ac:dyDescent="0.25">
      <c r="A707" t="s">
        <v>5063</v>
      </c>
      <c r="B707">
        <v>2766</v>
      </c>
      <c r="C707" t="b">
        <f t="shared" ref="C707:C770" si="11">A707=A706</f>
        <v>0</v>
      </c>
    </row>
    <row r="708" spans="1:3" hidden="1" x14ac:dyDescent="0.25">
      <c r="A708" t="s">
        <v>5064</v>
      </c>
      <c r="B708">
        <v>2767</v>
      </c>
      <c r="C708" t="b">
        <f t="shared" si="11"/>
        <v>0</v>
      </c>
    </row>
    <row r="709" spans="1:3" hidden="1" x14ac:dyDescent="0.25">
      <c r="A709" t="s">
        <v>5065</v>
      </c>
      <c r="B709">
        <v>2768</v>
      </c>
      <c r="C709" t="b">
        <f t="shared" si="11"/>
        <v>0</v>
      </c>
    </row>
    <row r="710" spans="1:3" hidden="1" x14ac:dyDescent="0.25">
      <c r="A710" t="s">
        <v>5067</v>
      </c>
      <c r="B710">
        <v>2770</v>
      </c>
      <c r="C710" t="b">
        <f t="shared" si="11"/>
        <v>0</v>
      </c>
    </row>
    <row r="711" spans="1:3" hidden="1" x14ac:dyDescent="0.25">
      <c r="A711" t="s">
        <v>5066</v>
      </c>
      <c r="B711">
        <v>2769</v>
      </c>
      <c r="C711" t="b">
        <f t="shared" si="11"/>
        <v>0</v>
      </c>
    </row>
    <row r="712" spans="1:3" hidden="1" x14ac:dyDescent="0.25">
      <c r="A712" t="s">
        <v>3038</v>
      </c>
      <c r="B712">
        <v>565</v>
      </c>
      <c r="C712" t="b">
        <f t="shared" si="11"/>
        <v>0</v>
      </c>
    </row>
    <row r="713" spans="1:3" hidden="1" x14ac:dyDescent="0.25">
      <c r="A713" t="s">
        <v>3039</v>
      </c>
      <c r="B713">
        <v>566</v>
      </c>
      <c r="C713" t="b">
        <f t="shared" si="11"/>
        <v>0</v>
      </c>
    </row>
    <row r="714" spans="1:3" hidden="1" x14ac:dyDescent="0.25">
      <c r="A714" t="s">
        <v>3040</v>
      </c>
      <c r="B714">
        <v>567</v>
      </c>
      <c r="C714" t="b">
        <f t="shared" si="11"/>
        <v>0</v>
      </c>
    </row>
    <row r="715" spans="1:3" hidden="1" x14ac:dyDescent="0.25">
      <c r="A715" t="s">
        <v>3041</v>
      </c>
      <c r="B715">
        <v>568</v>
      </c>
      <c r="C715" t="b">
        <f t="shared" si="11"/>
        <v>0</v>
      </c>
    </row>
    <row r="716" spans="1:3" hidden="1" x14ac:dyDescent="0.25">
      <c r="A716" t="s">
        <v>3042</v>
      </c>
      <c r="B716">
        <v>569</v>
      </c>
      <c r="C716" t="b">
        <f t="shared" si="11"/>
        <v>0</v>
      </c>
    </row>
    <row r="717" spans="1:3" hidden="1" x14ac:dyDescent="0.25">
      <c r="A717" t="s">
        <v>3043</v>
      </c>
      <c r="B717">
        <v>570</v>
      </c>
      <c r="C717" t="b">
        <f t="shared" si="11"/>
        <v>0</v>
      </c>
    </row>
    <row r="718" spans="1:3" hidden="1" x14ac:dyDescent="0.25">
      <c r="A718" t="s">
        <v>4973</v>
      </c>
      <c r="B718">
        <v>2673</v>
      </c>
      <c r="C718" t="b">
        <f t="shared" si="11"/>
        <v>0</v>
      </c>
    </row>
    <row r="719" spans="1:3" hidden="1" x14ac:dyDescent="0.25">
      <c r="A719" t="s">
        <v>4975</v>
      </c>
      <c r="B719">
        <v>2675</v>
      </c>
      <c r="C719" t="b">
        <f t="shared" si="11"/>
        <v>0</v>
      </c>
    </row>
    <row r="720" spans="1:3" hidden="1" x14ac:dyDescent="0.25">
      <c r="A720" t="s">
        <v>4976</v>
      </c>
      <c r="B720">
        <v>2676</v>
      </c>
      <c r="C720" t="b">
        <f t="shared" si="11"/>
        <v>0</v>
      </c>
    </row>
    <row r="721" spans="1:3" hidden="1" x14ac:dyDescent="0.25">
      <c r="A721" t="s">
        <v>4974</v>
      </c>
      <c r="B721">
        <v>2674</v>
      </c>
      <c r="C721" t="b">
        <f t="shared" si="11"/>
        <v>0</v>
      </c>
    </row>
    <row r="722" spans="1:3" hidden="1" x14ac:dyDescent="0.25">
      <c r="A722" t="s">
        <v>3106</v>
      </c>
      <c r="B722">
        <v>637</v>
      </c>
      <c r="C722" t="b">
        <f t="shared" si="11"/>
        <v>0</v>
      </c>
    </row>
    <row r="723" spans="1:3" hidden="1" x14ac:dyDescent="0.25">
      <c r="A723" t="s">
        <v>3105</v>
      </c>
      <c r="B723">
        <v>636</v>
      </c>
      <c r="C723" t="b">
        <f t="shared" si="11"/>
        <v>0</v>
      </c>
    </row>
    <row r="724" spans="1:3" hidden="1" x14ac:dyDescent="0.25">
      <c r="A724" t="s">
        <v>3107</v>
      </c>
      <c r="B724">
        <v>638</v>
      </c>
      <c r="C724" t="b">
        <f t="shared" si="11"/>
        <v>0</v>
      </c>
    </row>
    <row r="725" spans="1:3" hidden="1" x14ac:dyDescent="0.25">
      <c r="A725" t="s">
        <v>3108</v>
      </c>
      <c r="B725">
        <v>639</v>
      </c>
      <c r="C725" t="b">
        <f t="shared" si="11"/>
        <v>0</v>
      </c>
    </row>
    <row r="726" spans="1:3" hidden="1" x14ac:dyDescent="0.25">
      <c r="A726" t="s">
        <v>3109</v>
      </c>
      <c r="B726">
        <v>640</v>
      </c>
      <c r="C726" t="b">
        <f t="shared" si="11"/>
        <v>0</v>
      </c>
    </row>
    <row r="727" spans="1:3" hidden="1" x14ac:dyDescent="0.25">
      <c r="A727" t="s">
        <v>3129</v>
      </c>
      <c r="B727">
        <v>661</v>
      </c>
      <c r="C727" t="b">
        <f t="shared" si="11"/>
        <v>0</v>
      </c>
    </row>
    <row r="728" spans="1:3" hidden="1" x14ac:dyDescent="0.25">
      <c r="A728" t="s">
        <v>4498</v>
      </c>
      <c r="B728">
        <v>2136</v>
      </c>
      <c r="C728" t="b">
        <f t="shared" si="11"/>
        <v>0</v>
      </c>
    </row>
    <row r="729" spans="1:3" hidden="1" x14ac:dyDescent="0.25">
      <c r="A729" t="s">
        <v>4190</v>
      </c>
      <c r="B729">
        <v>1809</v>
      </c>
      <c r="C729" t="b">
        <f t="shared" si="11"/>
        <v>0</v>
      </c>
    </row>
    <row r="730" spans="1:3" hidden="1" x14ac:dyDescent="0.25">
      <c r="A730" t="s">
        <v>3130</v>
      </c>
      <c r="B730">
        <v>662</v>
      </c>
      <c r="C730" t="b">
        <f t="shared" si="11"/>
        <v>0</v>
      </c>
    </row>
    <row r="731" spans="1:3" hidden="1" x14ac:dyDescent="0.25">
      <c r="A731" t="s">
        <v>2535</v>
      </c>
      <c r="B731">
        <v>40</v>
      </c>
      <c r="C731" t="b">
        <f t="shared" si="11"/>
        <v>0</v>
      </c>
    </row>
    <row r="732" spans="1:3" hidden="1" x14ac:dyDescent="0.25">
      <c r="A732" t="s">
        <v>2536</v>
      </c>
      <c r="B732">
        <v>41</v>
      </c>
      <c r="C732" t="b">
        <f t="shared" si="11"/>
        <v>0</v>
      </c>
    </row>
    <row r="733" spans="1:3" hidden="1" x14ac:dyDescent="0.25">
      <c r="A733" t="s">
        <v>2537</v>
      </c>
      <c r="B733">
        <v>42</v>
      </c>
      <c r="C733" t="b">
        <f t="shared" si="11"/>
        <v>0</v>
      </c>
    </row>
    <row r="734" spans="1:3" hidden="1" x14ac:dyDescent="0.25">
      <c r="A734" t="s">
        <v>2538</v>
      </c>
      <c r="B734">
        <v>43</v>
      </c>
      <c r="C734" t="b">
        <f t="shared" si="11"/>
        <v>0</v>
      </c>
    </row>
    <row r="735" spans="1:3" hidden="1" x14ac:dyDescent="0.25">
      <c r="A735" t="s">
        <v>3816</v>
      </c>
      <c r="B735">
        <v>1392</v>
      </c>
      <c r="C735" t="b">
        <f t="shared" si="11"/>
        <v>0</v>
      </c>
    </row>
    <row r="736" spans="1:3" x14ac:dyDescent="0.25">
      <c r="A736" t="s">
        <v>3816</v>
      </c>
      <c r="B736">
        <v>2213</v>
      </c>
      <c r="C736" t="b">
        <f t="shared" si="11"/>
        <v>1</v>
      </c>
    </row>
    <row r="737" spans="1:3" hidden="1" x14ac:dyDescent="0.25">
      <c r="A737" t="s">
        <v>2905</v>
      </c>
      <c r="B737">
        <v>421</v>
      </c>
      <c r="C737" t="b">
        <f t="shared" si="11"/>
        <v>0</v>
      </c>
    </row>
    <row r="738" spans="1:3" hidden="1" x14ac:dyDescent="0.25">
      <c r="A738" t="s">
        <v>2906</v>
      </c>
      <c r="B738">
        <v>422</v>
      </c>
      <c r="C738" t="b">
        <f t="shared" si="11"/>
        <v>0</v>
      </c>
    </row>
    <row r="739" spans="1:3" hidden="1" x14ac:dyDescent="0.25">
      <c r="A739" t="s">
        <v>2907</v>
      </c>
      <c r="B739">
        <v>423</v>
      </c>
      <c r="C739" t="b">
        <f t="shared" si="11"/>
        <v>0</v>
      </c>
    </row>
    <row r="740" spans="1:3" hidden="1" x14ac:dyDescent="0.25">
      <c r="A740" t="s">
        <v>5068</v>
      </c>
      <c r="B740">
        <v>2771</v>
      </c>
      <c r="C740" t="b">
        <f t="shared" si="11"/>
        <v>0</v>
      </c>
    </row>
    <row r="741" spans="1:3" hidden="1" x14ac:dyDescent="0.25">
      <c r="A741" t="s">
        <v>5069</v>
      </c>
      <c r="B741">
        <v>2772</v>
      </c>
      <c r="C741" t="b">
        <f t="shared" si="11"/>
        <v>0</v>
      </c>
    </row>
    <row r="742" spans="1:3" hidden="1" x14ac:dyDescent="0.25">
      <c r="A742" t="s">
        <v>2705</v>
      </c>
      <c r="B742">
        <v>215</v>
      </c>
      <c r="C742" t="b">
        <f t="shared" si="11"/>
        <v>0</v>
      </c>
    </row>
    <row r="743" spans="1:3" hidden="1" x14ac:dyDescent="0.25">
      <c r="A743" t="s">
        <v>3837</v>
      </c>
      <c r="B743">
        <v>1416</v>
      </c>
      <c r="C743" t="b">
        <f t="shared" si="11"/>
        <v>0</v>
      </c>
    </row>
    <row r="744" spans="1:3" hidden="1" x14ac:dyDescent="0.25">
      <c r="A744" t="s">
        <v>4210</v>
      </c>
      <c r="B744">
        <v>1832</v>
      </c>
      <c r="C744" t="b">
        <f t="shared" si="11"/>
        <v>0</v>
      </c>
    </row>
    <row r="745" spans="1:3" hidden="1" x14ac:dyDescent="0.25">
      <c r="A745" t="s">
        <v>4211</v>
      </c>
      <c r="B745">
        <v>1833</v>
      </c>
      <c r="C745" t="b">
        <f t="shared" si="11"/>
        <v>0</v>
      </c>
    </row>
    <row r="746" spans="1:3" hidden="1" x14ac:dyDescent="0.25">
      <c r="A746" t="s">
        <v>4212</v>
      </c>
      <c r="B746">
        <v>1834</v>
      </c>
      <c r="C746" t="b">
        <f t="shared" si="11"/>
        <v>0</v>
      </c>
    </row>
    <row r="747" spans="1:3" hidden="1" x14ac:dyDescent="0.25">
      <c r="A747" t="s">
        <v>3044</v>
      </c>
      <c r="B747">
        <v>571</v>
      </c>
      <c r="C747" t="b">
        <f t="shared" si="11"/>
        <v>0</v>
      </c>
    </row>
    <row r="748" spans="1:3" hidden="1" x14ac:dyDescent="0.25">
      <c r="A748" t="s">
        <v>4842</v>
      </c>
      <c r="B748">
        <v>2527</v>
      </c>
      <c r="C748" t="b">
        <f t="shared" si="11"/>
        <v>0</v>
      </c>
    </row>
    <row r="749" spans="1:3" hidden="1" x14ac:dyDescent="0.25">
      <c r="A749" t="s">
        <v>3808</v>
      </c>
      <c r="B749">
        <v>1382</v>
      </c>
      <c r="C749" t="b">
        <f t="shared" si="11"/>
        <v>0</v>
      </c>
    </row>
    <row r="750" spans="1:3" hidden="1" x14ac:dyDescent="0.25">
      <c r="A750" t="s">
        <v>3045</v>
      </c>
      <c r="B750">
        <v>572</v>
      </c>
      <c r="C750" t="b">
        <f t="shared" si="11"/>
        <v>0</v>
      </c>
    </row>
    <row r="751" spans="1:3" hidden="1" x14ac:dyDescent="0.25">
      <c r="A751" t="s">
        <v>3298</v>
      </c>
      <c r="B751">
        <v>835</v>
      </c>
      <c r="C751" t="b">
        <f t="shared" si="11"/>
        <v>0</v>
      </c>
    </row>
    <row r="752" spans="1:3" hidden="1" x14ac:dyDescent="0.25">
      <c r="A752" t="s">
        <v>4720</v>
      </c>
      <c r="B752">
        <v>2391</v>
      </c>
      <c r="C752" t="b">
        <f t="shared" si="11"/>
        <v>0</v>
      </c>
    </row>
    <row r="753" spans="1:3" hidden="1" x14ac:dyDescent="0.25">
      <c r="A753" t="s">
        <v>3754</v>
      </c>
      <c r="B753">
        <v>1327</v>
      </c>
      <c r="C753" t="b">
        <f t="shared" si="11"/>
        <v>0</v>
      </c>
    </row>
    <row r="754" spans="1:3" hidden="1" x14ac:dyDescent="0.25">
      <c r="A754" t="s">
        <v>2944</v>
      </c>
      <c r="B754">
        <v>463</v>
      </c>
      <c r="C754" t="b">
        <f t="shared" si="11"/>
        <v>0</v>
      </c>
    </row>
    <row r="755" spans="1:3" hidden="1" x14ac:dyDescent="0.25">
      <c r="A755" t="s">
        <v>2945</v>
      </c>
      <c r="B755">
        <v>464</v>
      </c>
      <c r="C755" t="b">
        <f t="shared" si="11"/>
        <v>0</v>
      </c>
    </row>
    <row r="756" spans="1:3" hidden="1" x14ac:dyDescent="0.25">
      <c r="A756" t="s">
        <v>2946</v>
      </c>
      <c r="B756">
        <v>465</v>
      </c>
      <c r="C756" t="b">
        <f t="shared" si="11"/>
        <v>0</v>
      </c>
    </row>
    <row r="757" spans="1:3" hidden="1" x14ac:dyDescent="0.25">
      <c r="A757" t="s">
        <v>3470</v>
      </c>
      <c r="B757">
        <v>1025</v>
      </c>
      <c r="C757" t="b">
        <f t="shared" si="11"/>
        <v>0</v>
      </c>
    </row>
    <row r="758" spans="1:3" hidden="1" x14ac:dyDescent="0.25">
      <c r="A758" t="s">
        <v>3471</v>
      </c>
      <c r="B758">
        <v>1026</v>
      </c>
      <c r="C758" t="b">
        <f t="shared" si="11"/>
        <v>0</v>
      </c>
    </row>
    <row r="759" spans="1:3" hidden="1" x14ac:dyDescent="0.25">
      <c r="A759" t="s">
        <v>3557</v>
      </c>
      <c r="B759">
        <v>1116</v>
      </c>
      <c r="C759" t="b">
        <f t="shared" si="11"/>
        <v>0</v>
      </c>
    </row>
    <row r="760" spans="1:3" hidden="1" x14ac:dyDescent="0.25">
      <c r="A760" t="s">
        <v>3558</v>
      </c>
      <c r="B760">
        <v>1117</v>
      </c>
      <c r="C760" t="b">
        <f t="shared" si="11"/>
        <v>0</v>
      </c>
    </row>
    <row r="761" spans="1:3" hidden="1" x14ac:dyDescent="0.25">
      <c r="A761" t="s">
        <v>3559</v>
      </c>
      <c r="B761">
        <v>1118</v>
      </c>
      <c r="C761" t="b">
        <f t="shared" si="11"/>
        <v>0</v>
      </c>
    </row>
    <row r="762" spans="1:3" hidden="1" x14ac:dyDescent="0.25">
      <c r="A762" t="s">
        <v>3427</v>
      </c>
      <c r="B762">
        <v>976</v>
      </c>
      <c r="C762" t="b">
        <f t="shared" si="11"/>
        <v>0</v>
      </c>
    </row>
    <row r="763" spans="1:3" hidden="1" x14ac:dyDescent="0.25">
      <c r="A763" t="s">
        <v>2991</v>
      </c>
      <c r="B763">
        <v>513</v>
      </c>
      <c r="C763" t="b">
        <f t="shared" si="11"/>
        <v>0</v>
      </c>
    </row>
    <row r="764" spans="1:3" hidden="1" x14ac:dyDescent="0.25">
      <c r="A764" t="s">
        <v>2992</v>
      </c>
      <c r="B764">
        <v>514</v>
      </c>
      <c r="C764" t="b">
        <f t="shared" si="11"/>
        <v>0</v>
      </c>
    </row>
    <row r="765" spans="1:3" hidden="1" x14ac:dyDescent="0.25">
      <c r="A765" t="s">
        <v>2993</v>
      </c>
      <c r="B765">
        <v>515</v>
      </c>
      <c r="C765" t="b">
        <f t="shared" si="11"/>
        <v>0</v>
      </c>
    </row>
    <row r="766" spans="1:3" hidden="1" x14ac:dyDescent="0.25">
      <c r="A766" t="s">
        <v>4054</v>
      </c>
      <c r="B766">
        <v>1652</v>
      </c>
      <c r="C766" t="b">
        <f t="shared" si="11"/>
        <v>0</v>
      </c>
    </row>
    <row r="767" spans="1:3" hidden="1" x14ac:dyDescent="0.25">
      <c r="A767" t="s">
        <v>3520</v>
      </c>
      <c r="B767">
        <v>1077</v>
      </c>
      <c r="C767" t="b">
        <f t="shared" si="11"/>
        <v>0</v>
      </c>
    </row>
    <row r="768" spans="1:3" hidden="1" x14ac:dyDescent="0.25">
      <c r="A768" t="s">
        <v>4001</v>
      </c>
      <c r="B768">
        <v>1595</v>
      </c>
      <c r="C768" t="b">
        <f t="shared" si="11"/>
        <v>0</v>
      </c>
    </row>
    <row r="769" spans="1:3" hidden="1" x14ac:dyDescent="0.25">
      <c r="A769" t="s">
        <v>4002</v>
      </c>
      <c r="B769">
        <v>1596</v>
      </c>
      <c r="C769" t="b">
        <f t="shared" si="11"/>
        <v>0</v>
      </c>
    </row>
    <row r="770" spans="1:3" hidden="1" x14ac:dyDescent="0.25">
      <c r="A770" t="s">
        <v>4003</v>
      </c>
      <c r="B770">
        <v>1597</v>
      </c>
      <c r="C770" t="b">
        <f t="shared" si="11"/>
        <v>0</v>
      </c>
    </row>
    <row r="771" spans="1:3" hidden="1" x14ac:dyDescent="0.25">
      <c r="A771" t="s">
        <v>3131</v>
      </c>
      <c r="B771">
        <v>663</v>
      </c>
      <c r="C771" t="b">
        <f t="shared" ref="C771:C834" si="12">A771=A770</f>
        <v>0</v>
      </c>
    </row>
    <row r="772" spans="1:3" hidden="1" x14ac:dyDescent="0.25">
      <c r="A772" t="s">
        <v>3133</v>
      </c>
      <c r="B772">
        <v>665</v>
      </c>
      <c r="C772" t="b">
        <f t="shared" si="12"/>
        <v>0</v>
      </c>
    </row>
    <row r="773" spans="1:3" hidden="1" x14ac:dyDescent="0.25">
      <c r="A773" t="s">
        <v>3134</v>
      </c>
      <c r="B773">
        <v>666</v>
      </c>
      <c r="C773" t="b">
        <f t="shared" si="12"/>
        <v>0</v>
      </c>
    </row>
    <row r="774" spans="1:3" hidden="1" x14ac:dyDescent="0.25">
      <c r="A774" t="s">
        <v>3135</v>
      </c>
      <c r="B774">
        <v>667</v>
      </c>
      <c r="C774" t="b">
        <f t="shared" si="12"/>
        <v>0</v>
      </c>
    </row>
    <row r="775" spans="1:3" hidden="1" x14ac:dyDescent="0.25">
      <c r="A775" t="s">
        <v>3136</v>
      </c>
      <c r="B775">
        <v>668</v>
      </c>
      <c r="C775" t="b">
        <f t="shared" si="12"/>
        <v>0</v>
      </c>
    </row>
    <row r="776" spans="1:3" hidden="1" x14ac:dyDescent="0.25">
      <c r="A776" t="s">
        <v>3137</v>
      </c>
      <c r="B776">
        <v>669</v>
      </c>
      <c r="C776" t="b">
        <f t="shared" si="12"/>
        <v>0</v>
      </c>
    </row>
    <row r="777" spans="1:3" hidden="1" x14ac:dyDescent="0.25">
      <c r="A777" t="s">
        <v>3132</v>
      </c>
      <c r="B777">
        <v>664</v>
      </c>
      <c r="C777" t="b">
        <f t="shared" si="12"/>
        <v>0</v>
      </c>
    </row>
    <row r="778" spans="1:3" hidden="1" x14ac:dyDescent="0.25">
      <c r="A778" t="s">
        <v>2781</v>
      </c>
      <c r="B778">
        <v>293</v>
      </c>
      <c r="C778" t="b">
        <f t="shared" si="12"/>
        <v>0</v>
      </c>
    </row>
    <row r="779" spans="1:3" hidden="1" x14ac:dyDescent="0.25">
      <c r="A779" t="s">
        <v>2780</v>
      </c>
      <c r="B779">
        <v>292</v>
      </c>
      <c r="C779" t="b">
        <f t="shared" si="12"/>
        <v>0</v>
      </c>
    </row>
    <row r="780" spans="1:3" hidden="1" x14ac:dyDescent="0.25">
      <c r="A780" t="s">
        <v>2874</v>
      </c>
      <c r="B780">
        <v>388</v>
      </c>
      <c r="C780" t="b">
        <f t="shared" si="12"/>
        <v>0</v>
      </c>
    </row>
    <row r="781" spans="1:3" hidden="1" x14ac:dyDescent="0.25">
      <c r="A781" t="s">
        <v>5070</v>
      </c>
      <c r="B781">
        <v>2773</v>
      </c>
      <c r="C781" t="b">
        <f t="shared" si="12"/>
        <v>0</v>
      </c>
    </row>
    <row r="782" spans="1:3" hidden="1" x14ac:dyDescent="0.25">
      <c r="A782" t="s">
        <v>5071</v>
      </c>
      <c r="B782">
        <v>2774</v>
      </c>
      <c r="C782" t="b">
        <f t="shared" si="12"/>
        <v>0</v>
      </c>
    </row>
    <row r="783" spans="1:3" hidden="1" x14ac:dyDescent="0.25">
      <c r="A783" t="s">
        <v>5072</v>
      </c>
      <c r="B783">
        <v>2775</v>
      </c>
      <c r="C783" t="b">
        <f t="shared" si="12"/>
        <v>0</v>
      </c>
    </row>
    <row r="784" spans="1:3" hidden="1" x14ac:dyDescent="0.25">
      <c r="A784" t="s">
        <v>3817</v>
      </c>
      <c r="B784">
        <v>1393</v>
      </c>
      <c r="C784" t="b">
        <f t="shared" si="12"/>
        <v>0</v>
      </c>
    </row>
    <row r="785" spans="1:3" x14ac:dyDescent="0.25">
      <c r="A785" t="s">
        <v>3817</v>
      </c>
      <c r="B785">
        <v>1715</v>
      </c>
      <c r="C785" t="b">
        <f t="shared" si="12"/>
        <v>1</v>
      </c>
    </row>
    <row r="786" spans="1:3" hidden="1" x14ac:dyDescent="0.25">
      <c r="A786" t="s">
        <v>4167</v>
      </c>
      <c r="B786">
        <v>1782</v>
      </c>
      <c r="C786" t="b">
        <f t="shared" si="12"/>
        <v>0</v>
      </c>
    </row>
    <row r="787" spans="1:3" hidden="1" x14ac:dyDescent="0.25">
      <c r="A787" t="s">
        <v>4253</v>
      </c>
      <c r="B787">
        <v>1877</v>
      </c>
      <c r="C787" t="b">
        <f t="shared" si="12"/>
        <v>0</v>
      </c>
    </row>
    <row r="788" spans="1:3" hidden="1" x14ac:dyDescent="0.25">
      <c r="A788" t="s">
        <v>2909</v>
      </c>
      <c r="B788">
        <v>425</v>
      </c>
      <c r="C788" t="b">
        <f t="shared" si="12"/>
        <v>0</v>
      </c>
    </row>
    <row r="789" spans="1:3" hidden="1" x14ac:dyDescent="0.25">
      <c r="A789" t="s">
        <v>2910</v>
      </c>
      <c r="B789">
        <v>426</v>
      </c>
      <c r="C789" t="b">
        <f t="shared" si="12"/>
        <v>0</v>
      </c>
    </row>
    <row r="790" spans="1:3" hidden="1" x14ac:dyDescent="0.25">
      <c r="A790" t="s">
        <v>2908</v>
      </c>
      <c r="B790">
        <v>424</v>
      </c>
      <c r="C790" t="b">
        <f t="shared" si="12"/>
        <v>0</v>
      </c>
    </row>
    <row r="791" spans="1:3" hidden="1" x14ac:dyDescent="0.25">
      <c r="A791" t="s">
        <v>4297</v>
      </c>
      <c r="B791">
        <v>1925</v>
      </c>
      <c r="C791" t="b">
        <f t="shared" si="12"/>
        <v>0</v>
      </c>
    </row>
    <row r="792" spans="1:3" hidden="1" x14ac:dyDescent="0.25">
      <c r="A792" t="s">
        <v>5073</v>
      </c>
      <c r="B792">
        <v>2776</v>
      </c>
      <c r="C792" t="b">
        <f t="shared" si="12"/>
        <v>0</v>
      </c>
    </row>
    <row r="793" spans="1:3" hidden="1" x14ac:dyDescent="0.25">
      <c r="A793" t="s">
        <v>3838</v>
      </c>
      <c r="B793">
        <v>1417</v>
      </c>
      <c r="C793" t="b">
        <f t="shared" si="12"/>
        <v>0</v>
      </c>
    </row>
    <row r="794" spans="1:3" hidden="1" x14ac:dyDescent="0.25">
      <c r="A794" t="s">
        <v>2736</v>
      </c>
      <c r="B794">
        <v>247</v>
      </c>
      <c r="C794" t="b">
        <f t="shared" si="12"/>
        <v>0</v>
      </c>
    </row>
    <row r="795" spans="1:3" hidden="1" x14ac:dyDescent="0.25">
      <c r="A795" t="s">
        <v>2601</v>
      </c>
      <c r="B795">
        <v>108</v>
      </c>
      <c r="C795" t="b">
        <f t="shared" si="12"/>
        <v>0</v>
      </c>
    </row>
    <row r="796" spans="1:3" hidden="1" x14ac:dyDescent="0.25">
      <c r="A796" t="s">
        <v>2599</v>
      </c>
      <c r="B796">
        <v>106</v>
      </c>
      <c r="C796" t="b">
        <f t="shared" si="12"/>
        <v>0</v>
      </c>
    </row>
    <row r="797" spans="1:3" hidden="1" x14ac:dyDescent="0.25">
      <c r="A797" t="s">
        <v>2600</v>
      </c>
      <c r="B797">
        <v>107</v>
      </c>
      <c r="C797" t="b">
        <f t="shared" si="12"/>
        <v>0</v>
      </c>
    </row>
    <row r="798" spans="1:3" hidden="1" x14ac:dyDescent="0.25">
      <c r="A798" t="s">
        <v>2602</v>
      </c>
      <c r="B798">
        <v>109</v>
      </c>
      <c r="C798" t="b">
        <f t="shared" si="12"/>
        <v>0</v>
      </c>
    </row>
    <row r="799" spans="1:3" hidden="1" x14ac:dyDescent="0.25">
      <c r="A799" t="s">
        <v>3818</v>
      </c>
      <c r="B799">
        <v>1394</v>
      </c>
      <c r="C799" t="b">
        <f t="shared" si="12"/>
        <v>0</v>
      </c>
    </row>
    <row r="800" spans="1:3" x14ac:dyDescent="0.25">
      <c r="A800" t="s">
        <v>3818</v>
      </c>
      <c r="B800">
        <v>2470</v>
      </c>
      <c r="C800" t="b">
        <f t="shared" si="12"/>
        <v>1</v>
      </c>
    </row>
    <row r="801" spans="1:3" hidden="1" x14ac:dyDescent="0.25">
      <c r="A801" t="s">
        <v>4878</v>
      </c>
      <c r="B801">
        <v>2569</v>
      </c>
      <c r="C801" t="b">
        <f t="shared" si="12"/>
        <v>0</v>
      </c>
    </row>
    <row r="802" spans="1:3" hidden="1" x14ac:dyDescent="0.25">
      <c r="A802" t="s">
        <v>3428</v>
      </c>
      <c r="B802">
        <v>977</v>
      </c>
      <c r="C802" t="b">
        <f t="shared" si="12"/>
        <v>0</v>
      </c>
    </row>
    <row r="803" spans="1:3" hidden="1" x14ac:dyDescent="0.25">
      <c r="A803" t="s">
        <v>4879</v>
      </c>
      <c r="B803">
        <v>2570</v>
      </c>
      <c r="C803" t="b">
        <f t="shared" si="12"/>
        <v>0</v>
      </c>
    </row>
    <row r="804" spans="1:3" hidden="1" x14ac:dyDescent="0.25">
      <c r="A804" t="s">
        <v>2966</v>
      </c>
      <c r="B804">
        <v>487</v>
      </c>
      <c r="C804" t="b">
        <f t="shared" si="12"/>
        <v>0</v>
      </c>
    </row>
    <row r="805" spans="1:3" hidden="1" x14ac:dyDescent="0.25">
      <c r="A805" t="s">
        <v>3819</v>
      </c>
      <c r="B805">
        <v>1395</v>
      </c>
      <c r="C805" t="b">
        <f t="shared" si="12"/>
        <v>0</v>
      </c>
    </row>
    <row r="806" spans="1:3" hidden="1" x14ac:dyDescent="0.25">
      <c r="A806" t="s">
        <v>2603</v>
      </c>
      <c r="B806">
        <v>110</v>
      </c>
      <c r="C806" t="b">
        <f t="shared" si="12"/>
        <v>0</v>
      </c>
    </row>
    <row r="807" spans="1:3" hidden="1" x14ac:dyDescent="0.25">
      <c r="A807" t="s">
        <v>3392</v>
      </c>
      <c r="B807">
        <v>936</v>
      </c>
      <c r="C807" t="b">
        <f t="shared" si="12"/>
        <v>0</v>
      </c>
    </row>
    <row r="808" spans="1:3" hidden="1" x14ac:dyDescent="0.25">
      <c r="A808" t="s">
        <v>4551</v>
      </c>
      <c r="B808">
        <v>2201</v>
      </c>
      <c r="C808" t="b">
        <f t="shared" si="12"/>
        <v>0</v>
      </c>
    </row>
    <row r="809" spans="1:3" x14ac:dyDescent="0.25">
      <c r="A809" t="s">
        <v>4551</v>
      </c>
      <c r="B809">
        <v>2471</v>
      </c>
      <c r="C809" t="b">
        <f t="shared" si="12"/>
        <v>1</v>
      </c>
    </row>
    <row r="810" spans="1:3" hidden="1" x14ac:dyDescent="0.25">
      <c r="A810" t="s">
        <v>4559</v>
      </c>
      <c r="B810">
        <v>2214</v>
      </c>
      <c r="C810" t="b">
        <f t="shared" si="12"/>
        <v>0</v>
      </c>
    </row>
    <row r="811" spans="1:3" hidden="1" x14ac:dyDescent="0.25">
      <c r="A811" t="s">
        <v>3872</v>
      </c>
      <c r="B811">
        <v>1454</v>
      </c>
      <c r="C811" t="b">
        <f t="shared" si="12"/>
        <v>0</v>
      </c>
    </row>
    <row r="812" spans="1:3" hidden="1" x14ac:dyDescent="0.25">
      <c r="A812" t="s">
        <v>4880</v>
      </c>
      <c r="B812">
        <v>2571</v>
      </c>
      <c r="C812" t="b">
        <f t="shared" si="12"/>
        <v>0</v>
      </c>
    </row>
    <row r="813" spans="1:3" hidden="1" x14ac:dyDescent="0.25">
      <c r="A813" t="s">
        <v>3047</v>
      </c>
      <c r="B813">
        <v>574</v>
      </c>
      <c r="C813" t="b">
        <f t="shared" si="12"/>
        <v>0</v>
      </c>
    </row>
    <row r="814" spans="1:3" hidden="1" x14ac:dyDescent="0.25">
      <c r="A814" t="s">
        <v>3048</v>
      </c>
      <c r="B814">
        <v>575</v>
      </c>
      <c r="C814" t="b">
        <f t="shared" si="12"/>
        <v>0</v>
      </c>
    </row>
    <row r="815" spans="1:3" hidden="1" x14ac:dyDescent="0.25">
      <c r="A815" t="s">
        <v>3046</v>
      </c>
      <c r="B815">
        <v>573</v>
      </c>
      <c r="C815" t="b">
        <f t="shared" si="12"/>
        <v>0</v>
      </c>
    </row>
    <row r="816" spans="1:3" hidden="1" x14ac:dyDescent="0.25">
      <c r="A816" t="s">
        <v>4072</v>
      </c>
      <c r="B816">
        <v>1672</v>
      </c>
      <c r="C816" t="b">
        <f t="shared" si="12"/>
        <v>0</v>
      </c>
    </row>
    <row r="817" spans="1:3" hidden="1" x14ac:dyDescent="0.25">
      <c r="A817" t="s">
        <v>3331</v>
      </c>
      <c r="B817">
        <v>871</v>
      </c>
      <c r="C817" t="b">
        <f t="shared" si="12"/>
        <v>0</v>
      </c>
    </row>
    <row r="818" spans="1:3" hidden="1" x14ac:dyDescent="0.25">
      <c r="A818" t="s">
        <v>3165</v>
      </c>
      <c r="B818">
        <v>698</v>
      </c>
      <c r="C818" t="b">
        <f t="shared" si="12"/>
        <v>0</v>
      </c>
    </row>
    <row r="819" spans="1:3" hidden="1" x14ac:dyDescent="0.25">
      <c r="A819" t="s">
        <v>3166</v>
      </c>
      <c r="B819">
        <v>699</v>
      </c>
      <c r="C819" t="b">
        <f t="shared" si="12"/>
        <v>0</v>
      </c>
    </row>
    <row r="820" spans="1:3" hidden="1" x14ac:dyDescent="0.25">
      <c r="A820" t="s">
        <v>2875</v>
      </c>
      <c r="B820">
        <v>389</v>
      </c>
      <c r="C820" t="b">
        <f t="shared" si="12"/>
        <v>0</v>
      </c>
    </row>
    <row r="821" spans="1:3" hidden="1" x14ac:dyDescent="0.25">
      <c r="A821" t="s">
        <v>4721</v>
      </c>
      <c r="B821">
        <v>2392</v>
      </c>
      <c r="C821" t="b">
        <f t="shared" si="12"/>
        <v>0</v>
      </c>
    </row>
    <row r="822" spans="1:3" hidden="1" x14ac:dyDescent="0.25">
      <c r="A822" t="s">
        <v>3873</v>
      </c>
      <c r="B822">
        <v>1455</v>
      </c>
      <c r="C822" t="b">
        <f t="shared" si="12"/>
        <v>0</v>
      </c>
    </row>
    <row r="823" spans="1:3" hidden="1" x14ac:dyDescent="0.25">
      <c r="A823" t="s">
        <v>4191</v>
      </c>
      <c r="B823">
        <v>1810</v>
      </c>
      <c r="C823" t="b">
        <f t="shared" si="12"/>
        <v>0</v>
      </c>
    </row>
    <row r="824" spans="1:3" hidden="1" x14ac:dyDescent="0.25">
      <c r="A824" t="s">
        <v>4213</v>
      </c>
      <c r="B824">
        <v>1835</v>
      </c>
      <c r="C824" t="b">
        <f t="shared" si="12"/>
        <v>0</v>
      </c>
    </row>
    <row r="825" spans="1:3" hidden="1" x14ac:dyDescent="0.25">
      <c r="A825" t="s">
        <v>3085</v>
      </c>
      <c r="B825">
        <v>615</v>
      </c>
      <c r="C825" t="b">
        <f t="shared" si="12"/>
        <v>0</v>
      </c>
    </row>
    <row r="826" spans="1:3" hidden="1" x14ac:dyDescent="0.25">
      <c r="A826" t="s">
        <v>3086</v>
      </c>
      <c r="B826">
        <v>616</v>
      </c>
      <c r="C826" t="b">
        <f t="shared" si="12"/>
        <v>0</v>
      </c>
    </row>
    <row r="827" spans="1:3" hidden="1" x14ac:dyDescent="0.25">
      <c r="A827" t="s">
        <v>3049</v>
      </c>
      <c r="B827">
        <v>576</v>
      </c>
      <c r="C827" t="b">
        <f t="shared" si="12"/>
        <v>0</v>
      </c>
    </row>
    <row r="828" spans="1:3" hidden="1" x14ac:dyDescent="0.25">
      <c r="A828" t="s">
        <v>2706</v>
      </c>
      <c r="B828">
        <v>216</v>
      </c>
      <c r="C828" t="b">
        <f t="shared" si="12"/>
        <v>0</v>
      </c>
    </row>
    <row r="829" spans="1:3" hidden="1" x14ac:dyDescent="0.25">
      <c r="A829" t="s">
        <v>4214</v>
      </c>
      <c r="B829">
        <v>1836</v>
      </c>
      <c r="C829" t="b">
        <f t="shared" si="12"/>
        <v>0</v>
      </c>
    </row>
    <row r="830" spans="1:3" hidden="1" x14ac:dyDescent="0.25">
      <c r="A830" t="s">
        <v>4254</v>
      </c>
      <c r="B830">
        <v>1878</v>
      </c>
      <c r="C830" t="b">
        <f t="shared" si="12"/>
        <v>0</v>
      </c>
    </row>
    <row r="831" spans="1:3" hidden="1" x14ac:dyDescent="0.25">
      <c r="A831" t="s">
        <v>4529</v>
      </c>
      <c r="B831">
        <v>2174</v>
      </c>
      <c r="C831" t="b">
        <f t="shared" si="12"/>
        <v>0</v>
      </c>
    </row>
    <row r="832" spans="1:3" hidden="1" x14ac:dyDescent="0.25">
      <c r="A832" t="s">
        <v>4530</v>
      </c>
      <c r="B832">
        <v>2175</v>
      </c>
      <c r="C832" t="b">
        <f t="shared" si="12"/>
        <v>0</v>
      </c>
    </row>
    <row r="833" spans="1:3" hidden="1" x14ac:dyDescent="0.25">
      <c r="A833" t="s">
        <v>4531</v>
      </c>
      <c r="B833">
        <v>2176</v>
      </c>
      <c r="C833" t="b">
        <f t="shared" si="12"/>
        <v>0</v>
      </c>
    </row>
    <row r="834" spans="1:3" hidden="1" x14ac:dyDescent="0.25">
      <c r="A834" t="s">
        <v>4532</v>
      </c>
      <c r="B834">
        <v>2177</v>
      </c>
      <c r="C834" t="b">
        <f t="shared" si="12"/>
        <v>0</v>
      </c>
    </row>
    <row r="835" spans="1:3" hidden="1" x14ac:dyDescent="0.25">
      <c r="A835" t="s">
        <v>2947</v>
      </c>
      <c r="B835">
        <v>466</v>
      </c>
      <c r="C835" t="b">
        <f t="shared" ref="C835:C898" si="13">A835=A834</f>
        <v>0</v>
      </c>
    </row>
    <row r="836" spans="1:3" hidden="1" x14ac:dyDescent="0.25">
      <c r="A836" t="s">
        <v>4343</v>
      </c>
      <c r="B836">
        <v>1974</v>
      </c>
      <c r="C836" t="b">
        <f t="shared" si="13"/>
        <v>0</v>
      </c>
    </row>
    <row r="837" spans="1:3" hidden="1" x14ac:dyDescent="0.25">
      <c r="A837" t="s">
        <v>4255</v>
      </c>
      <c r="B837">
        <v>1879</v>
      </c>
      <c r="C837" t="b">
        <f t="shared" si="13"/>
        <v>0</v>
      </c>
    </row>
    <row r="838" spans="1:3" x14ac:dyDescent="0.25">
      <c r="A838" t="s">
        <v>4255</v>
      </c>
      <c r="B838">
        <v>2472</v>
      </c>
      <c r="C838" t="b">
        <f t="shared" si="13"/>
        <v>1</v>
      </c>
    </row>
    <row r="839" spans="1:3" hidden="1" x14ac:dyDescent="0.25">
      <c r="A839" t="s">
        <v>3727</v>
      </c>
      <c r="B839">
        <v>1297</v>
      </c>
      <c r="C839" t="b">
        <f t="shared" si="13"/>
        <v>0</v>
      </c>
    </row>
    <row r="840" spans="1:3" hidden="1" x14ac:dyDescent="0.25">
      <c r="A840" t="s">
        <v>4215</v>
      </c>
      <c r="B840">
        <v>1837</v>
      </c>
      <c r="C840" t="b">
        <f t="shared" si="13"/>
        <v>0</v>
      </c>
    </row>
    <row r="841" spans="1:3" hidden="1" x14ac:dyDescent="0.25">
      <c r="A841" t="s">
        <v>4756</v>
      </c>
      <c r="B841">
        <v>2429</v>
      </c>
      <c r="C841" t="b">
        <f t="shared" si="13"/>
        <v>0</v>
      </c>
    </row>
    <row r="842" spans="1:3" hidden="1" x14ac:dyDescent="0.25">
      <c r="A842" t="s">
        <v>4755</v>
      </c>
      <c r="B842">
        <v>2428</v>
      </c>
      <c r="C842" t="b">
        <f t="shared" si="13"/>
        <v>0</v>
      </c>
    </row>
    <row r="843" spans="1:3" hidden="1" x14ac:dyDescent="0.25">
      <c r="A843" t="s">
        <v>3087</v>
      </c>
      <c r="B843">
        <v>617</v>
      </c>
      <c r="C843" t="b">
        <f t="shared" si="13"/>
        <v>0</v>
      </c>
    </row>
    <row r="844" spans="1:3" hidden="1" x14ac:dyDescent="0.25">
      <c r="A844" t="s">
        <v>3898</v>
      </c>
      <c r="B844">
        <v>1482</v>
      </c>
      <c r="C844" t="b">
        <f t="shared" si="13"/>
        <v>0</v>
      </c>
    </row>
    <row r="845" spans="1:3" x14ac:dyDescent="0.25">
      <c r="A845" t="s">
        <v>3898</v>
      </c>
      <c r="B845">
        <v>2528</v>
      </c>
      <c r="C845" t="b">
        <f t="shared" si="13"/>
        <v>1</v>
      </c>
    </row>
    <row r="846" spans="1:3" hidden="1" x14ac:dyDescent="0.25">
      <c r="A846" t="s">
        <v>4882</v>
      </c>
      <c r="B846">
        <v>2573</v>
      </c>
      <c r="C846" t="b">
        <f t="shared" si="13"/>
        <v>0</v>
      </c>
    </row>
    <row r="847" spans="1:3" hidden="1" x14ac:dyDescent="0.25">
      <c r="A847" t="s">
        <v>4881</v>
      </c>
      <c r="B847">
        <v>2572</v>
      </c>
      <c r="C847" t="b">
        <f t="shared" si="13"/>
        <v>0</v>
      </c>
    </row>
    <row r="848" spans="1:3" hidden="1" x14ac:dyDescent="0.25">
      <c r="A848" t="s">
        <v>3429</v>
      </c>
      <c r="B848">
        <v>978</v>
      </c>
      <c r="C848" t="b">
        <f t="shared" si="13"/>
        <v>0</v>
      </c>
    </row>
    <row r="849" spans="1:3" hidden="1" x14ac:dyDescent="0.25">
      <c r="A849" t="s">
        <v>4256</v>
      </c>
      <c r="B849">
        <v>1880</v>
      </c>
      <c r="C849" t="b">
        <f t="shared" si="13"/>
        <v>0</v>
      </c>
    </row>
    <row r="850" spans="1:3" hidden="1" x14ac:dyDescent="0.25">
      <c r="A850" t="s">
        <v>4392</v>
      </c>
      <c r="B850">
        <v>2026</v>
      </c>
      <c r="C850" t="b">
        <f t="shared" si="13"/>
        <v>0</v>
      </c>
    </row>
    <row r="851" spans="1:3" hidden="1" x14ac:dyDescent="0.25">
      <c r="A851" t="s">
        <v>4393</v>
      </c>
      <c r="B851">
        <v>2027</v>
      </c>
      <c r="C851" t="b">
        <f t="shared" si="13"/>
        <v>0</v>
      </c>
    </row>
    <row r="852" spans="1:3" hidden="1" x14ac:dyDescent="0.25">
      <c r="A852" t="s">
        <v>4394</v>
      </c>
      <c r="B852">
        <v>2028</v>
      </c>
      <c r="C852" t="b">
        <f t="shared" si="13"/>
        <v>0</v>
      </c>
    </row>
    <row r="853" spans="1:3" hidden="1" x14ac:dyDescent="0.25">
      <c r="A853" t="s">
        <v>3008</v>
      </c>
      <c r="B853">
        <v>531</v>
      </c>
      <c r="C853" t="b">
        <f t="shared" si="13"/>
        <v>0</v>
      </c>
    </row>
    <row r="854" spans="1:3" hidden="1" x14ac:dyDescent="0.25">
      <c r="A854" t="s">
        <v>3009</v>
      </c>
      <c r="B854">
        <v>532</v>
      </c>
      <c r="C854" t="b">
        <f t="shared" si="13"/>
        <v>0</v>
      </c>
    </row>
    <row r="855" spans="1:3" hidden="1" x14ac:dyDescent="0.25">
      <c r="A855" t="s">
        <v>4757</v>
      </c>
      <c r="B855">
        <v>2430</v>
      </c>
      <c r="C855" t="b">
        <f t="shared" si="13"/>
        <v>0</v>
      </c>
    </row>
    <row r="856" spans="1:3" hidden="1" x14ac:dyDescent="0.25">
      <c r="A856" t="s">
        <v>3110</v>
      </c>
      <c r="B856">
        <v>641</v>
      </c>
      <c r="C856" t="b">
        <f t="shared" si="13"/>
        <v>0</v>
      </c>
    </row>
    <row r="857" spans="1:3" hidden="1" x14ac:dyDescent="0.25">
      <c r="A857" t="s">
        <v>2539</v>
      </c>
      <c r="B857">
        <v>44</v>
      </c>
      <c r="C857" t="b">
        <f t="shared" si="13"/>
        <v>0</v>
      </c>
    </row>
    <row r="858" spans="1:3" hidden="1" x14ac:dyDescent="0.25">
      <c r="A858" t="s">
        <v>2540</v>
      </c>
      <c r="B858">
        <v>45</v>
      </c>
      <c r="C858" t="b">
        <f t="shared" si="13"/>
        <v>0</v>
      </c>
    </row>
    <row r="859" spans="1:3" hidden="1" x14ac:dyDescent="0.25">
      <c r="A859" t="s">
        <v>2541</v>
      </c>
      <c r="B859">
        <v>46</v>
      </c>
      <c r="C859" t="b">
        <f t="shared" si="13"/>
        <v>0</v>
      </c>
    </row>
    <row r="860" spans="1:3" hidden="1" x14ac:dyDescent="0.25">
      <c r="A860" t="s">
        <v>3202</v>
      </c>
      <c r="B860">
        <v>736</v>
      </c>
      <c r="C860" t="b">
        <f t="shared" si="13"/>
        <v>0</v>
      </c>
    </row>
    <row r="861" spans="1:3" hidden="1" x14ac:dyDescent="0.25">
      <c r="A861" t="s">
        <v>3203</v>
      </c>
      <c r="B861">
        <v>737</v>
      </c>
      <c r="C861" t="b">
        <f t="shared" si="13"/>
        <v>0</v>
      </c>
    </row>
    <row r="862" spans="1:3" hidden="1" x14ac:dyDescent="0.25">
      <c r="A862" t="s">
        <v>4395</v>
      </c>
      <c r="B862">
        <v>2029</v>
      </c>
      <c r="C862" t="b">
        <f t="shared" si="13"/>
        <v>0</v>
      </c>
    </row>
    <row r="863" spans="1:3" hidden="1" x14ac:dyDescent="0.25">
      <c r="A863" t="s">
        <v>4396</v>
      </c>
      <c r="B863">
        <v>2030</v>
      </c>
      <c r="C863" t="b">
        <f t="shared" si="13"/>
        <v>0</v>
      </c>
    </row>
    <row r="864" spans="1:3" hidden="1" x14ac:dyDescent="0.25">
      <c r="A864" t="s">
        <v>4257</v>
      </c>
      <c r="B864">
        <v>1881</v>
      </c>
      <c r="C864" t="b">
        <f t="shared" si="13"/>
        <v>0</v>
      </c>
    </row>
    <row r="865" spans="1:3" hidden="1" x14ac:dyDescent="0.25">
      <c r="A865" t="s">
        <v>4576</v>
      </c>
      <c r="B865">
        <v>2233</v>
      </c>
      <c r="C865" t="b">
        <f t="shared" si="13"/>
        <v>0</v>
      </c>
    </row>
    <row r="866" spans="1:3" hidden="1" x14ac:dyDescent="0.25">
      <c r="A866" t="s">
        <v>3301</v>
      </c>
      <c r="B866">
        <v>838</v>
      </c>
      <c r="C866" t="b">
        <f t="shared" si="13"/>
        <v>0</v>
      </c>
    </row>
    <row r="867" spans="1:3" hidden="1" x14ac:dyDescent="0.25">
      <c r="A867" t="s">
        <v>3302</v>
      </c>
      <c r="B867">
        <v>839</v>
      </c>
      <c r="C867" t="b">
        <f t="shared" si="13"/>
        <v>0</v>
      </c>
    </row>
    <row r="868" spans="1:3" hidden="1" x14ac:dyDescent="0.25">
      <c r="A868" t="s">
        <v>3299</v>
      </c>
      <c r="B868">
        <v>836</v>
      </c>
      <c r="C868" t="b">
        <f t="shared" si="13"/>
        <v>0</v>
      </c>
    </row>
    <row r="869" spans="1:3" hidden="1" x14ac:dyDescent="0.25">
      <c r="A869" t="s">
        <v>3300</v>
      </c>
      <c r="B869">
        <v>837</v>
      </c>
      <c r="C869" t="b">
        <f t="shared" si="13"/>
        <v>0</v>
      </c>
    </row>
    <row r="870" spans="1:3" hidden="1" x14ac:dyDescent="0.25">
      <c r="A870" t="s">
        <v>4055</v>
      </c>
      <c r="B870">
        <v>1653</v>
      </c>
      <c r="C870" t="b">
        <f t="shared" si="13"/>
        <v>0</v>
      </c>
    </row>
    <row r="871" spans="1:3" hidden="1" x14ac:dyDescent="0.25">
      <c r="A871" t="s">
        <v>2542</v>
      </c>
      <c r="B871">
        <v>47</v>
      </c>
      <c r="C871" t="b">
        <f t="shared" si="13"/>
        <v>0</v>
      </c>
    </row>
    <row r="872" spans="1:3" hidden="1" x14ac:dyDescent="0.25">
      <c r="A872" t="s">
        <v>2876</v>
      </c>
      <c r="B872">
        <v>390</v>
      </c>
      <c r="C872" t="b">
        <f t="shared" si="13"/>
        <v>0</v>
      </c>
    </row>
    <row r="873" spans="1:3" hidden="1" x14ac:dyDescent="0.25">
      <c r="A873" t="s">
        <v>4258</v>
      </c>
      <c r="B873">
        <v>1882</v>
      </c>
      <c r="C873" t="b">
        <f t="shared" si="13"/>
        <v>0</v>
      </c>
    </row>
    <row r="874" spans="1:3" hidden="1" x14ac:dyDescent="0.25">
      <c r="A874" t="s">
        <v>5074</v>
      </c>
      <c r="B874">
        <v>2777</v>
      </c>
      <c r="C874" t="b">
        <f t="shared" si="13"/>
        <v>0</v>
      </c>
    </row>
    <row r="875" spans="1:3" hidden="1" x14ac:dyDescent="0.25">
      <c r="A875" t="s">
        <v>3204</v>
      </c>
      <c r="B875">
        <v>738</v>
      </c>
      <c r="C875" t="b">
        <f t="shared" si="13"/>
        <v>0</v>
      </c>
    </row>
    <row r="876" spans="1:3" hidden="1" x14ac:dyDescent="0.25">
      <c r="A876" t="s">
        <v>3205</v>
      </c>
      <c r="B876">
        <v>739</v>
      </c>
      <c r="C876" t="b">
        <f t="shared" si="13"/>
        <v>0</v>
      </c>
    </row>
    <row r="877" spans="1:3" hidden="1" x14ac:dyDescent="0.25">
      <c r="A877" t="s">
        <v>3206</v>
      </c>
      <c r="B877">
        <v>740</v>
      </c>
      <c r="C877" t="b">
        <f t="shared" si="13"/>
        <v>0</v>
      </c>
    </row>
    <row r="878" spans="1:3" hidden="1" x14ac:dyDescent="0.25">
      <c r="A878" t="s">
        <v>3207</v>
      </c>
      <c r="B878">
        <v>741</v>
      </c>
      <c r="C878" t="b">
        <f t="shared" si="13"/>
        <v>0</v>
      </c>
    </row>
    <row r="879" spans="1:3" hidden="1" x14ac:dyDescent="0.25">
      <c r="A879" t="s">
        <v>3208</v>
      </c>
      <c r="B879">
        <v>742</v>
      </c>
      <c r="C879" t="b">
        <f t="shared" si="13"/>
        <v>0</v>
      </c>
    </row>
    <row r="880" spans="1:3" hidden="1" x14ac:dyDescent="0.25">
      <c r="A880" t="s">
        <v>3209</v>
      </c>
      <c r="B880">
        <v>743</v>
      </c>
      <c r="C880" t="b">
        <f t="shared" si="13"/>
        <v>0</v>
      </c>
    </row>
    <row r="881" spans="1:3" hidden="1" x14ac:dyDescent="0.25">
      <c r="A881" t="s">
        <v>4758</v>
      </c>
      <c r="B881">
        <v>2431</v>
      </c>
      <c r="C881" t="b">
        <f t="shared" si="13"/>
        <v>0</v>
      </c>
    </row>
    <row r="882" spans="1:3" hidden="1" x14ac:dyDescent="0.25">
      <c r="A882" t="s">
        <v>4759</v>
      </c>
      <c r="B882">
        <v>2432</v>
      </c>
      <c r="C882" t="b">
        <f t="shared" si="13"/>
        <v>0</v>
      </c>
    </row>
    <row r="883" spans="1:3" hidden="1" x14ac:dyDescent="0.25">
      <c r="A883" t="s">
        <v>3210</v>
      </c>
      <c r="B883">
        <v>744</v>
      </c>
      <c r="C883" t="b">
        <f t="shared" si="13"/>
        <v>0</v>
      </c>
    </row>
    <row r="884" spans="1:3" hidden="1" x14ac:dyDescent="0.25">
      <c r="A884" t="s">
        <v>3211</v>
      </c>
      <c r="B884">
        <v>745</v>
      </c>
      <c r="C884" t="b">
        <f t="shared" si="13"/>
        <v>0</v>
      </c>
    </row>
    <row r="885" spans="1:3" hidden="1" x14ac:dyDescent="0.25">
      <c r="A885" t="s">
        <v>3933</v>
      </c>
      <c r="B885">
        <v>1520</v>
      </c>
      <c r="C885" t="b">
        <f t="shared" si="13"/>
        <v>0</v>
      </c>
    </row>
    <row r="886" spans="1:3" hidden="1" x14ac:dyDescent="0.25">
      <c r="A886" t="s">
        <v>3088</v>
      </c>
      <c r="B886">
        <v>618</v>
      </c>
      <c r="C886" t="b">
        <f t="shared" si="13"/>
        <v>0</v>
      </c>
    </row>
    <row r="887" spans="1:3" hidden="1" x14ac:dyDescent="0.25">
      <c r="A887" t="s">
        <v>3089</v>
      </c>
      <c r="B887">
        <v>619</v>
      </c>
      <c r="C887" t="b">
        <f t="shared" si="13"/>
        <v>0</v>
      </c>
    </row>
    <row r="888" spans="1:3" hidden="1" x14ac:dyDescent="0.25">
      <c r="A888" t="s">
        <v>2604</v>
      </c>
      <c r="B888">
        <v>111</v>
      </c>
      <c r="C888" t="b">
        <f t="shared" si="13"/>
        <v>0</v>
      </c>
    </row>
    <row r="889" spans="1:3" hidden="1" x14ac:dyDescent="0.25">
      <c r="A889" t="s">
        <v>3212</v>
      </c>
      <c r="B889">
        <v>746</v>
      </c>
      <c r="C889" t="b">
        <f t="shared" si="13"/>
        <v>0</v>
      </c>
    </row>
    <row r="890" spans="1:3" hidden="1" x14ac:dyDescent="0.25">
      <c r="A890" t="s">
        <v>4793</v>
      </c>
      <c r="B890">
        <v>2473</v>
      </c>
      <c r="C890" t="b">
        <f t="shared" si="13"/>
        <v>0</v>
      </c>
    </row>
    <row r="891" spans="1:3" hidden="1" x14ac:dyDescent="0.25">
      <c r="A891" t="s">
        <v>4794</v>
      </c>
      <c r="B891">
        <v>2474</v>
      </c>
      <c r="C891" t="b">
        <f t="shared" si="13"/>
        <v>0</v>
      </c>
    </row>
    <row r="892" spans="1:3" hidden="1" x14ac:dyDescent="0.25">
      <c r="A892" t="s">
        <v>2967</v>
      </c>
      <c r="B892">
        <v>488</v>
      </c>
      <c r="C892" t="b">
        <f t="shared" si="13"/>
        <v>0</v>
      </c>
    </row>
    <row r="893" spans="1:3" hidden="1" x14ac:dyDescent="0.25">
      <c r="A893" t="s">
        <v>4130</v>
      </c>
      <c r="B893">
        <v>1742</v>
      </c>
      <c r="C893" t="b">
        <f t="shared" si="13"/>
        <v>0</v>
      </c>
    </row>
    <row r="894" spans="1:3" hidden="1" x14ac:dyDescent="0.25">
      <c r="A894" t="s">
        <v>4073</v>
      </c>
      <c r="B894">
        <v>1673</v>
      </c>
      <c r="C894" t="b">
        <f t="shared" si="13"/>
        <v>0</v>
      </c>
    </row>
    <row r="895" spans="1:3" hidden="1" x14ac:dyDescent="0.25">
      <c r="A895" t="s">
        <v>4722</v>
      </c>
      <c r="B895">
        <v>2393</v>
      </c>
      <c r="C895" t="b">
        <f t="shared" si="13"/>
        <v>0</v>
      </c>
    </row>
    <row r="896" spans="1:3" hidden="1" x14ac:dyDescent="0.25">
      <c r="A896" t="s">
        <v>4499</v>
      </c>
      <c r="B896">
        <v>2137</v>
      </c>
      <c r="C896" t="b">
        <f t="shared" si="13"/>
        <v>0</v>
      </c>
    </row>
    <row r="897" spans="1:3" hidden="1" x14ac:dyDescent="0.25">
      <c r="A897" t="s">
        <v>3935</v>
      </c>
      <c r="B897">
        <v>1522</v>
      </c>
      <c r="C897" t="b">
        <f t="shared" si="13"/>
        <v>0</v>
      </c>
    </row>
    <row r="898" spans="1:3" hidden="1" x14ac:dyDescent="0.25">
      <c r="A898" t="s">
        <v>3936</v>
      </c>
      <c r="B898">
        <v>1523</v>
      </c>
      <c r="C898" t="b">
        <f t="shared" si="13"/>
        <v>0</v>
      </c>
    </row>
    <row r="899" spans="1:3" hidden="1" x14ac:dyDescent="0.25">
      <c r="A899" t="s">
        <v>3934</v>
      </c>
      <c r="B899">
        <v>1521</v>
      </c>
      <c r="C899" t="b">
        <f t="shared" ref="C899:C962" si="14">A899=A898</f>
        <v>0</v>
      </c>
    </row>
    <row r="900" spans="1:3" hidden="1" x14ac:dyDescent="0.25">
      <c r="A900" t="s">
        <v>2707</v>
      </c>
      <c r="B900">
        <v>217</v>
      </c>
      <c r="C900" t="b">
        <f t="shared" si="14"/>
        <v>0</v>
      </c>
    </row>
    <row r="901" spans="1:3" hidden="1" x14ac:dyDescent="0.25">
      <c r="A901" t="s">
        <v>4672</v>
      </c>
      <c r="B901">
        <v>2335</v>
      </c>
      <c r="C901" t="b">
        <f t="shared" si="14"/>
        <v>0</v>
      </c>
    </row>
    <row r="902" spans="1:3" hidden="1" x14ac:dyDescent="0.25">
      <c r="A902" t="s">
        <v>4674</v>
      </c>
      <c r="B902">
        <v>2337</v>
      </c>
      <c r="C902" t="b">
        <f t="shared" si="14"/>
        <v>0</v>
      </c>
    </row>
    <row r="903" spans="1:3" hidden="1" x14ac:dyDescent="0.25">
      <c r="A903" t="s">
        <v>4675</v>
      </c>
      <c r="B903">
        <v>2338</v>
      </c>
      <c r="C903" t="b">
        <f t="shared" si="14"/>
        <v>0</v>
      </c>
    </row>
    <row r="904" spans="1:3" hidden="1" x14ac:dyDescent="0.25">
      <c r="A904" t="s">
        <v>4673</v>
      </c>
      <c r="B904">
        <v>2336</v>
      </c>
      <c r="C904" t="b">
        <f t="shared" si="14"/>
        <v>0</v>
      </c>
    </row>
    <row r="905" spans="1:3" hidden="1" x14ac:dyDescent="0.25">
      <c r="A905" t="s">
        <v>2737</v>
      </c>
      <c r="B905">
        <v>248</v>
      </c>
      <c r="C905" t="b">
        <f t="shared" si="14"/>
        <v>0</v>
      </c>
    </row>
    <row r="906" spans="1:3" hidden="1" x14ac:dyDescent="0.25">
      <c r="A906" t="s">
        <v>2738</v>
      </c>
      <c r="B906">
        <v>249</v>
      </c>
      <c r="C906" t="b">
        <f t="shared" si="14"/>
        <v>0</v>
      </c>
    </row>
    <row r="907" spans="1:3" hidden="1" x14ac:dyDescent="0.25">
      <c r="A907" t="s">
        <v>4398</v>
      </c>
      <c r="B907">
        <v>2032</v>
      </c>
      <c r="C907" t="b">
        <f t="shared" si="14"/>
        <v>0</v>
      </c>
    </row>
    <row r="908" spans="1:3" hidden="1" x14ac:dyDescent="0.25">
      <c r="A908" t="s">
        <v>3010</v>
      </c>
      <c r="B908">
        <v>533</v>
      </c>
      <c r="C908" t="b">
        <f t="shared" si="14"/>
        <v>0</v>
      </c>
    </row>
    <row r="909" spans="1:3" x14ac:dyDescent="0.25">
      <c r="A909" t="s">
        <v>3010</v>
      </c>
      <c r="B909">
        <v>937</v>
      </c>
      <c r="C909" t="b">
        <f t="shared" si="14"/>
        <v>1</v>
      </c>
    </row>
    <row r="910" spans="1:3" x14ac:dyDescent="0.25">
      <c r="A910" t="s">
        <v>3010</v>
      </c>
      <c r="B910">
        <v>1483</v>
      </c>
      <c r="C910" t="b">
        <f t="shared" si="14"/>
        <v>1</v>
      </c>
    </row>
    <row r="911" spans="1:3" hidden="1" x14ac:dyDescent="0.25">
      <c r="A911" t="s">
        <v>4397</v>
      </c>
      <c r="B911">
        <v>2031</v>
      </c>
      <c r="C911" t="b">
        <f t="shared" si="14"/>
        <v>0</v>
      </c>
    </row>
    <row r="912" spans="1:3" hidden="1" x14ac:dyDescent="0.25">
      <c r="A912" t="s">
        <v>3393</v>
      </c>
      <c r="B912">
        <v>938</v>
      </c>
      <c r="C912" t="b">
        <f t="shared" si="14"/>
        <v>0</v>
      </c>
    </row>
    <row r="913" spans="1:3" hidden="1" x14ac:dyDescent="0.25">
      <c r="A913" t="s">
        <v>4004</v>
      </c>
      <c r="B913">
        <v>1598</v>
      </c>
      <c r="C913" t="b">
        <f t="shared" si="14"/>
        <v>0</v>
      </c>
    </row>
    <row r="914" spans="1:3" hidden="1" x14ac:dyDescent="0.25">
      <c r="A914" t="s">
        <v>2708</v>
      </c>
      <c r="B914">
        <v>218</v>
      </c>
      <c r="C914" t="b">
        <f t="shared" si="14"/>
        <v>0</v>
      </c>
    </row>
    <row r="915" spans="1:3" hidden="1" x14ac:dyDescent="0.25">
      <c r="A915" t="s">
        <v>3067</v>
      </c>
      <c r="B915">
        <v>596</v>
      </c>
      <c r="C915" t="b">
        <f t="shared" si="14"/>
        <v>0</v>
      </c>
    </row>
    <row r="916" spans="1:3" hidden="1" x14ac:dyDescent="0.25">
      <c r="A916" t="s">
        <v>4111</v>
      </c>
      <c r="B916">
        <v>1716</v>
      </c>
      <c r="C916" t="b">
        <f t="shared" si="14"/>
        <v>0</v>
      </c>
    </row>
    <row r="917" spans="1:3" hidden="1" x14ac:dyDescent="0.25">
      <c r="A917" t="s">
        <v>4977</v>
      </c>
      <c r="B917">
        <v>2677</v>
      </c>
      <c r="C917" t="b">
        <f t="shared" si="14"/>
        <v>0</v>
      </c>
    </row>
    <row r="918" spans="1:3" hidden="1" x14ac:dyDescent="0.25">
      <c r="A918" t="s">
        <v>3011</v>
      </c>
      <c r="B918">
        <v>534</v>
      </c>
      <c r="C918" t="b">
        <f t="shared" si="14"/>
        <v>0</v>
      </c>
    </row>
    <row r="919" spans="1:3" hidden="1" x14ac:dyDescent="0.25">
      <c r="A919" t="s">
        <v>2666</v>
      </c>
      <c r="B919">
        <v>176</v>
      </c>
      <c r="C919" t="b">
        <f t="shared" si="14"/>
        <v>0</v>
      </c>
    </row>
    <row r="920" spans="1:3" hidden="1" x14ac:dyDescent="0.25">
      <c r="A920" t="s">
        <v>2665</v>
      </c>
      <c r="B920">
        <v>175</v>
      </c>
      <c r="C920" t="b">
        <f t="shared" si="14"/>
        <v>0</v>
      </c>
    </row>
    <row r="921" spans="1:3" hidden="1" x14ac:dyDescent="0.25">
      <c r="A921" t="s">
        <v>4344</v>
      </c>
      <c r="B921">
        <v>1975</v>
      </c>
      <c r="C921" t="b">
        <f t="shared" si="14"/>
        <v>0</v>
      </c>
    </row>
    <row r="922" spans="1:3" hidden="1" x14ac:dyDescent="0.25">
      <c r="A922" t="s">
        <v>4345</v>
      </c>
      <c r="B922">
        <v>1976</v>
      </c>
      <c r="C922" t="b">
        <f t="shared" si="14"/>
        <v>0</v>
      </c>
    </row>
    <row r="923" spans="1:3" hidden="1" x14ac:dyDescent="0.25">
      <c r="A923" t="s">
        <v>4346</v>
      </c>
      <c r="B923">
        <v>1977</v>
      </c>
      <c r="C923" t="b">
        <f t="shared" si="14"/>
        <v>0</v>
      </c>
    </row>
    <row r="924" spans="1:3" hidden="1" x14ac:dyDescent="0.25">
      <c r="A924" t="s">
        <v>4676</v>
      </c>
      <c r="B924">
        <v>2339</v>
      </c>
      <c r="C924" t="b">
        <f t="shared" si="14"/>
        <v>0</v>
      </c>
    </row>
    <row r="925" spans="1:3" x14ac:dyDescent="0.25">
      <c r="A925" t="s">
        <v>4676</v>
      </c>
      <c r="B925">
        <v>2475</v>
      </c>
      <c r="C925" t="b">
        <f t="shared" si="14"/>
        <v>1</v>
      </c>
    </row>
    <row r="926" spans="1:3" x14ac:dyDescent="0.25">
      <c r="A926" t="s">
        <v>4676</v>
      </c>
      <c r="B926">
        <v>2574</v>
      </c>
      <c r="C926" t="b">
        <f t="shared" si="14"/>
        <v>1</v>
      </c>
    </row>
    <row r="927" spans="1:3" hidden="1" x14ac:dyDescent="0.25">
      <c r="A927" t="s">
        <v>4216</v>
      </c>
      <c r="B927">
        <v>1838</v>
      </c>
      <c r="C927" t="b">
        <f t="shared" si="14"/>
        <v>0</v>
      </c>
    </row>
    <row r="928" spans="1:3" hidden="1" x14ac:dyDescent="0.25">
      <c r="A928" t="s">
        <v>4217</v>
      </c>
      <c r="B928">
        <v>1839</v>
      </c>
      <c r="C928" t="b">
        <f t="shared" si="14"/>
        <v>0</v>
      </c>
    </row>
    <row r="929" spans="1:3" hidden="1" x14ac:dyDescent="0.25">
      <c r="A929" t="s">
        <v>3167</v>
      </c>
      <c r="B929">
        <v>700</v>
      </c>
      <c r="C929" t="b">
        <f t="shared" si="14"/>
        <v>0</v>
      </c>
    </row>
    <row r="930" spans="1:3" hidden="1" x14ac:dyDescent="0.25">
      <c r="A930" t="s">
        <v>3012</v>
      </c>
      <c r="B930">
        <v>535</v>
      </c>
      <c r="C930" t="b">
        <f t="shared" si="14"/>
        <v>0</v>
      </c>
    </row>
    <row r="931" spans="1:3" hidden="1" x14ac:dyDescent="0.25">
      <c r="A931" t="s">
        <v>4298</v>
      </c>
      <c r="B931">
        <v>1926</v>
      </c>
      <c r="C931" t="b">
        <f t="shared" si="14"/>
        <v>0</v>
      </c>
    </row>
    <row r="932" spans="1:3" hidden="1" x14ac:dyDescent="0.25">
      <c r="A932" t="s">
        <v>4300</v>
      </c>
      <c r="B932">
        <v>1928</v>
      </c>
      <c r="C932" t="b">
        <f t="shared" si="14"/>
        <v>0</v>
      </c>
    </row>
    <row r="933" spans="1:3" hidden="1" x14ac:dyDescent="0.25">
      <c r="A933" t="s">
        <v>4299</v>
      </c>
      <c r="B933">
        <v>1927</v>
      </c>
      <c r="C933" t="b">
        <f t="shared" si="14"/>
        <v>0</v>
      </c>
    </row>
    <row r="934" spans="1:3" hidden="1" x14ac:dyDescent="0.25">
      <c r="A934" t="s">
        <v>3332</v>
      </c>
      <c r="B934">
        <v>872</v>
      </c>
      <c r="C934" t="b">
        <f t="shared" si="14"/>
        <v>0</v>
      </c>
    </row>
    <row r="935" spans="1:3" hidden="1" x14ac:dyDescent="0.25">
      <c r="A935" t="s">
        <v>3584</v>
      </c>
      <c r="B935">
        <v>1145</v>
      </c>
      <c r="C935" t="b">
        <f t="shared" si="14"/>
        <v>0</v>
      </c>
    </row>
    <row r="936" spans="1:3" hidden="1" x14ac:dyDescent="0.25">
      <c r="A936" t="s">
        <v>3755</v>
      </c>
      <c r="B936">
        <v>1328</v>
      </c>
      <c r="C936" t="b">
        <f t="shared" si="14"/>
        <v>0</v>
      </c>
    </row>
    <row r="937" spans="1:3" hidden="1" x14ac:dyDescent="0.25">
      <c r="A937" t="s">
        <v>3213</v>
      </c>
      <c r="B937">
        <v>747</v>
      </c>
      <c r="C937" t="b">
        <f t="shared" si="14"/>
        <v>0</v>
      </c>
    </row>
    <row r="938" spans="1:3" hidden="1" x14ac:dyDescent="0.25">
      <c r="A938" t="s">
        <v>3680</v>
      </c>
      <c r="B938">
        <v>1248</v>
      </c>
      <c r="C938" t="b">
        <f t="shared" si="14"/>
        <v>0</v>
      </c>
    </row>
    <row r="939" spans="1:3" hidden="1" x14ac:dyDescent="0.25">
      <c r="A939" t="s">
        <v>3681</v>
      </c>
      <c r="B939">
        <v>1249</v>
      </c>
      <c r="C939" t="b">
        <f t="shared" si="14"/>
        <v>0</v>
      </c>
    </row>
    <row r="940" spans="1:3" hidden="1" x14ac:dyDescent="0.25">
      <c r="A940" t="s">
        <v>2782</v>
      </c>
      <c r="B940">
        <v>294</v>
      </c>
      <c r="C940" t="b">
        <f t="shared" si="14"/>
        <v>0</v>
      </c>
    </row>
    <row r="941" spans="1:3" hidden="1" x14ac:dyDescent="0.25">
      <c r="A941" t="s">
        <v>2783</v>
      </c>
      <c r="B941">
        <v>295</v>
      </c>
      <c r="C941" t="b">
        <f t="shared" si="14"/>
        <v>0</v>
      </c>
    </row>
    <row r="942" spans="1:3" hidden="1" x14ac:dyDescent="0.25">
      <c r="A942" t="s">
        <v>2543</v>
      </c>
      <c r="B942">
        <v>48</v>
      </c>
      <c r="C942" t="b">
        <f t="shared" si="14"/>
        <v>0</v>
      </c>
    </row>
    <row r="943" spans="1:3" hidden="1" x14ac:dyDescent="0.25">
      <c r="A943" t="s">
        <v>5075</v>
      </c>
      <c r="B943">
        <v>2778</v>
      </c>
      <c r="C943" t="b">
        <f t="shared" si="14"/>
        <v>0</v>
      </c>
    </row>
    <row r="944" spans="1:3" hidden="1" x14ac:dyDescent="0.25">
      <c r="A944" t="s">
        <v>3090</v>
      </c>
      <c r="B944">
        <v>620</v>
      </c>
      <c r="C944" t="b">
        <f t="shared" si="14"/>
        <v>0</v>
      </c>
    </row>
    <row r="945" spans="1:3" hidden="1" x14ac:dyDescent="0.25">
      <c r="A945" t="s">
        <v>3303</v>
      </c>
      <c r="B945">
        <v>840</v>
      </c>
      <c r="C945" t="b">
        <f t="shared" si="14"/>
        <v>0</v>
      </c>
    </row>
    <row r="946" spans="1:3" hidden="1" x14ac:dyDescent="0.25">
      <c r="A946" t="s">
        <v>3013</v>
      </c>
      <c r="B946">
        <v>536</v>
      </c>
      <c r="C946" t="b">
        <f t="shared" si="14"/>
        <v>0</v>
      </c>
    </row>
    <row r="947" spans="1:3" x14ac:dyDescent="0.25">
      <c r="A947" t="s">
        <v>3013</v>
      </c>
      <c r="B947">
        <v>1298</v>
      </c>
      <c r="C947" t="b">
        <f t="shared" si="14"/>
        <v>1</v>
      </c>
    </row>
    <row r="948" spans="1:3" x14ac:dyDescent="0.25">
      <c r="A948" t="s">
        <v>3013</v>
      </c>
      <c r="B948">
        <v>1567</v>
      </c>
      <c r="C948" t="b">
        <f t="shared" si="14"/>
        <v>1</v>
      </c>
    </row>
    <row r="949" spans="1:3" hidden="1" x14ac:dyDescent="0.25">
      <c r="A949" t="s">
        <v>4560</v>
      </c>
      <c r="B949">
        <v>2215</v>
      </c>
      <c r="C949" t="b">
        <f t="shared" si="14"/>
        <v>0</v>
      </c>
    </row>
    <row r="950" spans="1:3" hidden="1" x14ac:dyDescent="0.25">
      <c r="A950" t="s">
        <v>3215</v>
      </c>
      <c r="B950">
        <v>749</v>
      </c>
      <c r="C950" t="b">
        <f t="shared" si="14"/>
        <v>0</v>
      </c>
    </row>
    <row r="951" spans="1:3" hidden="1" x14ac:dyDescent="0.25">
      <c r="A951" t="s">
        <v>3214</v>
      </c>
      <c r="B951">
        <v>748</v>
      </c>
      <c r="C951" t="b">
        <f t="shared" si="14"/>
        <v>0</v>
      </c>
    </row>
    <row r="952" spans="1:3" hidden="1" x14ac:dyDescent="0.25">
      <c r="A952" t="s">
        <v>3216</v>
      </c>
      <c r="B952">
        <v>750</v>
      </c>
      <c r="C952" t="b">
        <f t="shared" si="14"/>
        <v>0</v>
      </c>
    </row>
    <row r="953" spans="1:3" hidden="1" x14ac:dyDescent="0.25">
      <c r="A953" t="s">
        <v>3217</v>
      </c>
      <c r="B953">
        <v>751</v>
      </c>
      <c r="C953" t="b">
        <f t="shared" si="14"/>
        <v>0</v>
      </c>
    </row>
    <row r="954" spans="1:3" hidden="1" x14ac:dyDescent="0.25">
      <c r="A954" t="s">
        <v>3218</v>
      </c>
      <c r="B954">
        <v>752</v>
      </c>
      <c r="C954" t="b">
        <f t="shared" si="14"/>
        <v>0</v>
      </c>
    </row>
    <row r="955" spans="1:3" hidden="1" x14ac:dyDescent="0.25">
      <c r="A955" t="s">
        <v>3219</v>
      </c>
      <c r="B955">
        <v>753</v>
      </c>
      <c r="C955" t="b">
        <f t="shared" si="14"/>
        <v>0</v>
      </c>
    </row>
    <row r="956" spans="1:3" hidden="1" x14ac:dyDescent="0.25">
      <c r="A956" t="s">
        <v>3220</v>
      </c>
      <c r="B956">
        <v>754</v>
      </c>
      <c r="C956" t="b">
        <f t="shared" si="14"/>
        <v>0</v>
      </c>
    </row>
    <row r="957" spans="1:3" hidden="1" x14ac:dyDescent="0.25">
      <c r="A957" t="s">
        <v>3221</v>
      </c>
      <c r="B957">
        <v>755</v>
      </c>
      <c r="C957" t="b">
        <f t="shared" si="14"/>
        <v>0</v>
      </c>
    </row>
    <row r="958" spans="1:3" hidden="1" x14ac:dyDescent="0.25">
      <c r="A958" t="s">
        <v>3222</v>
      </c>
      <c r="B958">
        <v>756</v>
      </c>
      <c r="C958" t="b">
        <f t="shared" si="14"/>
        <v>0</v>
      </c>
    </row>
    <row r="959" spans="1:3" hidden="1" x14ac:dyDescent="0.25">
      <c r="A959" t="s">
        <v>3223</v>
      </c>
      <c r="B959">
        <v>757</v>
      </c>
      <c r="C959" t="b">
        <f t="shared" si="14"/>
        <v>0</v>
      </c>
    </row>
    <row r="960" spans="1:3" hidden="1" x14ac:dyDescent="0.25">
      <c r="A960" t="s">
        <v>3224</v>
      </c>
      <c r="B960">
        <v>758</v>
      </c>
      <c r="C960" t="b">
        <f t="shared" si="14"/>
        <v>0</v>
      </c>
    </row>
    <row r="961" spans="1:3" hidden="1" x14ac:dyDescent="0.25">
      <c r="A961" t="s">
        <v>3225</v>
      </c>
      <c r="B961">
        <v>759</v>
      </c>
      <c r="C961" t="b">
        <f t="shared" si="14"/>
        <v>0</v>
      </c>
    </row>
    <row r="962" spans="1:3" hidden="1" x14ac:dyDescent="0.25">
      <c r="A962" t="s">
        <v>4168</v>
      </c>
      <c r="B962">
        <v>1783</v>
      </c>
      <c r="C962" t="b">
        <f t="shared" si="14"/>
        <v>0</v>
      </c>
    </row>
    <row r="963" spans="1:3" x14ac:dyDescent="0.25">
      <c r="A963" t="s">
        <v>4168</v>
      </c>
      <c r="B963">
        <v>2619</v>
      </c>
      <c r="C963" t="b">
        <f t="shared" ref="C963:C1026" si="15">A963=A962</f>
        <v>1</v>
      </c>
    </row>
    <row r="964" spans="1:3" hidden="1" x14ac:dyDescent="0.25">
      <c r="A964" t="s">
        <v>3937</v>
      </c>
      <c r="B964">
        <v>1524</v>
      </c>
      <c r="C964" t="b">
        <f t="shared" si="15"/>
        <v>0</v>
      </c>
    </row>
    <row r="965" spans="1:3" hidden="1" x14ac:dyDescent="0.25">
      <c r="A965" t="s">
        <v>3938</v>
      </c>
      <c r="B965">
        <v>1525</v>
      </c>
      <c r="C965" t="b">
        <f t="shared" si="15"/>
        <v>0</v>
      </c>
    </row>
    <row r="966" spans="1:3" hidden="1" x14ac:dyDescent="0.25">
      <c r="A966" t="s">
        <v>4577</v>
      </c>
      <c r="B966">
        <v>2234</v>
      </c>
      <c r="C966" t="b">
        <f t="shared" si="15"/>
        <v>0</v>
      </c>
    </row>
    <row r="967" spans="1:3" hidden="1" x14ac:dyDescent="0.25">
      <c r="A967" t="s">
        <v>3756</v>
      </c>
      <c r="B967">
        <v>1329</v>
      </c>
      <c r="C967" t="b">
        <f t="shared" si="15"/>
        <v>0</v>
      </c>
    </row>
    <row r="968" spans="1:3" hidden="1" x14ac:dyDescent="0.25">
      <c r="A968" t="s">
        <v>4822</v>
      </c>
      <c r="B968">
        <v>2506</v>
      </c>
      <c r="C968" t="b">
        <f t="shared" si="15"/>
        <v>0</v>
      </c>
    </row>
    <row r="969" spans="1:3" hidden="1" x14ac:dyDescent="0.25">
      <c r="A969" t="s">
        <v>4640</v>
      </c>
      <c r="B969">
        <v>2300</v>
      </c>
      <c r="C969" t="b">
        <f t="shared" si="15"/>
        <v>0</v>
      </c>
    </row>
    <row r="970" spans="1:3" hidden="1" x14ac:dyDescent="0.25">
      <c r="A970" t="s">
        <v>5076</v>
      </c>
      <c r="B970">
        <v>2779</v>
      </c>
      <c r="C970" t="b">
        <f t="shared" si="15"/>
        <v>0</v>
      </c>
    </row>
    <row r="971" spans="1:3" hidden="1" x14ac:dyDescent="0.25">
      <c r="A971" t="s">
        <v>2837</v>
      </c>
      <c r="B971">
        <v>350</v>
      </c>
      <c r="C971" t="b">
        <f t="shared" si="15"/>
        <v>0</v>
      </c>
    </row>
    <row r="972" spans="1:3" hidden="1" x14ac:dyDescent="0.25">
      <c r="A972" t="s">
        <v>4883</v>
      </c>
      <c r="B972">
        <v>2575</v>
      </c>
      <c r="C972" t="b">
        <f t="shared" si="15"/>
        <v>0</v>
      </c>
    </row>
    <row r="973" spans="1:3" hidden="1" x14ac:dyDescent="0.25">
      <c r="A973" t="s">
        <v>3608</v>
      </c>
      <c r="B973">
        <v>1172</v>
      </c>
      <c r="C973" t="b">
        <f t="shared" si="15"/>
        <v>0</v>
      </c>
    </row>
    <row r="974" spans="1:3" hidden="1" x14ac:dyDescent="0.25">
      <c r="A974" t="s">
        <v>2838</v>
      </c>
      <c r="B974">
        <v>351</v>
      </c>
      <c r="C974" t="b">
        <f t="shared" si="15"/>
        <v>0</v>
      </c>
    </row>
    <row r="975" spans="1:3" hidden="1" x14ac:dyDescent="0.25">
      <c r="A975" t="s">
        <v>3091</v>
      </c>
      <c r="B975">
        <v>621</v>
      </c>
      <c r="C975" t="b">
        <f t="shared" si="15"/>
        <v>0</v>
      </c>
    </row>
    <row r="976" spans="1:3" hidden="1" x14ac:dyDescent="0.25">
      <c r="A976" t="s">
        <v>3092</v>
      </c>
      <c r="B976">
        <v>622</v>
      </c>
      <c r="C976" t="b">
        <f t="shared" si="15"/>
        <v>0</v>
      </c>
    </row>
    <row r="977" spans="1:3" hidden="1" x14ac:dyDescent="0.25">
      <c r="A977" t="s">
        <v>3255</v>
      </c>
      <c r="B977">
        <v>790</v>
      </c>
      <c r="C977" t="b">
        <f t="shared" si="15"/>
        <v>0</v>
      </c>
    </row>
    <row r="978" spans="1:3" hidden="1" x14ac:dyDescent="0.25">
      <c r="A978" t="s">
        <v>3258</v>
      </c>
      <c r="B978">
        <v>793</v>
      </c>
      <c r="C978" t="b">
        <f t="shared" si="15"/>
        <v>0</v>
      </c>
    </row>
    <row r="979" spans="1:3" hidden="1" x14ac:dyDescent="0.25">
      <c r="A979" t="s">
        <v>3259</v>
      </c>
      <c r="B979">
        <v>794</v>
      </c>
      <c r="C979" t="b">
        <f t="shared" si="15"/>
        <v>0</v>
      </c>
    </row>
    <row r="980" spans="1:3" hidden="1" x14ac:dyDescent="0.25">
      <c r="A980" t="s">
        <v>3260</v>
      </c>
      <c r="B980">
        <v>795</v>
      </c>
      <c r="C980" t="b">
        <f t="shared" si="15"/>
        <v>0</v>
      </c>
    </row>
    <row r="981" spans="1:3" hidden="1" x14ac:dyDescent="0.25">
      <c r="A981" t="s">
        <v>3256</v>
      </c>
      <c r="B981">
        <v>791</v>
      </c>
      <c r="C981" t="b">
        <f t="shared" si="15"/>
        <v>0</v>
      </c>
    </row>
    <row r="982" spans="1:3" hidden="1" x14ac:dyDescent="0.25">
      <c r="A982" t="s">
        <v>3261</v>
      </c>
      <c r="B982">
        <v>796</v>
      </c>
      <c r="C982" t="b">
        <f t="shared" si="15"/>
        <v>0</v>
      </c>
    </row>
    <row r="983" spans="1:3" hidden="1" x14ac:dyDescent="0.25">
      <c r="A983" t="s">
        <v>3262</v>
      </c>
      <c r="B983">
        <v>797</v>
      </c>
      <c r="C983" t="b">
        <f t="shared" si="15"/>
        <v>0</v>
      </c>
    </row>
    <row r="984" spans="1:3" hidden="1" x14ac:dyDescent="0.25">
      <c r="A984" t="s">
        <v>3263</v>
      </c>
      <c r="B984">
        <v>798</v>
      </c>
      <c r="C984" t="b">
        <f t="shared" si="15"/>
        <v>0</v>
      </c>
    </row>
    <row r="985" spans="1:3" hidden="1" x14ac:dyDescent="0.25">
      <c r="A985" t="s">
        <v>3257</v>
      </c>
      <c r="B985">
        <v>792</v>
      </c>
      <c r="C985" t="b">
        <f t="shared" si="15"/>
        <v>0</v>
      </c>
    </row>
    <row r="986" spans="1:3" hidden="1" x14ac:dyDescent="0.25">
      <c r="A986" t="s">
        <v>3874</v>
      </c>
      <c r="B986">
        <v>1456</v>
      </c>
      <c r="C986" t="b">
        <f t="shared" si="15"/>
        <v>0</v>
      </c>
    </row>
    <row r="987" spans="1:3" hidden="1" x14ac:dyDescent="0.25">
      <c r="A987" t="s">
        <v>3875</v>
      </c>
      <c r="B987">
        <v>1457</v>
      </c>
      <c r="C987" t="b">
        <f t="shared" si="15"/>
        <v>0</v>
      </c>
    </row>
    <row r="988" spans="1:3" hidden="1" x14ac:dyDescent="0.25">
      <c r="A988" t="s">
        <v>4760</v>
      </c>
      <c r="B988">
        <v>2433</v>
      </c>
      <c r="C988" t="b">
        <f t="shared" si="15"/>
        <v>0</v>
      </c>
    </row>
    <row r="989" spans="1:3" hidden="1" x14ac:dyDescent="0.25">
      <c r="A989" t="s">
        <v>4923</v>
      </c>
      <c r="B989">
        <v>2620</v>
      </c>
      <c r="C989" t="b">
        <f t="shared" si="15"/>
        <v>0</v>
      </c>
    </row>
    <row r="990" spans="1:3" hidden="1" x14ac:dyDescent="0.25">
      <c r="A990" t="s">
        <v>4924</v>
      </c>
      <c r="B990">
        <v>2621</v>
      </c>
      <c r="C990" t="b">
        <f t="shared" si="15"/>
        <v>0</v>
      </c>
    </row>
    <row r="991" spans="1:3" hidden="1" x14ac:dyDescent="0.25">
      <c r="A991" t="s">
        <v>3277</v>
      </c>
      <c r="B991">
        <v>813</v>
      </c>
      <c r="C991" t="b">
        <f t="shared" si="15"/>
        <v>0</v>
      </c>
    </row>
    <row r="992" spans="1:3" hidden="1" x14ac:dyDescent="0.25">
      <c r="A992" t="s">
        <v>3276</v>
      </c>
      <c r="B992">
        <v>812</v>
      </c>
      <c r="C992" t="b">
        <f t="shared" si="15"/>
        <v>0</v>
      </c>
    </row>
    <row r="993" spans="1:3" hidden="1" x14ac:dyDescent="0.25">
      <c r="A993" t="s">
        <v>3278</v>
      </c>
      <c r="B993">
        <v>814</v>
      </c>
      <c r="C993" t="b">
        <f t="shared" si="15"/>
        <v>0</v>
      </c>
    </row>
    <row r="994" spans="1:3" hidden="1" x14ac:dyDescent="0.25">
      <c r="A994" t="s">
        <v>3279</v>
      </c>
      <c r="B994">
        <v>815</v>
      </c>
      <c r="C994" t="b">
        <f t="shared" si="15"/>
        <v>0</v>
      </c>
    </row>
    <row r="995" spans="1:3" hidden="1" x14ac:dyDescent="0.25">
      <c r="A995" t="s">
        <v>3280</v>
      </c>
      <c r="B995">
        <v>816</v>
      </c>
      <c r="C995" t="b">
        <f t="shared" si="15"/>
        <v>0</v>
      </c>
    </row>
    <row r="996" spans="1:3" hidden="1" x14ac:dyDescent="0.25">
      <c r="A996" t="s">
        <v>3281</v>
      </c>
      <c r="B996">
        <v>817</v>
      </c>
      <c r="C996" t="b">
        <f t="shared" si="15"/>
        <v>0</v>
      </c>
    </row>
    <row r="997" spans="1:3" hidden="1" x14ac:dyDescent="0.25">
      <c r="A997" t="s">
        <v>3282</v>
      </c>
      <c r="B997">
        <v>818</v>
      </c>
      <c r="C997" t="b">
        <f t="shared" si="15"/>
        <v>0</v>
      </c>
    </row>
    <row r="998" spans="1:3" hidden="1" x14ac:dyDescent="0.25">
      <c r="A998" t="s">
        <v>4476</v>
      </c>
      <c r="B998">
        <v>2112</v>
      </c>
      <c r="C998" t="b">
        <f t="shared" si="15"/>
        <v>0</v>
      </c>
    </row>
    <row r="999" spans="1:3" hidden="1" x14ac:dyDescent="0.25">
      <c r="A999" t="s">
        <v>4500</v>
      </c>
      <c r="B999">
        <v>2138</v>
      </c>
      <c r="C999" t="b">
        <f t="shared" si="15"/>
        <v>0</v>
      </c>
    </row>
    <row r="1000" spans="1:3" hidden="1" x14ac:dyDescent="0.25">
      <c r="A1000" t="s">
        <v>3839</v>
      </c>
      <c r="B1000">
        <v>1418</v>
      </c>
      <c r="C1000" t="b">
        <f t="shared" si="15"/>
        <v>0</v>
      </c>
    </row>
    <row r="1001" spans="1:3" hidden="1" x14ac:dyDescent="0.25">
      <c r="A1001" t="s">
        <v>3840</v>
      </c>
      <c r="B1001">
        <v>1419</v>
      </c>
      <c r="C1001" t="b">
        <f t="shared" si="15"/>
        <v>0</v>
      </c>
    </row>
    <row r="1002" spans="1:3" hidden="1" x14ac:dyDescent="0.25">
      <c r="A1002" t="s">
        <v>3226</v>
      </c>
      <c r="B1002">
        <v>760</v>
      </c>
      <c r="C1002" t="b">
        <f t="shared" si="15"/>
        <v>0</v>
      </c>
    </row>
    <row r="1003" spans="1:3" hidden="1" x14ac:dyDescent="0.25">
      <c r="A1003" t="s">
        <v>3430</v>
      </c>
      <c r="B1003">
        <v>979</v>
      </c>
      <c r="C1003" t="b">
        <f t="shared" si="15"/>
        <v>0</v>
      </c>
    </row>
    <row r="1004" spans="1:3" hidden="1" x14ac:dyDescent="0.25">
      <c r="A1004" t="s">
        <v>4145</v>
      </c>
      <c r="B1004">
        <v>1759</v>
      </c>
      <c r="C1004" t="b">
        <f t="shared" si="15"/>
        <v>0</v>
      </c>
    </row>
    <row r="1005" spans="1:3" hidden="1" x14ac:dyDescent="0.25">
      <c r="A1005" t="s">
        <v>2544</v>
      </c>
      <c r="B1005">
        <v>49</v>
      </c>
      <c r="C1005" t="b">
        <f t="shared" si="15"/>
        <v>0</v>
      </c>
    </row>
    <row r="1006" spans="1:3" hidden="1" x14ac:dyDescent="0.25">
      <c r="A1006" t="s">
        <v>2784</v>
      </c>
      <c r="B1006">
        <v>296</v>
      </c>
      <c r="C1006" t="b">
        <f t="shared" si="15"/>
        <v>0</v>
      </c>
    </row>
    <row r="1007" spans="1:3" hidden="1" x14ac:dyDescent="0.25">
      <c r="A1007" t="s">
        <v>3227</v>
      </c>
      <c r="B1007">
        <v>761</v>
      </c>
      <c r="C1007" t="b">
        <f t="shared" si="15"/>
        <v>0</v>
      </c>
    </row>
    <row r="1008" spans="1:3" hidden="1" x14ac:dyDescent="0.25">
      <c r="A1008" t="s">
        <v>3228</v>
      </c>
      <c r="B1008">
        <v>762</v>
      </c>
      <c r="C1008" t="b">
        <f t="shared" si="15"/>
        <v>0</v>
      </c>
    </row>
    <row r="1009" spans="1:3" hidden="1" x14ac:dyDescent="0.25">
      <c r="A1009" t="s">
        <v>3229</v>
      </c>
      <c r="B1009">
        <v>763</v>
      </c>
      <c r="C1009" t="b">
        <f t="shared" si="15"/>
        <v>0</v>
      </c>
    </row>
    <row r="1010" spans="1:3" hidden="1" x14ac:dyDescent="0.25">
      <c r="A1010" t="s">
        <v>3230</v>
      </c>
      <c r="B1010">
        <v>764</v>
      </c>
      <c r="C1010" t="b">
        <f t="shared" si="15"/>
        <v>0</v>
      </c>
    </row>
    <row r="1011" spans="1:3" hidden="1" x14ac:dyDescent="0.25">
      <c r="A1011" t="s">
        <v>4578</v>
      </c>
      <c r="B1011">
        <v>2235</v>
      </c>
      <c r="C1011" t="b">
        <f t="shared" si="15"/>
        <v>0</v>
      </c>
    </row>
    <row r="1012" spans="1:3" hidden="1" x14ac:dyDescent="0.25">
      <c r="A1012" t="s">
        <v>4579</v>
      </c>
      <c r="B1012">
        <v>2236</v>
      </c>
      <c r="C1012" t="b">
        <f t="shared" si="15"/>
        <v>0</v>
      </c>
    </row>
    <row r="1013" spans="1:3" hidden="1" x14ac:dyDescent="0.25">
      <c r="A1013" t="s">
        <v>4580</v>
      </c>
      <c r="B1013">
        <v>2237</v>
      </c>
      <c r="C1013" t="b">
        <f t="shared" si="15"/>
        <v>0</v>
      </c>
    </row>
    <row r="1014" spans="1:3" hidden="1" x14ac:dyDescent="0.25">
      <c r="A1014" t="s">
        <v>4581</v>
      </c>
      <c r="B1014">
        <v>2238</v>
      </c>
      <c r="C1014" t="b">
        <f t="shared" si="15"/>
        <v>0</v>
      </c>
    </row>
    <row r="1015" spans="1:3" hidden="1" x14ac:dyDescent="0.25">
      <c r="A1015" t="s">
        <v>3138</v>
      </c>
      <c r="B1015">
        <v>670</v>
      </c>
      <c r="C1015" t="b">
        <f t="shared" si="15"/>
        <v>0</v>
      </c>
    </row>
    <row r="1016" spans="1:3" hidden="1" x14ac:dyDescent="0.25">
      <c r="A1016" t="s">
        <v>3139</v>
      </c>
      <c r="B1016">
        <v>671</v>
      </c>
      <c r="C1016" t="b">
        <f t="shared" si="15"/>
        <v>0</v>
      </c>
    </row>
    <row r="1017" spans="1:3" hidden="1" x14ac:dyDescent="0.25">
      <c r="A1017" t="s">
        <v>3140</v>
      </c>
      <c r="B1017">
        <v>672</v>
      </c>
      <c r="C1017" t="b">
        <f t="shared" si="15"/>
        <v>0</v>
      </c>
    </row>
    <row r="1018" spans="1:3" hidden="1" x14ac:dyDescent="0.25">
      <c r="A1018" t="s">
        <v>3757</v>
      </c>
      <c r="B1018">
        <v>1330</v>
      </c>
      <c r="C1018" t="b">
        <f t="shared" si="15"/>
        <v>0</v>
      </c>
    </row>
    <row r="1019" spans="1:3" hidden="1" x14ac:dyDescent="0.25">
      <c r="A1019" t="s">
        <v>3758</v>
      </c>
      <c r="B1019">
        <v>1331</v>
      </c>
      <c r="C1019" t="b">
        <f t="shared" si="15"/>
        <v>0</v>
      </c>
    </row>
    <row r="1020" spans="1:3" hidden="1" x14ac:dyDescent="0.25">
      <c r="A1020" t="s">
        <v>3759</v>
      </c>
      <c r="B1020">
        <v>1332</v>
      </c>
      <c r="C1020" t="b">
        <f t="shared" si="15"/>
        <v>0</v>
      </c>
    </row>
    <row r="1021" spans="1:3" hidden="1" x14ac:dyDescent="0.25">
      <c r="A1021" t="s">
        <v>3760</v>
      </c>
      <c r="B1021">
        <v>1333</v>
      </c>
      <c r="C1021" t="b">
        <f t="shared" si="15"/>
        <v>0</v>
      </c>
    </row>
    <row r="1022" spans="1:3" hidden="1" x14ac:dyDescent="0.25">
      <c r="A1022" t="s">
        <v>3761</v>
      </c>
      <c r="B1022">
        <v>1334</v>
      </c>
      <c r="C1022" t="b">
        <f t="shared" si="15"/>
        <v>0</v>
      </c>
    </row>
    <row r="1023" spans="1:3" hidden="1" x14ac:dyDescent="0.25">
      <c r="A1023" t="s">
        <v>3762</v>
      </c>
      <c r="B1023">
        <v>1335</v>
      </c>
      <c r="C1023" t="b">
        <f t="shared" si="15"/>
        <v>0</v>
      </c>
    </row>
    <row r="1024" spans="1:3" hidden="1" x14ac:dyDescent="0.25">
      <c r="A1024" t="s">
        <v>3763</v>
      </c>
      <c r="B1024">
        <v>1336</v>
      </c>
      <c r="C1024" t="b">
        <f t="shared" si="15"/>
        <v>0</v>
      </c>
    </row>
    <row r="1025" spans="1:3" hidden="1" x14ac:dyDescent="0.25">
      <c r="A1025" t="s">
        <v>3764</v>
      </c>
      <c r="B1025">
        <v>1337</v>
      </c>
      <c r="C1025" t="b">
        <f t="shared" si="15"/>
        <v>0</v>
      </c>
    </row>
    <row r="1026" spans="1:3" hidden="1" x14ac:dyDescent="0.25">
      <c r="A1026" t="s">
        <v>3765</v>
      </c>
      <c r="B1026">
        <v>1338</v>
      </c>
      <c r="C1026" t="b">
        <f t="shared" si="15"/>
        <v>0</v>
      </c>
    </row>
    <row r="1027" spans="1:3" hidden="1" x14ac:dyDescent="0.25">
      <c r="A1027" t="s">
        <v>3766</v>
      </c>
      <c r="B1027">
        <v>1339</v>
      </c>
      <c r="C1027" t="b">
        <f t="shared" ref="C1027:C1090" si="16">A1027=A1026</f>
        <v>0</v>
      </c>
    </row>
    <row r="1028" spans="1:3" hidden="1" x14ac:dyDescent="0.25">
      <c r="A1028" t="s">
        <v>3304</v>
      </c>
      <c r="B1028">
        <v>841</v>
      </c>
      <c r="C1028" t="b">
        <f t="shared" si="16"/>
        <v>0</v>
      </c>
    </row>
    <row r="1029" spans="1:3" hidden="1" x14ac:dyDescent="0.25">
      <c r="A1029" t="s">
        <v>3305</v>
      </c>
      <c r="B1029">
        <v>842</v>
      </c>
      <c r="C1029" t="b">
        <f t="shared" si="16"/>
        <v>0</v>
      </c>
    </row>
    <row r="1030" spans="1:3" hidden="1" x14ac:dyDescent="0.25">
      <c r="A1030" t="s">
        <v>3306</v>
      </c>
      <c r="B1030">
        <v>843</v>
      </c>
      <c r="C1030" t="b">
        <f t="shared" si="16"/>
        <v>0</v>
      </c>
    </row>
    <row r="1031" spans="1:3" hidden="1" x14ac:dyDescent="0.25">
      <c r="A1031" t="s">
        <v>3307</v>
      </c>
      <c r="B1031">
        <v>844</v>
      </c>
      <c r="C1031" t="b">
        <f t="shared" si="16"/>
        <v>0</v>
      </c>
    </row>
    <row r="1032" spans="1:3" hidden="1" x14ac:dyDescent="0.25">
      <c r="A1032" t="s">
        <v>3767</v>
      </c>
      <c r="B1032">
        <v>1340</v>
      </c>
      <c r="C1032" t="b">
        <f t="shared" si="16"/>
        <v>0</v>
      </c>
    </row>
    <row r="1033" spans="1:3" hidden="1" x14ac:dyDescent="0.25">
      <c r="A1033" t="s">
        <v>3768</v>
      </c>
      <c r="B1033">
        <v>1341</v>
      </c>
      <c r="C1033" t="b">
        <f t="shared" si="16"/>
        <v>0</v>
      </c>
    </row>
    <row r="1034" spans="1:3" hidden="1" x14ac:dyDescent="0.25">
      <c r="A1034" t="s">
        <v>3769</v>
      </c>
      <c r="B1034">
        <v>1342</v>
      </c>
      <c r="C1034" t="b">
        <f t="shared" si="16"/>
        <v>0</v>
      </c>
    </row>
    <row r="1035" spans="1:3" hidden="1" x14ac:dyDescent="0.25">
      <c r="A1035" t="s">
        <v>2948</v>
      </c>
      <c r="B1035">
        <v>467</v>
      </c>
      <c r="C1035" t="b">
        <f t="shared" si="16"/>
        <v>0</v>
      </c>
    </row>
    <row r="1036" spans="1:3" hidden="1" x14ac:dyDescent="0.25">
      <c r="A1036" t="s">
        <v>4347</v>
      </c>
      <c r="B1036">
        <v>1978</v>
      </c>
      <c r="C1036" t="b">
        <f t="shared" si="16"/>
        <v>0</v>
      </c>
    </row>
    <row r="1037" spans="1:3" hidden="1" x14ac:dyDescent="0.25">
      <c r="A1037" t="s">
        <v>4348</v>
      </c>
      <c r="B1037">
        <v>1979</v>
      </c>
      <c r="C1037" t="b">
        <f t="shared" si="16"/>
        <v>0</v>
      </c>
    </row>
    <row r="1038" spans="1:3" hidden="1" x14ac:dyDescent="0.25">
      <c r="A1038" t="s">
        <v>2968</v>
      </c>
      <c r="B1038">
        <v>489</v>
      </c>
      <c r="C1038" t="b">
        <f t="shared" si="16"/>
        <v>0</v>
      </c>
    </row>
    <row r="1039" spans="1:3" x14ac:dyDescent="0.25">
      <c r="A1039" t="s">
        <v>2968</v>
      </c>
      <c r="B1039">
        <v>537</v>
      </c>
      <c r="C1039" t="b">
        <f t="shared" si="16"/>
        <v>1</v>
      </c>
    </row>
    <row r="1040" spans="1:3" x14ac:dyDescent="0.25">
      <c r="A1040" t="s">
        <v>2968</v>
      </c>
      <c r="B1040">
        <v>845</v>
      </c>
      <c r="C1040" t="b">
        <f t="shared" si="16"/>
        <v>1</v>
      </c>
    </row>
    <row r="1041" spans="1:3" x14ac:dyDescent="0.25">
      <c r="A1041" t="s">
        <v>2968</v>
      </c>
      <c r="B1041">
        <v>980</v>
      </c>
      <c r="C1041" t="b">
        <f t="shared" si="16"/>
        <v>1</v>
      </c>
    </row>
    <row r="1042" spans="1:3" x14ac:dyDescent="0.25">
      <c r="A1042" t="s">
        <v>2968</v>
      </c>
      <c r="B1042">
        <v>1383</v>
      </c>
      <c r="C1042" t="b">
        <f t="shared" si="16"/>
        <v>1</v>
      </c>
    </row>
    <row r="1043" spans="1:3" x14ac:dyDescent="0.25">
      <c r="A1043" t="s">
        <v>2968</v>
      </c>
      <c r="B1043">
        <v>1717</v>
      </c>
      <c r="C1043" t="b">
        <f t="shared" si="16"/>
        <v>1</v>
      </c>
    </row>
    <row r="1044" spans="1:3" x14ac:dyDescent="0.25">
      <c r="A1044" t="s">
        <v>2968</v>
      </c>
      <c r="B1044">
        <v>2113</v>
      </c>
      <c r="C1044" t="b">
        <f t="shared" si="16"/>
        <v>1</v>
      </c>
    </row>
    <row r="1045" spans="1:3" x14ac:dyDescent="0.25">
      <c r="A1045" t="s">
        <v>2968</v>
      </c>
      <c r="B1045">
        <v>2394</v>
      </c>
      <c r="C1045" t="b">
        <f t="shared" si="16"/>
        <v>1</v>
      </c>
    </row>
    <row r="1046" spans="1:3" hidden="1" x14ac:dyDescent="0.25">
      <c r="A1046" t="s">
        <v>3633</v>
      </c>
      <c r="B1046">
        <v>1200</v>
      </c>
      <c r="C1046" t="b">
        <f t="shared" si="16"/>
        <v>0</v>
      </c>
    </row>
    <row r="1047" spans="1:3" hidden="1" x14ac:dyDescent="0.25">
      <c r="A1047" t="s">
        <v>3632</v>
      </c>
      <c r="B1047">
        <v>1199</v>
      </c>
      <c r="C1047" t="b">
        <f t="shared" si="16"/>
        <v>0</v>
      </c>
    </row>
    <row r="1048" spans="1:3" hidden="1" x14ac:dyDescent="0.25">
      <c r="A1048" t="s">
        <v>3334</v>
      </c>
      <c r="B1048">
        <v>874</v>
      </c>
      <c r="C1048" t="b">
        <f t="shared" si="16"/>
        <v>0</v>
      </c>
    </row>
    <row r="1049" spans="1:3" hidden="1" x14ac:dyDescent="0.25">
      <c r="A1049" t="s">
        <v>3335</v>
      </c>
      <c r="B1049">
        <v>875</v>
      </c>
      <c r="C1049" t="b">
        <f t="shared" si="16"/>
        <v>0</v>
      </c>
    </row>
    <row r="1050" spans="1:3" hidden="1" x14ac:dyDescent="0.25">
      <c r="A1050" t="s">
        <v>3333</v>
      </c>
      <c r="B1050">
        <v>873</v>
      </c>
      <c r="C1050" t="b">
        <f t="shared" si="16"/>
        <v>0</v>
      </c>
    </row>
    <row r="1051" spans="1:3" hidden="1" x14ac:dyDescent="0.25">
      <c r="A1051" t="s">
        <v>3770</v>
      </c>
      <c r="B1051">
        <v>1343</v>
      </c>
      <c r="C1051" t="b">
        <f t="shared" si="16"/>
        <v>0</v>
      </c>
    </row>
    <row r="1052" spans="1:3" hidden="1" x14ac:dyDescent="0.25">
      <c r="A1052" t="s">
        <v>3068</v>
      </c>
      <c r="B1052">
        <v>597</v>
      </c>
      <c r="C1052" t="b">
        <f t="shared" si="16"/>
        <v>0</v>
      </c>
    </row>
    <row r="1053" spans="1:3" hidden="1" x14ac:dyDescent="0.25">
      <c r="A1053" t="s">
        <v>3070</v>
      </c>
      <c r="B1053">
        <v>599</v>
      </c>
      <c r="C1053" t="b">
        <f t="shared" si="16"/>
        <v>0</v>
      </c>
    </row>
    <row r="1054" spans="1:3" hidden="1" x14ac:dyDescent="0.25">
      <c r="A1054" t="s">
        <v>3071</v>
      </c>
      <c r="B1054">
        <v>600</v>
      </c>
      <c r="C1054" t="b">
        <f t="shared" si="16"/>
        <v>0</v>
      </c>
    </row>
    <row r="1055" spans="1:3" hidden="1" x14ac:dyDescent="0.25">
      <c r="A1055" t="s">
        <v>3069</v>
      </c>
      <c r="B1055">
        <v>598</v>
      </c>
      <c r="C1055" t="b">
        <f t="shared" si="16"/>
        <v>0</v>
      </c>
    </row>
    <row r="1056" spans="1:3" hidden="1" x14ac:dyDescent="0.25">
      <c r="A1056" t="s">
        <v>5077</v>
      </c>
      <c r="B1056">
        <v>2780</v>
      </c>
      <c r="C1056" t="b">
        <f t="shared" si="16"/>
        <v>0</v>
      </c>
    </row>
    <row r="1057" spans="1:3" hidden="1" x14ac:dyDescent="0.25">
      <c r="A1057" t="s">
        <v>3841</v>
      </c>
      <c r="B1057">
        <v>1420</v>
      </c>
      <c r="C1057" t="b">
        <f t="shared" si="16"/>
        <v>0</v>
      </c>
    </row>
    <row r="1058" spans="1:3" hidden="1" x14ac:dyDescent="0.25">
      <c r="A1058" t="s">
        <v>3842</v>
      </c>
      <c r="B1058">
        <v>1421</v>
      </c>
      <c r="C1058" t="b">
        <f t="shared" si="16"/>
        <v>0</v>
      </c>
    </row>
    <row r="1059" spans="1:3" hidden="1" x14ac:dyDescent="0.25">
      <c r="A1059" t="s">
        <v>4131</v>
      </c>
      <c r="B1059">
        <v>1743</v>
      </c>
      <c r="C1059" t="b">
        <f t="shared" si="16"/>
        <v>0</v>
      </c>
    </row>
    <row r="1060" spans="1:3" hidden="1" x14ac:dyDescent="0.25">
      <c r="A1060" t="s">
        <v>3308</v>
      </c>
      <c r="B1060">
        <v>846</v>
      </c>
      <c r="C1060" t="b">
        <f t="shared" si="16"/>
        <v>0</v>
      </c>
    </row>
    <row r="1061" spans="1:3" hidden="1" x14ac:dyDescent="0.25">
      <c r="A1061" t="s">
        <v>3939</v>
      </c>
      <c r="B1061">
        <v>1526</v>
      </c>
      <c r="C1061" t="b">
        <f t="shared" si="16"/>
        <v>0</v>
      </c>
    </row>
    <row r="1062" spans="1:3" hidden="1" x14ac:dyDescent="0.25">
      <c r="A1062" t="s">
        <v>2581</v>
      </c>
      <c r="B1062">
        <v>87</v>
      </c>
      <c r="C1062" t="b">
        <f t="shared" si="16"/>
        <v>0</v>
      </c>
    </row>
    <row r="1063" spans="1:3" hidden="1" x14ac:dyDescent="0.25">
      <c r="A1063" t="s">
        <v>3050</v>
      </c>
      <c r="B1063">
        <v>577</v>
      </c>
      <c r="C1063" t="b">
        <f t="shared" si="16"/>
        <v>0</v>
      </c>
    </row>
    <row r="1064" spans="1:3" hidden="1" x14ac:dyDescent="0.25">
      <c r="A1064" t="s">
        <v>4169</v>
      </c>
      <c r="B1064">
        <v>1784</v>
      </c>
      <c r="C1064" t="b">
        <f t="shared" si="16"/>
        <v>0</v>
      </c>
    </row>
    <row r="1065" spans="1:3" hidden="1" x14ac:dyDescent="0.25">
      <c r="A1065" t="s">
        <v>4795</v>
      </c>
      <c r="B1065">
        <v>2476</v>
      </c>
      <c r="C1065" t="b">
        <f t="shared" si="16"/>
        <v>0</v>
      </c>
    </row>
    <row r="1066" spans="1:3" hidden="1" x14ac:dyDescent="0.25">
      <c r="A1066" t="s">
        <v>4259</v>
      </c>
      <c r="B1066">
        <v>1883</v>
      </c>
      <c r="C1066" t="b">
        <f t="shared" si="16"/>
        <v>0</v>
      </c>
    </row>
    <row r="1067" spans="1:3" hidden="1" x14ac:dyDescent="0.25">
      <c r="A1067" t="s">
        <v>4260</v>
      </c>
      <c r="B1067">
        <v>1884</v>
      </c>
      <c r="C1067" t="b">
        <f t="shared" si="16"/>
        <v>0</v>
      </c>
    </row>
    <row r="1068" spans="1:3" hidden="1" x14ac:dyDescent="0.25">
      <c r="A1068" t="s">
        <v>3168</v>
      </c>
      <c r="B1068">
        <v>701</v>
      </c>
      <c r="C1068" t="b">
        <f t="shared" si="16"/>
        <v>0</v>
      </c>
    </row>
    <row r="1069" spans="1:3" hidden="1" x14ac:dyDescent="0.25">
      <c r="A1069" t="s">
        <v>3014</v>
      </c>
      <c r="B1069">
        <v>538</v>
      </c>
      <c r="C1069" t="b">
        <f t="shared" si="16"/>
        <v>0</v>
      </c>
    </row>
    <row r="1070" spans="1:3" x14ac:dyDescent="0.25">
      <c r="A1070" t="s">
        <v>3014</v>
      </c>
      <c r="B1070">
        <v>2202</v>
      </c>
      <c r="C1070" t="b">
        <f t="shared" si="16"/>
        <v>1</v>
      </c>
    </row>
    <row r="1071" spans="1:3" hidden="1" x14ac:dyDescent="0.25">
      <c r="A1071" t="s">
        <v>3264</v>
      </c>
      <c r="B1071">
        <v>799</v>
      </c>
      <c r="C1071" t="b">
        <f t="shared" si="16"/>
        <v>0</v>
      </c>
    </row>
    <row r="1072" spans="1:3" hidden="1" x14ac:dyDescent="0.25">
      <c r="A1072" t="s">
        <v>5078</v>
      </c>
      <c r="B1072">
        <v>2781</v>
      </c>
      <c r="C1072" t="b">
        <f t="shared" si="16"/>
        <v>0</v>
      </c>
    </row>
    <row r="1073" spans="1:3" hidden="1" x14ac:dyDescent="0.25">
      <c r="A1073" t="s">
        <v>5079</v>
      </c>
      <c r="B1073">
        <v>2782</v>
      </c>
      <c r="C1073" t="b">
        <f t="shared" si="16"/>
        <v>0</v>
      </c>
    </row>
    <row r="1074" spans="1:3" hidden="1" x14ac:dyDescent="0.25">
      <c r="A1074" t="s">
        <v>5080</v>
      </c>
      <c r="B1074">
        <v>2783</v>
      </c>
      <c r="C1074" t="b">
        <f t="shared" si="16"/>
        <v>0</v>
      </c>
    </row>
    <row r="1075" spans="1:3" hidden="1" x14ac:dyDescent="0.25">
      <c r="A1075" t="s">
        <v>5081</v>
      </c>
      <c r="B1075">
        <v>2784</v>
      </c>
      <c r="C1075" t="b">
        <f t="shared" si="16"/>
        <v>0</v>
      </c>
    </row>
    <row r="1076" spans="1:3" hidden="1" x14ac:dyDescent="0.25">
      <c r="A1076" t="s">
        <v>5082</v>
      </c>
      <c r="B1076">
        <v>2785</v>
      </c>
      <c r="C1076" t="b">
        <f t="shared" si="16"/>
        <v>0</v>
      </c>
    </row>
    <row r="1077" spans="1:3" hidden="1" x14ac:dyDescent="0.25">
      <c r="A1077" t="s">
        <v>5083</v>
      </c>
      <c r="B1077">
        <v>2786</v>
      </c>
      <c r="C1077" t="b">
        <f t="shared" si="16"/>
        <v>0</v>
      </c>
    </row>
    <row r="1078" spans="1:3" hidden="1" x14ac:dyDescent="0.25">
      <c r="A1078" t="s">
        <v>5084</v>
      </c>
      <c r="B1078">
        <v>2787</v>
      </c>
      <c r="C1078" t="b">
        <f t="shared" si="16"/>
        <v>0</v>
      </c>
    </row>
    <row r="1079" spans="1:3" hidden="1" x14ac:dyDescent="0.25">
      <c r="A1079" t="s">
        <v>5085</v>
      </c>
      <c r="B1079">
        <v>2788</v>
      </c>
      <c r="C1079" t="b">
        <f t="shared" si="16"/>
        <v>0</v>
      </c>
    </row>
    <row r="1080" spans="1:3" hidden="1" x14ac:dyDescent="0.25">
      <c r="A1080" t="s">
        <v>3265</v>
      </c>
      <c r="B1080">
        <v>800</v>
      </c>
      <c r="C1080" t="b">
        <f t="shared" si="16"/>
        <v>0</v>
      </c>
    </row>
    <row r="1081" spans="1:3" hidden="1" x14ac:dyDescent="0.25">
      <c r="A1081" t="s">
        <v>4399</v>
      </c>
      <c r="B1081">
        <v>2033</v>
      </c>
      <c r="C1081" t="b">
        <f t="shared" si="16"/>
        <v>0</v>
      </c>
    </row>
    <row r="1082" spans="1:3" hidden="1" x14ac:dyDescent="0.25">
      <c r="A1082" t="s">
        <v>2785</v>
      </c>
      <c r="B1082">
        <v>297</v>
      </c>
      <c r="C1082" t="b">
        <f t="shared" si="16"/>
        <v>0</v>
      </c>
    </row>
    <row r="1083" spans="1:3" hidden="1" x14ac:dyDescent="0.25">
      <c r="A1083" t="s">
        <v>3682</v>
      </c>
      <c r="B1083">
        <v>1250</v>
      </c>
      <c r="C1083" t="b">
        <f t="shared" si="16"/>
        <v>0</v>
      </c>
    </row>
    <row r="1084" spans="1:3" hidden="1" x14ac:dyDescent="0.25">
      <c r="A1084" t="s">
        <v>2667</v>
      </c>
      <c r="B1084">
        <v>177</v>
      </c>
      <c r="C1084" t="b">
        <f t="shared" si="16"/>
        <v>0</v>
      </c>
    </row>
    <row r="1085" spans="1:3" hidden="1" x14ac:dyDescent="0.25">
      <c r="A1085" t="s">
        <v>2545</v>
      </c>
      <c r="B1085">
        <v>50</v>
      </c>
      <c r="C1085" t="b">
        <f t="shared" si="16"/>
        <v>0</v>
      </c>
    </row>
    <row r="1086" spans="1:3" hidden="1" x14ac:dyDescent="0.25">
      <c r="A1086" t="s">
        <v>4301</v>
      </c>
      <c r="B1086">
        <v>1929</v>
      </c>
      <c r="C1086" t="b">
        <f t="shared" si="16"/>
        <v>0</v>
      </c>
    </row>
    <row r="1087" spans="1:3" hidden="1" x14ac:dyDescent="0.25">
      <c r="A1087" t="s">
        <v>3843</v>
      </c>
      <c r="B1087">
        <v>1422</v>
      </c>
      <c r="C1087" t="b">
        <f t="shared" si="16"/>
        <v>0</v>
      </c>
    </row>
    <row r="1088" spans="1:3" hidden="1" x14ac:dyDescent="0.25">
      <c r="A1088" t="s">
        <v>2786</v>
      </c>
      <c r="B1088">
        <v>298</v>
      </c>
      <c r="C1088" t="b">
        <f t="shared" si="16"/>
        <v>0</v>
      </c>
    </row>
    <row r="1089" spans="1:3" hidden="1" x14ac:dyDescent="0.25">
      <c r="A1089" t="s">
        <v>4519</v>
      </c>
      <c r="B1089">
        <v>2162</v>
      </c>
      <c r="C1089" t="b">
        <f t="shared" si="16"/>
        <v>0</v>
      </c>
    </row>
    <row r="1090" spans="1:3" hidden="1" x14ac:dyDescent="0.25">
      <c r="A1090" t="s">
        <v>3940</v>
      </c>
      <c r="B1090">
        <v>1527</v>
      </c>
      <c r="C1090" t="b">
        <f t="shared" si="16"/>
        <v>0</v>
      </c>
    </row>
    <row r="1091" spans="1:3" hidden="1" x14ac:dyDescent="0.25">
      <c r="A1091" t="s">
        <v>3941</v>
      </c>
      <c r="B1091">
        <v>1528</v>
      </c>
      <c r="C1091" t="b">
        <f t="shared" ref="C1091:C1154" si="17">A1091=A1090</f>
        <v>0</v>
      </c>
    </row>
    <row r="1092" spans="1:3" hidden="1" x14ac:dyDescent="0.25">
      <c r="A1092" t="s">
        <v>2546</v>
      </c>
      <c r="B1092">
        <v>51</v>
      </c>
      <c r="C1092" t="b">
        <f t="shared" si="17"/>
        <v>0</v>
      </c>
    </row>
    <row r="1093" spans="1:3" hidden="1" x14ac:dyDescent="0.25">
      <c r="A1093" t="s">
        <v>3336</v>
      </c>
      <c r="B1093">
        <v>876</v>
      </c>
      <c r="C1093" t="b">
        <f t="shared" si="17"/>
        <v>0</v>
      </c>
    </row>
    <row r="1094" spans="1:3" x14ac:dyDescent="0.25">
      <c r="A1094" t="s">
        <v>3336</v>
      </c>
      <c r="B1094">
        <v>2622</v>
      </c>
      <c r="C1094" t="b">
        <f t="shared" si="17"/>
        <v>1</v>
      </c>
    </row>
    <row r="1095" spans="1:3" hidden="1" x14ac:dyDescent="0.25">
      <c r="A1095" t="s">
        <v>3141</v>
      </c>
      <c r="B1095">
        <v>673</v>
      </c>
      <c r="C1095" t="b">
        <f t="shared" si="17"/>
        <v>0</v>
      </c>
    </row>
    <row r="1096" spans="1:3" x14ac:dyDescent="0.25">
      <c r="A1096" t="s">
        <v>3141</v>
      </c>
      <c r="B1096">
        <v>1718</v>
      </c>
      <c r="C1096" t="b">
        <f t="shared" si="17"/>
        <v>1</v>
      </c>
    </row>
    <row r="1097" spans="1:3" hidden="1" x14ac:dyDescent="0.25">
      <c r="A1097" t="s">
        <v>2709</v>
      </c>
      <c r="B1097">
        <v>219</v>
      </c>
      <c r="C1097" t="b">
        <f t="shared" si="17"/>
        <v>0</v>
      </c>
    </row>
    <row r="1098" spans="1:3" hidden="1" x14ac:dyDescent="0.25">
      <c r="A1098" t="s">
        <v>5086</v>
      </c>
      <c r="B1098">
        <v>2789</v>
      </c>
      <c r="C1098" t="b">
        <f t="shared" si="17"/>
        <v>0</v>
      </c>
    </row>
    <row r="1099" spans="1:3" hidden="1" x14ac:dyDescent="0.25">
      <c r="A1099" t="s">
        <v>3394</v>
      </c>
      <c r="B1099">
        <v>939</v>
      </c>
      <c r="C1099" t="b">
        <f t="shared" si="17"/>
        <v>0</v>
      </c>
    </row>
    <row r="1100" spans="1:3" hidden="1" x14ac:dyDescent="0.25">
      <c r="A1100" t="s">
        <v>3396</v>
      </c>
      <c r="B1100">
        <v>941</v>
      </c>
      <c r="C1100" t="b">
        <f t="shared" si="17"/>
        <v>0</v>
      </c>
    </row>
    <row r="1101" spans="1:3" hidden="1" x14ac:dyDescent="0.25">
      <c r="A1101" t="s">
        <v>3395</v>
      </c>
      <c r="B1101">
        <v>940</v>
      </c>
      <c r="C1101" t="b">
        <f t="shared" si="17"/>
        <v>0</v>
      </c>
    </row>
    <row r="1102" spans="1:3" hidden="1" x14ac:dyDescent="0.25">
      <c r="A1102" t="s">
        <v>3942</v>
      </c>
      <c r="B1102">
        <v>1529</v>
      </c>
      <c r="C1102" t="b">
        <f t="shared" si="17"/>
        <v>0</v>
      </c>
    </row>
    <row r="1103" spans="1:3" hidden="1" x14ac:dyDescent="0.25">
      <c r="A1103" t="s">
        <v>3634</v>
      </c>
      <c r="B1103">
        <v>1201</v>
      </c>
      <c r="C1103" t="b">
        <f t="shared" si="17"/>
        <v>0</v>
      </c>
    </row>
    <row r="1104" spans="1:3" hidden="1" x14ac:dyDescent="0.25">
      <c r="A1104" t="s">
        <v>3635</v>
      </c>
      <c r="B1104">
        <v>1202</v>
      </c>
      <c r="C1104" t="b">
        <f t="shared" si="17"/>
        <v>0</v>
      </c>
    </row>
    <row r="1105" spans="1:3" hidden="1" x14ac:dyDescent="0.25">
      <c r="A1105" t="s">
        <v>3431</v>
      </c>
      <c r="B1105">
        <v>981</v>
      </c>
      <c r="C1105" t="b">
        <f t="shared" si="17"/>
        <v>0</v>
      </c>
    </row>
    <row r="1106" spans="1:3" hidden="1" x14ac:dyDescent="0.25">
      <c r="A1106" t="s">
        <v>3432</v>
      </c>
      <c r="B1106">
        <v>982</v>
      </c>
      <c r="C1106" t="b">
        <f t="shared" si="17"/>
        <v>0</v>
      </c>
    </row>
    <row r="1107" spans="1:3" hidden="1" x14ac:dyDescent="0.25">
      <c r="A1107" t="s">
        <v>3433</v>
      </c>
      <c r="B1107">
        <v>983</v>
      </c>
      <c r="C1107" t="b">
        <f t="shared" si="17"/>
        <v>0</v>
      </c>
    </row>
    <row r="1108" spans="1:3" hidden="1" x14ac:dyDescent="0.25">
      <c r="A1108" t="s">
        <v>3169</v>
      </c>
      <c r="B1108">
        <v>702</v>
      </c>
      <c r="C1108" t="b">
        <f t="shared" si="17"/>
        <v>0</v>
      </c>
    </row>
    <row r="1109" spans="1:3" hidden="1" x14ac:dyDescent="0.25">
      <c r="A1109" t="s">
        <v>3170</v>
      </c>
      <c r="B1109">
        <v>703</v>
      </c>
      <c r="C1109" t="b">
        <f t="shared" si="17"/>
        <v>0</v>
      </c>
    </row>
    <row r="1110" spans="1:3" hidden="1" x14ac:dyDescent="0.25">
      <c r="A1110" t="s">
        <v>3171</v>
      </c>
      <c r="B1110">
        <v>704</v>
      </c>
      <c r="C1110" t="b">
        <f t="shared" si="17"/>
        <v>0</v>
      </c>
    </row>
    <row r="1111" spans="1:3" hidden="1" x14ac:dyDescent="0.25">
      <c r="A1111" t="s">
        <v>4582</v>
      </c>
      <c r="B1111">
        <v>2239</v>
      </c>
      <c r="C1111" t="b">
        <f t="shared" si="17"/>
        <v>0</v>
      </c>
    </row>
    <row r="1112" spans="1:3" hidden="1" x14ac:dyDescent="0.25">
      <c r="A1112" t="s">
        <v>3172</v>
      </c>
      <c r="B1112">
        <v>705</v>
      </c>
      <c r="C1112" t="b">
        <f t="shared" si="17"/>
        <v>0</v>
      </c>
    </row>
    <row r="1113" spans="1:3" hidden="1" x14ac:dyDescent="0.25">
      <c r="A1113" t="s">
        <v>5158</v>
      </c>
      <c r="B1113">
        <v>2864</v>
      </c>
      <c r="C1113" t="b">
        <f t="shared" si="17"/>
        <v>0</v>
      </c>
    </row>
    <row r="1114" spans="1:3" hidden="1" x14ac:dyDescent="0.25">
      <c r="A1114" t="s">
        <v>5087</v>
      </c>
      <c r="B1114">
        <v>2790</v>
      </c>
      <c r="C1114" t="b">
        <f t="shared" si="17"/>
        <v>0</v>
      </c>
    </row>
    <row r="1115" spans="1:3" hidden="1" x14ac:dyDescent="0.25">
      <c r="A1115" t="s">
        <v>5159</v>
      </c>
      <c r="B1115">
        <v>2865</v>
      </c>
      <c r="C1115" t="b">
        <f t="shared" si="17"/>
        <v>0</v>
      </c>
    </row>
    <row r="1116" spans="1:3" hidden="1" x14ac:dyDescent="0.25">
      <c r="A1116" t="s">
        <v>4146</v>
      </c>
      <c r="B1116">
        <v>1760</v>
      </c>
      <c r="C1116" t="b">
        <f t="shared" si="17"/>
        <v>0</v>
      </c>
    </row>
    <row r="1117" spans="1:3" hidden="1" x14ac:dyDescent="0.25">
      <c r="A1117" t="s">
        <v>3015</v>
      </c>
      <c r="B1117">
        <v>539</v>
      </c>
      <c r="C1117" t="b">
        <f t="shared" si="17"/>
        <v>0</v>
      </c>
    </row>
    <row r="1118" spans="1:3" hidden="1" x14ac:dyDescent="0.25">
      <c r="A1118" t="s">
        <v>4005</v>
      </c>
      <c r="B1118">
        <v>1599</v>
      </c>
      <c r="C1118" t="b">
        <f t="shared" si="17"/>
        <v>0</v>
      </c>
    </row>
    <row r="1119" spans="1:3" hidden="1" x14ac:dyDescent="0.25">
      <c r="A1119" t="s">
        <v>4006</v>
      </c>
      <c r="B1119">
        <v>1600</v>
      </c>
      <c r="C1119" t="b">
        <f t="shared" si="17"/>
        <v>0</v>
      </c>
    </row>
    <row r="1120" spans="1:3" hidden="1" x14ac:dyDescent="0.25">
      <c r="A1120" t="s">
        <v>4007</v>
      </c>
      <c r="B1120">
        <v>1601</v>
      </c>
      <c r="C1120" t="b">
        <f t="shared" si="17"/>
        <v>0</v>
      </c>
    </row>
    <row r="1121" spans="1:3" hidden="1" x14ac:dyDescent="0.25">
      <c r="A1121" t="s">
        <v>3016</v>
      </c>
      <c r="B1121">
        <v>540</v>
      </c>
      <c r="C1121" t="b">
        <f t="shared" si="17"/>
        <v>0</v>
      </c>
    </row>
    <row r="1122" spans="1:3" hidden="1" x14ac:dyDescent="0.25">
      <c r="A1122" t="s">
        <v>3017</v>
      </c>
      <c r="B1122">
        <v>541</v>
      </c>
      <c r="C1122" t="b">
        <f t="shared" si="17"/>
        <v>0</v>
      </c>
    </row>
    <row r="1123" spans="1:3" hidden="1" x14ac:dyDescent="0.25">
      <c r="A1123" t="s">
        <v>2502</v>
      </c>
      <c r="B1123">
        <v>6</v>
      </c>
      <c r="C1123" t="b">
        <f t="shared" si="17"/>
        <v>0</v>
      </c>
    </row>
    <row r="1124" spans="1:3" hidden="1" x14ac:dyDescent="0.25">
      <c r="A1124" t="s">
        <v>2503</v>
      </c>
      <c r="B1124">
        <v>7</v>
      </c>
      <c r="C1124" t="b">
        <f t="shared" si="17"/>
        <v>0</v>
      </c>
    </row>
    <row r="1125" spans="1:3" hidden="1" x14ac:dyDescent="0.25">
      <c r="A1125" t="s">
        <v>4477</v>
      </c>
      <c r="B1125">
        <v>2114</v>
      </c>
      <c r="C1125" t="b">
        <f t="shared" si="17"/>
        <v>0</v>
      </c>
    </row>
    <row r="1126" spans="1:3" hidden="1" x14ac:dyDescent="0.25">
      <c r="A1126" t="s">
        <v>4479</v>
      </c>
      <c r="B1126">
        <v>2116</v>
      </c>
      <c r="C1126" t="b">
        <f t="shared" si="17"/>
        <v>0</v>
      </c>
    </row>
    <row r="1127" spans="1:3" hidden="1" x14ac:dyDescent="0.25">
      <c r="A1127" t="s">
        <v>4480</v>
      </c>
      <c r="B1127">
        <v>2117</v>
      </c>
      <c r="C1127" t="b">
        <f t="shared" si="17"/>
        <v>0</v>
      </c>
    </row>
    <row r="1128" spans="1:3" hidden="1" x14ac:dyDescent="0.25">
      <c r="A1128" t="s">
        <v>4478</v>
      </c>
      <c r="B1128">
        <v>2115</v>
      </c>
      <c r="C1128" t="b">
        <f t="shared" si="17"/>
        <v>0</v>
      </c>
    </row>
    <row r="1129" spans="1:3" hidden="1" x14ac:dyDescent="0.25">
      <c r="A1129" t="s">
        <v>4925</v>
      </c>
      <c r="B1129">
        <v>2623</v>
      </c>
      <c r="C1129" t="b">
        <f t="shared" si="17"/>
        <v>0</v>
      </c>
    </row>
    <row r="1130" spans="1:3" hidden="1" x14ac:dyDescent="0.25">
      <c r="A1130" t="s">
        <v>4927</v>
      </c>
      <c r="B1130">
        <v>2625</v>
      </c>
      <c r="C1130" t="b">
        <f t="shared" si="17"/>
        <v>0</v>
      </c>
    </row>
    <row r="1131" spans="1:3" hidden="1" x14ac:dyDescent="0.25">
      <c r="A1131" t="s">
        <v>4928</v>
      </c>
      <c r="B1131">
        <v>2626</v>
      </c>
      <c r="C1131" t="b">
        <f t="shared" si="17"/>
        <v>0</v>
      </c>
    </row>
    <row r="1132" spans="1:3" hidden="1" x14ac:dyDescent="0.25">
      <c r="A1132" t="s">
        <v>4926</v>
      </c>
      <c r="B1132">
        <v>2624</v>
      </c>
      <c r="C1132" t="b">
        <f t="shared" si="17"/>
        <v>0</v>
      </c>
    </row>
    <row r="1133" spans="1:3" hidden="1" x14ac:dyDescent="0.25">
      <c r="A1133" t="s">
        <v>3944</v>
      </c>
      <c r="B1133">
        <v>1531</v>
      </c>
      <c r="C1133" t="b">
        <f t="shared" si="17"/>
        <v>0</v>
      </c>
    </row>
    <row r="1134" spans="1:3" hidden="1" x14ac:dyDescent="0.25">
      <c r="A1134" t="s">
        <v>3943</v>
      </c>
      <c r="B1134">
        <v>1530</v>
      </c>
      <c r="C1134" t="b">
        <f t="shared" si="17"/>
        <v>0</v>
      </c>
    </row>
    <row r="1135" spans="1:3" hidden="1" x14ac:dyDescent="0.25">
      <c r="A1135" t="s">
        <v>2668</v>
      </c>
      <c r="B1135">
        <v>178</v>
      </c>
      <c r="C1135" t="b">
        <f t="shared" si="17"/>
        <v>0</v>
      </c>
    </row>
    <row r="1136" spans="1:3" hidden="1" x14ac:dyDescent="0.25">
      <c r="A1136" t="s">
        <v>2669</v>
      </c>
      <c r="B1136">
        <v>179</v>
      </c>
      <c r="C1136" t="b">
        <f t="shared" si="17"/>
        <v>0</v>
      </c>
    </row>
    <row r="1137" spans="1:3" hidden="1" x14ac:dyDescent="0.25">
      <c r="A1137" t="s">
        <v>3018</v>
      </c>
      <c r="B1137">
        <v>542</v>
      </c>
      <c r="C1137" t="b">
        <f t="shared" si="17"/>
        <v>0</v>
      </c>
    </row>
    <row r="1138" spans="1:3" hidden="1" x14ac:dyDescent="0.25">
      <c r="A1138" t="s">
        <v>2504</v>
      </c>
      <c r="B1138">
        <v>8</v>
      </c>
      <c r="C1138" t="b">
        <f t="shared" si="17"/>
        <v>0</v>
      </c>
    </row>
    <row r="1139" spans="1:3" hidden="1" x14ac:dyDescent="0.25">
      <c r="A1139" t="s">
        <v>3266</v>
      </c>
      <c r="B1139">
        <v>801</v>
      </c>
      <c r="C1139" t="b">
        <f t="shared" si="17"/>
        <v>0</v>
      </c>
    </row>
    <row r="1140" spans="1:3" hidden="1" x14ac:dyDescent="0.25">
      <c r="A1140" t="s">
        <v>2949</v>
      </c>
      <c r="B1140">
        <v>468</v>
      </c>
      <c r="C1140" t="b">
        <f t="shared" si="17"/>
        <v>0</v>
      </c>
    </row>
    <row r="1141" spans="1:3" x14ac:dyDescent="0.25">
      <c r="A1141" t="s">
        <v>2949</v>
      </c>
      <c r="B1141">
        <v>543</v>
      </c>
      <c r="C1141" t="b">
        <f t="shared" si="17"/>
        <v>1</v>
      </c>
    </row>
    <row r="1142" spans="1:3" x14ac:dyDescent="0.25">
      <c r="A1142" t="s">
        <v>2949</v>
      </c>
      <c r="B1142">
        <v>2216</v>
      </c>
      <c r="C1142" t="b">
        <f t="shared" si="17"/>
        <v>1</v>
      </c>
    </row>
    <row r="1143" spans="1:3" hidden="1" x14ac:dyDescent="0.25">
      <c r="A1143" t="s">
        <v>4400</v>
      </c>
      <c r="B1143">
        <v>2034</v>
      </c>
      <c r="C1143" t="b">
        <f t="shared" si="17"/>
        <v>0</v>
      </c>
    </row>
    <row r="1144" spans="1:3" hidden="1" x14ac:dyDescent="0.25">
      <c r="A1144" t="s">
        <v>4401</v>
      </c>
      <c r="B1144">
        <v>2035</v>
      </c>
      <c r="C1144" t="b">
        <f t="shared" si="17"/>
        <v>0</v>
      </c>
    </row>
    <row r="1145" spans="1:3" hidden="1" x14ac:dyDescent="0.25">
      <c r="A1145" t="s">
        <v>4843</v>
      </c>
      <c r="B1145">
        <v>2529</v>
      </c>
      <c r="C1145" t="b">
        <f t="shared" si="17"/>
        <v>0</v>
      </c>
    </row>
    <row r="1146" spans="1:3" hidden="1" x14ac:dyDescent="0.25">
      <c r="A1146" t="s">
        <v>4302</v>
      </c>
      <c r="B1146">
        <v>1930</v>
      </c>
      <c r="C1146" t="b">
        <f t="shared" si="17"/>
        <v>0</v>
      </c>
    </row>
    <row r="1147" spans="1:3" hidden="1" x14ac:dyDescent="0.25">
      <c r="A1147" t="s">
        <v>2547</v>
      </c>
      <c r="B1147">
        <v>52</v>
      </c>
      <c r="C1147" t="b">
        <f t="shared" si="17"/>
        <v>0</v>
      </c>
    </row>
    <row r="1148" spans="1:3" hidden="1" x14ac:dyDescent="0.25">
      <c r="A1148" t="s">
        <v>2969</v>
      </c>
      <c r="B1148">
        <v>490</v>
      </c>
      <c r="C1148" t="b">
        <f t="shared" si="17"/>
        <v>0</v>
      </c>
    </row>
    <row r="1149" spans="1:3" hidden="1" x14ac:dyDescent="0.25">
      <c r="A1149" t="s">
        <v>2605</v>
      </c>
      <c r="B1149">
        <v>112</v>
      </c>
      <c r="C1149" t="b">
        <f t="shared" si="17"/>
        <v>0</v>
      </c>
    </row>
    <row r="1150" spans="1:3" hidden="1" x14ac:dyDescent="0.25">
      <c r="A1150" t="s">
        <v>3585</v>
      </c>
      <c r="B1150">
        <v>1146</v>
      </c>
      <c r="C1150" t="b">
        <f t="shared" si="17"/>
        <v>0</v>
      </c>
    </row>
    <row r="1151" spans="1:3" hidden="1" x14ac:dyDescent="0.25">
      <c r="A1151" t="s">
        <v>5160</v>
      </c>
      <c r="B1151">
        <v>2866</v>
      </c>
      <c r="C1151" t="b">
        <f t="shared" si="17"/>
        <v>0</v>
      </c>
    </row>
    <row r="1152" spans="1:3" hidden="1" x14ac:dyDescent="0.25">
      <c r="A1152" t="s">
        <v>3977</v>
      </c>
      <c r="B1152">
        <v>1568</v>
      </c>
      <c r="C1152" t="b">
        <f t="shared" si="17"/>
        <v>0</v>
      </c>
    </row>
    <row r="1153" spans="1:3" hidden="1" x14ac:dyDescent="0.25">
      <c r="A1153" t="s">
        <v>2548</v>
      </c>
      <c r="B1153">
        <v>53</v>
      </c>
      <c r="C1153" t="b">
        <f t="shared" si="17"/>
        <v>0</v>
      </c>
    </row>
    <row r="1154" spans="1:3" hidden="1" x14ac:dyDescent="0.25">
      <c r="A1154" t="s">
        <v>3636</v>
      </c>
      <c r="B1154">
        <v>1203</v>
      </c>
      <c r="C1154" t="b">
        <f t="shared" si="17"/>
        <v>0</v>
      </c>
    </row>
    <row r="1155" spans="1:3" hidden="1" x14ac:dyDescent="0.25">
      <c r="A1155" t="s">
        <v>4147</v>
      </c>
      <c r="B1155">
        <v>1761</v>
      </c>
      <c r="C1155" t="b">
        <f t="shared" ref="C1155:C1218" si="18">A1155=A1154</f>
        <v>0</v>
      </c>
    </row>
    <row r="1156" spans="1:3" hidden="1" x14ac:dyDescent="0.25">
      <c r="A1156" t="s">
        <v>4583</v>
      </c>
      <c r="B1156">
        <v>2240</v>
      </c>
      <c r="C1156" t="b">
        <f t="shared" si="18"/>
        <v>0</v>
      </c>
    </row>
    <row r="1157" spans="1:3" hidden="1" x14ac:dyDescent="0.25">
      <c r="A1157" t="s">
        <v>4533</v>
      </c>
      <c r="B1157">
        <v>2178</v>
      </c>
      <c r="C1157" t="b">
        <f t="shared" si="18"/>
        <v>0</v>
      </c>
    </row>
    <row r="1158" spans="1:3" hidden="1" x14ac:dyDescent="0.25">
      <c r="A1158" t="s">
        <v>4534</v>
      </c>
      <c r="B1158">
        <v>2179</v>
      </c>
      <c r="C1158" t="b">
        <f t="shared" si="18"/>
        <v>0</v>
      </c>
    </row>
    <row r="1159" spans="1:3" hidden="1" x14ac:dyDescent="0.25">
      <c r="A1159" t="s">
        <v>4482</v>
      </c>
      <c r="B1159">
        <v>2119</v>
      </c>
      <c r="C1159" t="b">
        <f t="shared" si="18"/>
        <v>0</v>
      </c>
    </row>
    <row r="1160" spans="1:3" hidden="1" x14ac:dyDescent="0.25">
      <c r="A1160" t="s">
        <v>4349</v>
      </c>
      <c r="B1160">
        <v>1980</v>
      </c>
      <c r="C1160" t="b">
        <f t="shared" si="18"/>
        <v>0</v>
      </c>
    </row>
    <row r="1161" spans="1:3" hidden="1" x14ac:dyDescent="0.25">
      <c r="A1161" t="s">
        <v>4481</v>
      </c>
      <c r="B1161">
        <v>2118</v>
      </c>
      <c r="C1161" t="b">
        <f t="shared" si="18"/>
        <v>0</v>
      </c>
    </row>
    <row r="1162" spans="1:3" hidden="1" x14ac:dyDescent="0.25">
      <c r="A1162" t="s">
        <v>4824</v>
      </c>
      <c r="B1162">
        <v>2508</v>
      </c>
      <c r="C1162" t="b">
        <f t="shared" si="18"/>
        <v>0</v>
      </c>
    </row>
    <row r="1163" spans="1:3" hidden="1" x14ac:dyDescent="0.25">
      <c r="A1163" t="s">
        <v>4823</v>
      </c>
      <c r="B1163">
        <v>2507</v>
      </c>
      <c r="C1163" t="b">
        <f t="shared" si="18"/>
        <v>0</v>
      </c>
    </row>
    <row r="1164" spans="1:3" hidden="1" x14ac:dyDescent="0.25">
      <c r="A1164" t="s">
        <v>4641</v>
      </c>
      <c r="B1164">
        <v>2301</v>
      </c>
      <c r="C1164" t="b">
        <f t="shared" si="18"/>
        <v>0</v>
      </c>
    </row>
    <row r="1165" spans="1:3" hidden="1" x14ac:dyDescent="0.25">
      <c r="A1165" t="s">
        <v>4402</v>
      </c>
      <c r="B1165">
        <v>2036</v>
      </c>
      <c r="C1165" t="b">
        <f t="shared" si="18"/>
        <v>0</v>
      </c>
    </row>
    <row r="1166" spans="1:3" hidden="1" x14ac:dyDescent="0.25">
      <c r="A1166" t="s">
        <v>5088</v>
      </c>
      <c r="B1166">
        <v>2791</v>
      </c>
      <c r="C1166" t="b">
        <f t="shared" si="18"/>
        <v>0</v>
      </c>
    </row>
    <row r="1167" spans="1:3" hidden="1" x14ac:dyDescent="0.25">
      <c r="A1167" t="s">
        <v>5089</v>
      </c>
      <c r="B1167">
        <v>2792</v>
      </c>
      <c r="C1167" t="b">
        <f t="shared" si="18"/>
        <v>0</v>
      </c>
    </row>
    <row r="1168" spans="1:3" hidden="1" x14ac:dyDescent="0.25">
      <c r="A1168" t="s">
        <v>5090</v>
      </c>
      <c r="B1168">
        <v>2793</v>
      </c>
      <c r="C1168" t="b">
        <f t="shared" si="18"/>
        <v>0</v>
      </c>
    </row>
    <row r="1169" spans="1:3" hidden="1" x14ac:dyDescent="0.25">
      <c r="A1169" t="s">
        <v>4403</v>
      </c>
      <c r="B1169">
        <v>2037</v>
      </c>
      <c r="C1169" t="b">
        <f t="shared" si="18"/>
        <v>0</v>
      </c>
    </row>
    <row r="1170" spans="1:3" hidden="1" x14ac:dyDescent="0.25">
      <c r="A1170" t="s">
        <v>4501</v>
      </c>
      <c r="B1170">
        <v>2139</v>
      </c>
      <c r="C1170" t="b">
        <f t="shared" si="18"/>
        <v>0</v>
      </c>
    </row>
    <row r="1171" spans="1:3" hidden="1" x14ac:dyDescent="0.25">
      <c r="A1171" t="s">
        <v>4285</v>
      </c>
      <c r="B1171">
        <v>1911</v>
      </c>
      <c r="C1171" t="b">
        <f t="shared" si="18"/>
        <v>0</v>
      </c>
    </row>
    <row r="1172" spans="1:3" hidden="1" x14ac:dyDescent="0.25">
      <c r="A1172" t="s">
        <v>4283</v>
      </c>
      <c r="B1172">
        <v>1909</v>
      </c>
      <c r="C1172" t="b">
        <f t="shared" si="18"/>
        <v>0</v>
      </c>
    </row>
    <row r="1173" spans="1:3" hidden="1" x14ac:dyDescent="0.25">
      <c r="A1173" t="s">
        <v>4284</v>
      </c>
      <c r="B1173">
        <v>1910</v>
      </c>
      <c r="C1173" t="b">
        <f t="shared" si="18"/>
        <v>0</v>
      </c>
    </row>
    <row r="1174" spans="1:3" hidden="1" x14ac:dyDescent="0.25">
      <c r="A1174" t="s">
        <v>3358</v>
      </c>
      <c r="B1174">
        <v>900</v>
      </c>
      <c r="C1174" t="b">
        <f t="shared" si="18"/>
        <v>0</v>
      </c>
    </row>
    <row r="1175" spans="1:3" hidden="1" x14ac:dyDescent="0.25">
      <c r="A1175" t="s">
        <v>3361</v>
      </c>
      <c r="B1175">
        <v>903</v>
      </c>
      <c r="C1175" t="b">
        <f t="shared" si="18"/>
        <v>0</v>
      </c>
    </row>
    <row r="1176" spans="1:3" hidden="1" x14ac:dyDescent="0.25">
      <c r="A1176" t="s">
        <v>3362</v>
      </c>
      <c r="B1176">
        <v>904</v>
      </c>
      <c r="C1176" t="b">
        <f t="shared" si="18"/>
        <v>0</v>
      </c>
    </row>
    <row r="1177" spans="1:3" hidden="1" x14ac:dyDescent="0.25">
      <c r="A1177" t="s">
        <v>3363</v>
      </c>
      <c r="B1177">
        <v>905</v>
      </c>
      <c r="C1177" t="b">
        <f t="shared" si="18"/>
        <v>0</v>
      </c>
    </row>
    <row r="1178" spans="1:3" hidden="1" x14ac:dyDescent="0.25">
      <c r="A1178" t="s">
        <v>3359</v>
      </c>
      <c r="B1178">
        <v>901</v>
      </c>
      <c r="C1178" t="b">
        <f t="shared" si="18"/>
        <v>0</v>
      </c>
    </row>
    <row r="1179" spans="1:3" hidden="1" x14ac:dyDescent="0.25">
      <c r="A1179" t="s">
        <v>3364</v>
      </c>
      <c r="B1179">
        <v>906</v>
      </c>
      <c r="C1179" t="b">
        <f t="shared" si="18"/>
        <v>0</v>
      </c>
    </row>
    <row r="1180" spans="1:3" hidden="1" x14ac:dyDescent="0.25">
      <c r="A1180" t="s">
        <v>3365</v>
      </c>
      <c r="B1180">
        <v>907</v>
      </c>
      <c r="C1180" t="b">
        <f t="shared" si="18"/>
        <v>0</v>
      </c>
    </row>
    <row r="1181" spans="1:3" hidden="1" x14ac:dyDescent="0.25">
      <c r="A1181" t="s">
        <v>3360</v>
      </c>
      <c r="B1181">
        <v>902</v>
      </c>
      <c r="C1181" t="b">
        <f t="shared" si="18"/>
        <v>0</v>
      </c>
    </row>
    <row r="1182" spans="1:3" hidden="1" x14ac:dyDescent="0.25">
      <c r="A1182" t="s">
        <v>4584</v>
      </c>
      <c r="B1182">
        <v>2241</v>
      </c>
      <c r="C1182" t="b">
        <f t="shared" si="18"/>
        <v>0</v>
      </c>
    </row>
    <row r="1183" spans="1:3" hidden="1" x14ac:dyDescent="0.25">
      <c r="A1183" t="s">
        <v>4585</v>
      </c>
      <c r="B1183">
        <v>2242</v>
      </c>
      <c r="C1183" t="b">
        <f t="shared" si="18"/>
        <v>0</v>
      </c>
    </row>
    <row r="1184" spans="1:3" hidden="1" x14ac:dyDescent="0.25">
      <c r="A1184" t="s">
        <v>4586</v>
      </c>
      <c r="B1184">
        <v>2243</v>
      </c>
      <c r="C1184" t="b">
        <f t="shared" si="18"/>
        <v>0</v>
      </c>
    </row>
    <row r="1185" spans="1:3" hidden="1" x14ac:dyDescent="0.25">
      <c r="A1185" t="s">
        <v>4587</v>
      </c>
      <c r="B1185">
        <v>2244</v>
      </c>
      <c r="C1185" t="b">
        <f t="shared" si="18"/>
        <v>0</v>
      </c>
    </row>
    <row r="1186" spans="1:3" hidden="1" x14ac:dyDescent="0.25">
      <c r="A1186" t="s">
        <v>4588</v>
      </c>
      <c r="B1186">
        <v>2245</v>
      </c>
      <c r="C1186" t="b">
        <f t="shared" si="18"/>
        <v>0</v>
      </c>
    </row>
    <row r="1187" spans="1:3" hidden="1" x14ac:dyDescent="0.25">
      <c r="A1187" t="s">
        <v>4192</v>
      </c>
      <c r="B1187">
        <v>1811</v>
      </c>
      <c r="C1187" t="b">
        <f t="shared" si="18"/>
        <v>0</v>
      </c>
    </row>
    <row r="1188" spans="1:3" hidden="1" x14ac:dyDescent="0.25">
      <c r="A1188" t="s">
        <v>4404</v>
      </c>
      <c r="B1188">
        <v>2038</v>
      </c>
      <c r="C1188" t="b">
        <f t="shared" si="18"/>
        <v>0</v>
      </c>
    </row>
    <row r="1189" spans="1:3" hidden="1" x14ac:dyDescent="0.25">
      <c r="A1189" t="s">
        <v>4405</v>
      </c>
      <c r="B1189">
        <v>2039</v>
      </c>
      <c r="C1189" t="b">
        <f t="shared" si="18"/>
        <v>0</v>
      </c>
    </row>
    <row r="1190" spans="1:3" hidden="1" x14ac:dyDescent="0.25">
      <c r="A1190" t="s">
        <v>4148</v>
      </c>
      <c r="B1190">
        <v>1762</v>
      </c>
      <c r="C1190" t="b">
        <f t="shared" si="18"/>
        <v>0</v>
      </c>
    </row>
    <row r="1191" spans="1:3" hidden="1" x14ac:dyDescent="0.25">
      <c r="A1191" t="s">
        <v>4303</v>
      </c>
      <c r="B1191">
        <v>1931</v>
      </c>
      <c r="C1191" t="b">
        <f t="shared" si="18"/>
        <v>0</v>
      </c>
    </row>
    <row r="1192" spans="1:3" hidden="1" x14ac:dyDescent="0.25">
      <c r="A1192" t="s">
        <v>4261</v>
      </c>
      <c r="B1192">
        <v>1885</v>
      </c>
      <c r="C1192" t="b">
        <f t="shared" si="18"/>
        <v>0</v>
      </c>
    </row>
    <row r="1193" spans="1:3" x14ac:dyDescent="0.25">
      <c r="A1193" t="s">
        <v>4261</v>
      </c>
      <c r="B1193">
        <v>1981</v>
      </c>
      <c r="C1193" t="b">
        <f t="shared" si="18"/>
        <v>1</v>
      </c>
    </row>
    <row r="1194" spans="1:3" hidden="1" x14ac:dyDescent="0.25">
      <c r="A1194" t="s">
        <v>4262</v>
      </c>
      <c r="B1194">
        <v>1886</v>
      </c>
      <c r="C1194" t="b">
        <f t="shared" si="18"/>
        <v>0</v>
      </c>
    </row>
    <row r="1195" spans="1:3" hidden="1" x14ac:dyDescent="0.25">
      <c r="A1195" t="s">
        <v>4170</v>
      </c>
      <c r="B1195">
        <v>1785</v>
      </c>
      <c r="C1195" t="b">
        <f t="shared" si="18"/>
        <v>0</v>
      </c>
    </row>
    <row r="1196" spans="1:3" hidden="1" x14ac:dyDescent="0.25">
      <c r="A1196" t="s">
        <v>2739</v>
      </c>
      <c r="B1196">
        <v>250</v>
      </c>
      <c r="C1196" t="b">
        <f t="shared" si="18"/>
        <v>0</v>
      </c>
    </row>
    <row r="1197" spans="1:3" hidden="1" x14ac:dyDescent="0.25">
      <c r="A1197" t="s">
        <v>2740</v>
      </c>
      <c r="B1197">
        <v>251</v>
      </c>
      <c r="C1197" t="b">
        <f t="shared" si="18"/>
        <v>0</v>
      </c>
    </row>
    <row r="1198" spans="1:3" hidden="1" x14ac:dyDescent="0.25">
      <c r="A1198" t="s">
        <v>2670</v>
      </c>
      <c r="B1198">
        <v>180</v>
      </c>
      <c r="C1198" t="b">
        <f t="shared" si="18"/>
        <v>0</v>
      </c>
    </row>
    <row r="1199" spans="1:3" hidden="1" x14ac:dyDescent="0.25">
      <c r="A1199" t="s">
        <v>2550</v>
      </c>
      <c r="B1199">
        <v>55</v>
      </c>
      <c r="C1199" t="b">
        <f t="shared" si="18"/>
        <v>0</v>
      </c>
    </row>
    <row r="1200" spans="1:3" hidden="1" x14ac:dyDescent="0.25">
      <c r="A1200" t="s">
        <v>2549</v>
      </c>
      <c r="B1200">
        <v>54</v>
      </c>
      <c r="C1200" t="b">
        <f t="shared" si="18"/>
        <v>0</v>
      </c>
    </row>
    <row r="1201" spans="1:3" hidden="1" x14ac:dyDescent="0.25">
      <c r="A1201" t="s">
        <v>3397</v>
      </c>
      <c r="B1201">
        <v>942</v>
      </c>
      <c r="C1201" t="b">
        <f t="shared" si="18"/>
        <v>0</v>
      </c>
    </row>
    <row r="1202" spans="1:3" hidden="1" x14ac:dyDescent="0.25">
      <c r="A1202" t="s">
        <v>3399</v>
      </c>
      <c r="B1202">
        <v>944</v>
      </c>
      <c r="C1202" t="b">
        <f t="shared" si="18"/>
        <v>0</v>
      </c>
    </row>
    <row r="1203" spans="1:3" hidden="1" x14ac:dyDescent="0.25">
      <c r="A1203" t="s">
        <v>3400</v>
      </c>
      <c r="B1203">
        <v>945</v>
      </c>
      <c r="C1203" t="b">
        <f t="shared" si="18"/>
        <v>0</v>
      </c>
    </row>
    <row r="1204" spans="1:3" hidden="1" x14ac:dyDescent="0.25">
      <c r="A1204" t="s">
        <v>3398</v>
      </c>
      <c r="B1204">
        <v>943</v>
      </c>
      <c r="C1204" t="b">
        <f t="shared" si="18"/>
        <v>0</v>
      </c>
    </row>
    <row r="1205" spans="1:3" hidden="1" x14ac:dyDescent="0.25">
      <c r="A1205" t="s">
        <v>3401</v>
      </c>
      <c r="B1205">
        <v>946</v>
      </c>
      <c r="C1205" t="b">
        <f t="shared" si="18"/>
        <v>0</v>
      </c>
    </row>
    <row r="1206" spans="1:3" hidden="1" x14ac:dyDescent="0.25">
      <c r="A1206" t="s">
        <v>3402</v>
      </c>
      <c r="B1206">
        <v>947</v>
      </c>
      <c r="C1206" t="b">
        <f t="shared" si="18"/>
        <v>0</v>
      </c>
    </row>
    <row r="1207" spans="1:3" hidden="1" x14ac:dyDescent="0.25">
      <c r="A1207" t="s">
        <v>4642</v>
      </c>
      <c r="B1207">
        <v>2302</v>
      </c>
      <c r="C1207" t="b">
        <f t="shared" si="18"/>
        <v>0</v>
      </c>
    </row>
    <row r="1208" spans="1:3" hidden="1" x14ac:dyDescent="0.25">
      <c r="A1208" t="s">
        <v>4643</v>
      </c>
      <c r="B1208">
        <v>2303</v>
      </c>
      <c r="C1208" t="b">
        <f t="shared" si="18"/>
        <v>0</v>
      </c>
    </row>
    <row r="1209" spans="1:3" hidden="1" x14ac:dyDescent="0.25">
      <c r="A1209" t="s">
        <v>4644</v>
      </c>
      <c r="B1209">
        <v>2304</v>
      </c>
      <c r="C1209" t="b">
        <f t="shared" si="18"/>
        <v>0</v>
      </c>
    </row>
    <row r="1210" spans="1:3" hidden="1" x14ac:dyDescent="0.25">
      <c r="A1210" t="s">
        <v>4645</v>
      </c>
      <c r="B1210">
        <v>2305</v>
      </c>
      <c r="C1210" t="b">
        <f t="shared" si="18"/>
        <v>0</v>
      </c>
    </row>
    <row r="1211" spans="1:3" hidden="1" x14ac:dyDescent="0.25">
      <c r="A1211" t="s">
        <v>4646</v>
      </c>
      <c r="B1211">
        <v>2306</v>
      </c>
      <c r="C1211" t="b">
        <f t="shared" si="18"/>
        <v>0</v>
      </c>
    </row>
    <row r="1212" spans="1:3" hidden="1" x14ac:dyDescent="0.25">
      <c r="A1212" t="s">
        <v>3809</v>
      </c>
      <c r="B1212">
        <v>1384</v>
      </c>
      <c r="C1212" t="b">
        <f t="shared" si="18"/>
        <v>0</v>
      </c>
    </row>
    <row r="1213" spans="1:3" hidden="1" x14ac:dyDescent="0.25">
      <c r="A1213" t="s">
        <v>4263</v>
      </c>
      <c r="B1213">
        <v>1887</v>
      </c>
      <c r="C1213" t="b">
        <f t="shared" si="18"/>
        <v>0</v>
      </c>
    </row>
    <row r="1214" spans="1:3" hidden="1" x14ac:dyDescent="0.25">
      <c r="A1214" t="s">
        <v>2911</v>
      </c>
      <c r="B1214">
        <v>427</v>
      </c>
      <c r="C1214" t="b">
        <f t="shared" si="18"/>
        <v>0</v>
      </c>
    </row>
    <row r="1215" spans="1:3" hidden="1" x14ac:dyDescent="0.25">
      <c r="A1215" t="s">
        <v>3945</v>
      </c>
      <c r="B1215">
        <v>1532</v>
      </c>
      <c r="C1215" t="b">
        <f t="shared" si="18"/>
        <v>0</v>
      </c>
    </row>
    <row r="1216" spans="1:3" hidden="1" x14ac:dyDescent="0.25">
      <c r="A1216" t="s">
        <v>3947</v>
      </c>
      <c r="B1216">
        <v>1534</v>
      </c>
      <c r="C1216" t="b">
        <f t="shared" si="18"/>
        <v>0</v>
      </c>
    </row>
    <row r="1217" spans="1:3" hidden="1" x14ac:dyDescent="0.25">
      <c r="A1217" t="s">
        <v>3948</v>
      </c>
      <c r="B1217">
        <v>1535</v>
      </c>
      <c r="C1217" t="b">
        <f t="shared" si="18"/>
        <v>0</v>
      </c>
    </row>
    <row r="1218" spans="1:3" hidden="1" x14ac:dyDescent="0.25">
      <c r="A1218" t="s">
        <v>3949</v>
      </c>
      <c r="B1218">
        <v>1536</v>
      </c>
      <c r="C1218" t="b">
        <f t="shared" si="18"/>
        <v>0</v>
      </c>
    </row>
    <row r="1219" spans="1:3" hidden="1" x14ac:dyDescent="0.25">
      <c r="A1219" t="s">
        <v>3946</v>
      </c>
      <c r="B1219">
        <v>1533</v>
      </c>
      <c r="C1219" t="b">
        <f t="shared" ref="C1219:C1282" si="19">A1219=A1218</f>
        <v>0</v>
      </c>
    </row>
    <row r="1220" spans="1:3" hidden="1" x14ac:dyDescent="0.25">
      <c r="A1220" t="s">
        <v>3899</v>
      </c>
      <c r="B1220">
        <v>1484</v>
      </c>
      <c r="C1220" t="b">
        <f t="shared" si="19"/>
        <v>0</v>
      </c>
    </row>
    <row r="1221" spans="1:3" hidden="1" x14ac:dyDescent="0.25">
      <c r="A1221" t="s">
        <v>3900</v>
      </c>
      <c r="B1221">
        <v>1485</v>
      </c>
      <c r="C1221" t="b">
        <f t="shared" si="19"/>
        <v>0</v>
      </c>
    </row>
    <row r="1222" spans="1:3" hidden="1" x14ac:dyDescent="0.25">
      <c r="A1222" t="s">
        <v>2950</v>
      </c>
      <c r="B1222">
        <v>469</v>
      </c>
      <c r="C1222" t="b">
        <f t="shared" si="19"/>
        <v>0</v>
      </c>
    </row>
    <row r="1223" spans="1:3" x14ac:dyDescent="0.25">
      <c r="A1223" t="s">
        <v>2950</v>
      </c>
      <c r="B1223">
        <v>1569</v>
      </c>
      <c r="C1223" t="b">
        <f t="shared" si="19"/>
        <v>1</v>
      </c>
    </row>
    <row r="1224" spans="1:3" hidden="1" x14ac:dyDescent="0.25">
      <c r="A1224" t="s">
        <v>4589</v>
      </c>
      <c r="B1224">
        <v>2246</v>
      </c>
      <c r="C1224" t="b">
        <f t="shared" si="19"/>
        <v>0</v>
      </c>
    </row>
    <row r="1225" spans="1:3" hidden="1" x14ac:dyDescent="0.25">
      <c r="A1225" t="s">
        <v>4406</v>
      </c>
      <c r="B1225">
        <v>2040</v>
      </c>
      <c r="C1225" t="b">
        <f t="shared" si="19"/>
        <v>0</v>
      </c>
    </row>
    <row r="1226" spans="1:3" hidden="1" x14ac:dyDescent="0.25">
      <c r="A1226" t="s">
        <v>3435</v>
      </c>
      <c r="B1226">
        <v>985</v>
      </c>
      <c r="C1226" t="b">
        <f t="shared" si="19"/>
        <v>0</v>
      </c>
    </row>
    <row r="1227" spans="1:3" hidden="1" x14ac:dyDescent="0.25">
      <c r="A1227" t="s">
        <v>5091</v>
      </c>
      <c r="B1227">
        <v>2794</v>
      </c>
      <c r="C1227" t="b">
        <f t="shared" si="19"/>
        <v>0</v>
      </c>
    </row>
    <row r="1228" spans="1:3" hidden="1" x14ac:dyDescent="0.25">
      <c r="A1228" t="s">
        <v>3436</v>
      </c>
      <c r="B1228">
        <v>986</v>
      </c>
      <c r="C1228" t="b">
        <f t="shared" si="19"/>
        <v>0</v>
      </c>
    </row>
    <row r="1229" spans="1:3" hidden="1" x14ac:dyDescent="0.25">
      <c r="A1229" t="s">
        <v>3434</v>
      </c>
      <c r="B1229">
        <v>984</v>
      </c>
      <c r="C1229" t="b">
        <f t="shared" si="19"/>
        <v>0</v>
      </c>
    </row>
    <row r="1230" spans="1:3" hidden="1" x14ac:dyDescent="0.25">
      <c r="A1230" t="s">
        <v>3437</v>
      </c>
      <c r="B1230">
        <v>987</v>
      </c>
      <c r="C1230" t="b">
        <f t="shared" si="19"/>
        <v>0</v>
      </c>
    </row>
    <row r="1231" spans="1:3" hidden="1" x14ac:dyDescent="0.25">
      <c r="A1231" t="s">
        <v>3438</v>
      </c>
      <c r="B1231">
        <v>988</v>
      </c>
      <c r="C1231" t="b">
        <f t="shared" si="19"/>
        <v>0</v>
      </c>
    </row>
    <row r="1232" spans="1:3" hidden="1" x14ac:dyDescent="0.25">
      <c r="A1232" t="s">
        <v>3439</v>
      </c>
      <c r="B1232">
        <v>989</v>
      </c>
      <c r="C1232" t="b">
        <f t="shared" si="19"/>
        <v>0</v>
      </c>
    </row>
    <row r="1233" spans="1:3" hidden="1" x14ac:dyDescent="0.25">
      <c r="A1233" t="s">
        <v>3440</v>
      </c>
      <c r="B1233">
        <v>990</v>
      </c>
      <c r="C1233" t="b">
        <f t="shared" si="19"/>
        <v>0</v>
      </c>
    </row>
    <row r="1234" spans="1:3" hidden="1" x14ac:dyDescent="0.25">
      <c r="A1234" t="s">
        <v>3441</v>
      </c>
      <c r="B1234">
        <v>991</v>
      </c>
      <c r="C1234" t="b">
        <f t="shared" si="19"/>
        <v>0</v>
      </c>
    </row>
    <row r="1235" spans="1:3" hidden="1" x14ac:dyDescent="0.25">
      <c r="A1235" t="s">
        <v>3442</v>
      </c>
      <c r="B1235">
        <v>992</v>
      </c>
      <c r="C1235" t="b">
        <f t="shared" si="19"/>
        <v>0</v>
      </c>
    </row>
    <row r="1236" spans="1:3" hidden="1" x14ac:dyDescent="0.25">
      <c r="A1236" t="s">
        <v>3560</v>
      </c>
      <c r="B1236">
        <v>1119</v>
      </c>
      <c r="C1236" t="b">
        <f t="shared" si="19"/>
        <v>0</v>
      </c>
    </row>
    <row r="1237" spans="1:3" hidden="1" x14ac:dyDescent="0.25">
      <c r="A1237" t="s">
        <v>3950</v>
      </c>
      <c r="B1237">
        <v>1537</v>
      </c>
      <c r="C1237" t="b">
        <f t="shared" si="19"/>
        <v>0</v>
      </c>
    </row>
    <row r="1238" spans="1:3" hidden="1" x14ac:dyDescent="0.25">
      <c r="A1238" t="s">
        <v>4218</v>
      </c>
      <c r="B1238">
        <v>1840</v>
      </c>
      <c r="C1238" t="b">
        <f t="shared" si="19"/>
        <v>0</v>
      </c>
    </row>
    <row r="1239" spans="1:3" hidden="1" x14ac:dyDescent="0.25">
      <c r="A1239" t="s">
        <v>3845</v>
      </c>
      <c r="B1239">
        <v>1424</v>
      </c>
      <c r="C1239" t="b">
        <f t="shared" si="19"/>
        <v>0</v>
      </c>
    </row>
    <row r="1240" spans="1:3" hidden="1" x14ac:dyDescent="0.25">
      <c r="A1240" t="s">
        <v>3844</v>
      </c>
      <c r="B1240">
        <v>1423</v>
      </c>
      <c r="C1240" t="b">
        <f t="shared" si="19"/>
        <v>0</v>
      </c>
    </row>
    <row r="1241" spans="1:3" hidden="1" x14ac:dyDescent="0.25">
      <c r="A1241" t="s">
        <v>4407</v>
      </c>
      <c r="B1241">
        <v>2041</v>
      </c>
      <c r="C1241" t="b">
        <f t="shared" si="19"/>
        <v>0</v>
      </c>
    </row>
    <row r="1242" spans="1:3" hidden="1" x14ac:dyDescent="0.25">
      <c r="A1242" t="s">
        <v>4884</v>
      </c>
      <c r="B1242">
        <v>2576</v>
      </c>
      <c r="C1242" t="b">
        <f t="shared" si="19"/>
        <v>0</v>
      </c>
    </row>
    <row r="1243" spans="1:3" hidden="1" x14ac:dyDescent="0.25">
      <c r="A1243" t="s">
        <v>4149</v>
      </c>
      <c r="B1243">
        <v>1763</v>
      </c>
      <c r="C1243" t="b">
        <f t="shared" si="19"/>
        <v>0</v>
      </c>
    </row>
    <row r="1244" spans="1:3" hidden="1" x14ac:dyDescent="0.25">
      <c r="A1244" t="s">
        <v>4171</v>
      </c>
      <c r="B1244">
        <v>1786</v>
      </c>
      <c r="C1244" t="b">
        <f t="shared" si="19"/>
        <v>0</v>
      </c>
    </row>
    <row r="1245" spans="1:3" hidden="1" x14ac:dyDescent="0.25">
      <c r="A1245" t="s">
        <v>3472</v>
      </c>
      <c r="B1245">
        <v>1027</v>
      </c>
      <c r="C1245" t="b">
        <f t="shared" si="19"/>
        <v>0</v>
      </c>
    </row>
    <row r="1246" spans="1:3" hidden="1" x14ac:dyDescent="0.25">
      <c r="A1246" t="s">
        <v>3473</v>
      </c>
      <c r="B1246">
        <v>1028</v>
      </c>
      <c r="C1246" t="b">
        <f t="shared" si="19"/>
        <v>0</v>
      </c>
    </row>
    <row r="1247" spans="1:3" hidden="1" x14ac:dyDescent="0.25">
      <c r="A1247" t="s">
        <v>3474</v>
      </c>
      <c r="B1247">
        <v>1029</v>
      </c>
      <c r="C1247" t="b">
        <f t="shared" si="19"/>
        <v>0</v>
      </c>
    </row>
    <row r="1248" spans="1:3" hidden="1" x14ac:dyDescent="0.25">
      <c r="A1248" t="s">
        <v>3475</v>
      </c>
      <c r="B1248">
        <v>1030</v>
      </c>
      <c r="C1248" t="b">
        <f t="shared" si="19"/>
        <v>0</v>
      </c>
    </row>
    <row r="1249" spans="1:3" hidden="1" x14ac:dyDescent="0.25">
      <c r="A1249" t="s">
        <v>5092</v>
      </c>
      <c r="B1249">
        <v>2795</v>
      </c>
      <c r="C1249" t="b">
        <f t="shared" si="19"/>
        <v>0</v>
      </c>
    </row>
    <row r="1250" spans="1:3" hidden="1" x14ac:dyDescent="0.25">
      <c r="A1250" t="s">
        <v>2741</v>
      </c>
      <c r="B1250">
        <v>252</v>
      </c>
      <c r="C1250" t="b">
        <f t="shared" si="19"/>
        <v>0</v>
      </c>
    </row>
    <row r="1251" spans="1:3" hidden="1" x14ac:dyDescent="0.25">
      <c r="A1251" t="s">
        <v>3309</v>
      </c>
      <c r="B1251">
        <v>847</v>
      </c>
      <c r="C1251" t="b">
        <f t="shared" si="19"/>
        <v>0</v>
      </c>
    </row>
    <row r="1252" spans="1:3" hidden="1" x14ac:dyDescent="0.25">
      <c r="A1252" t="s">
        <v>2551</v>
      </c>
      <c r="B1252">
        <v>56</v>
      </c>
      <c r="C1252" t="b">
        <f t="shared" si="19"/>
        <v>0</v>
      </c>
    </row>
    <row r="1253" spans="1:3" hidden="1" x14ac:dyDescent="0.25">
      <c r="A1253" t="s">
        <v>3771</v>
      </c>
      <c r="B1253">
        <v>1344</v>
      </c>
      <c r="C1253" t="b">
        <f t="shared" si="19"/>
        <v>0</v>
      </c>
    </row>
    <row r="1254" spans="1:3" hidden="1" x14ac:dyDescent="0.25">
      <c r="A1254" t="s">
        <v>2970</v>
      </c>
      <c r="B1254">
        <v>491</v>
      </c>
      <c r="C1254" t="b">
        <f t="shared" si="19"/>
        <v>0</v>
      </c>
    </row>
    <row r="1255" spans="1:3" hidden="1" x14ac:dyDescent="0.25">
      <c r="A1255" t="s">
        <v>4825</v>
      </c>
      <c r="B1255">
        <v>2509</v>
      </c>
      <c r="C1255" t="b">
        <f t="shared" si="19"/>
        <v>0</v>
      </c>
    </row>
    <row r="1256" spans="1:3" hidden="1" x14ac:dyDescent="0.25">
      <c r="A1256" t="s">
        <v>3521</v>
      </c>
      <c r="B1256">
        <v>1078</v>
      </c>
      <c r="C1256" t="b">
        <f t="shared" si="19"/>
        <v>0</v>
      </c>
    </row>
    <row r="1257" spans="1:3" hidden="1" x14ac:dyDescent="0.25">
      <c r="A1257" t="s">
        <v>3524</v>
      </c>
      <c r="B1257">
        <v>1081</v>
      </c>
      <c r="C1257" t="b">
        <f t="shared" si="19"/>
        <v>0</v>
      </c>
    </row>
    <row r="1258" spans="1:3" hidden="1" x14ac:dyDescent="0.25">
      <c r="A1258" t="s">
        <v>3525</v>
      </c>
      <c r="B1258">
        <v>1082</v>
      </c>
      <c r="C1258" t="b">
        <f t="shared" si="19"/>
        <v>0</v>
      </c>
    </row>
    <row r="1259" spans="1:3" hidden="1" x14ac:dyDescent="0.25">
      <c r="A1259" t="s">
        <v>3522</v>
      </c>
      <c r="B1259">
        <v>1079</v>
      </c>
      <c r="C1259" t="b">
        <f t="shared" si="19"/>
        <v>0</v>
      </c>
    </row>
    <row r="1260" spans="1:3" hidden="1" x14ac:dyDescent="0.25">
      <c r="A1260" t="s">
        <v>3526</v>
      </c>
      <c r="B1260">
        <v>1083</v>
      </c>
      <c r="C1260" t="b">
        <f t="shared" si="19"/>
        <v>0</v>
      </c>
    </row>
    <row r="1261" spans="1:3" hidden="1" x14ac:dyDescent="0.25">
      <c r="A1261" t="s">
        <v>3527</v>
      </c>
      <c r="B1261">
        <v>1084</v>
      </c>
      <c r="C1261" t="b">
        <f t="shared" si="19"/>
        <v>0</v>
      </c>
    </row>
    <row r="1262" spans="1:3" hidden="1" x14ac:dyDescent="0.25">
      <c r="A1262" t="s">
        <v>3528</v>
      </c>
      <c r="B1262">
        <v>1085</v>
      </c>
      <c r="C1262" t="b">
        <f t="shared" si="19"/>
        <v>0</v>
      </c>
    </row>
    <row r="1263" spans="1:3" hidden="1" x14ac:dyDescent="0.25">
      <c r="A1263" t="s">
        <v>3523</v>
      </c>
      <c r="B1263">
        <v>1080</v>
      </c>
      <c r="C1263" t="b">
        <f t="shared" si="19"/>
        <v>0</v>
      </c>
    </row>
    <row r="1264" spans="1:3" hidden="1" x14ac:dyDescent="0.25">
      <c r="A1264" t="s">
        <v>3561</v>
      </c>
      <c r="B1264">
        <v>1120</v>
      </c>
      <c r="C1264" t="b">
        <f t="shared" si="19"/>
        <v>0</v>
      </c>
    </row>
    <row r="1265" spans="1:3" hidden="1" x14ac:dyDescent="0.25">
      <c r="A1265" t="s">
        <v>3562</v>
      </c>
      <c r="B1265">
        <v>1121</v>
      </c>
      <c r="C1265" t="b">
        <f t="shared" si="19"/>
        <v>0</v>
      </c>
    </row>
    <row r="1266" spans="1:3" hidden="1" x14ac:dyDescent="0.25">
      <c r="A1266" t="s">
        <v>3563</v>
      </c>
      <c r="B1266">
        <v>1122</v>
      </c>
      <c r="C1266" t="b">
        <f t="shared" si="19"/>
        <v>0</v>
      </c>
    </row>
    <row r="1267" spans="1:3" hidden="1" x14ac:dyDescent="0.25">
      <c r="A1267" t="s">
        <v>3564</v>
      </c>
      <c r="B1267">
        <v>1123</v>
      </c>
      <c r="C1267" t="b">
        <f t="shared" si="19"/>
        <v>0</v>
      </c>
    </row>
    <row r="1268" spans="1:3" hidden="1" x14ac:dyDescent="0.25">
      <c r="A1268" t="s">
        <v>3565</v>
      </c>
      <c r="B1268">
        <v>1124</v>
      </c>
      <c r="C1268" t="b">
        <f t="shared" si="19"/>
        <v>0</v>
      </c>
    </row>
    <row r="1269" spans="1:3" hidden="1" x14ac:dyDescent="0.25">
      <c r="A1269" t="s">
        <v>4723</v>
      </c>
      <c r="B1269">
        <v>2395</v>
      </c>
      <c r="C1269" t="b">
        <f t="shared" si="19"/>
        <v>0</v>
      </c>
    </row>
    <row r="1270" spans="1:3" hidden="1" x14ac:dyDescent="0.25">
      <c r="A1270" t="s">
        <v>3586</v>
      </c>
      <c r="B1270">
        <v>1147</v>
      </c>
      <c r="C1270" t="b">
        <f t="shared" si="19"/>
        <v>0</v>
      </c>
    </row>
    <row r="1271" spans="1:3" hidden="1" x14ac:dyDescent="0.25">
      <c r="A1271" t="s">
        <v>3587</v>
      </c>
      <c r="B1271">
        <v>1148</v>
      </c>
      <c r="C1271" t="b">
        <f t="shared" si="19"/>
        <v>0</v>
      </c>
    </row>
    <row r="1272" spans="1:3" hidden="1" x14ac:dyDescent="0.25">
      <c r="A1272" t="s">
        <v>3588</v>
      </c>
      <c r="B1272">
        <v>1149</v>
      </c>
      <c r="C1272" t="b">
        <f t="shared" si="19"/>
        <v>0</v>
      </c>
    </row>
    <row r="1273" spans="1:3" hidden="1" x14ac:dyDescent="0.25">
      <c r="A1273" t="s">
        <v>3589</v>
      </c>
      <c r="B1273">
        <v>1150</v>
      </c>
      <c r="C1273" t="b">
        <f t="shared" si="19"/>
        <v>0</v>
      </c>
    </row>
    <row r="1274" spans="1:3" hidden="1" x14ac:dyDescent="0.25">
      <c r="A1274" t="s">
        <v>3111</v>
      </c>
      <c r="B1274">
        <v>642</v>
      </c>
      <c r="C1274" t="b">
        <f t="shared" si="19"/>
        <v>0</v>
      </c>
    </row>
    <row r="1275" spans="1:3" hidden="1" x14ac:dyDescent="0.25">
      <c r="A1275" t="s">
        <v>3112</v>
      </c>
      <c r="B1275">
        <v>643</v>
      </c>
      <c r="C1275" t="b">
        <f t="shared" si="19"/>
        <v>0</v>
      </c>
    </row>
    <row r="1276" spans="1:3" hidden="1" x14ac:dyDescent="0.25">
      <c r="A1276" t="s">
        <v>3113</v>
      </c>
      <c r="B1276">
        <v>644</v>
      </c>
      <c r="C1276" t="b">
        <f t="shared" si="19"/>
        <v>0</v>
      </c>
    </row>
    <row r="1277" spans="1:3" hidden="1" x14ac:dyDescent="0.25">
      <c r="A1277" t="s">
        <v>4074</v>
      </c>
      <c r="B1277">
        <v>1674</v>
      </c>
      <c r="C1277" t="b">
        <f t="shared" si="19"/>
        <v>0</v>
      </c>
    </row>
    <row r="1278" spans="1:3" hidden="1" x14ac:dyDescent="0.25">
      <c r="A1278" t="s">
        <v>3590</v>
      </c>
      <c r="B1278">
        <v>1151</v>
      </c>
      <c r="C1278" t="b">
        <f t="shared" si="19"/>
        <v>0</v>
      </c>
    </row>
    <row r="1279" spans="1:3" hidden="1" x14ac:dyDescent="0.25">
      <c r="A1279" t="s">
        <v>3592</v>
      </c>
      <c r="B1279">
        <v>1153</v>
      </c>
      <c r="C1279" t="b">
        <f t="shared" si="19"/>
        <v>0</v>
      </c>
    </row>
    <row r="1280" spans="1:3" hidden="1" x14ac:dyDescent="0.25">
      <c r="A1280" t="s">
        <v>3591</v>
      </c>
      <c r="B1280">
        <v>1152</v>
      </c>
      <c r="C1280" t="b">
        <f t="shared" si="19"/>
        <v>0</v>
      </c>
    </row>
    <row r="1281" spans="1:3" hidden="1" x14ac:dyDescent="0.25">
      <c r="A1281" t="s">
        <v>3283</v>
      </c>
      <c r="B1281">
        <v>819</v>
      </c>
      <c r="C1281" t="b">
        <f t="shared" si="19"/>
        <v>0</v>
      </c>
    </row>
    <row r="1282" spans="1:3" hidden="1" x14ac:dyDescent="0.25">
      <c r="A1282" t="s">
        <v>3284</v>
      </c>
      <c r="B1282">
        <v>820</v>
      </c>
      <c r="C1282" t="b">
        <f t="shared" si="19"/>
        <v>0</v>
      </c>
    </row>
    <row r="1283" spans="1:3" hidden="1" x14ac:dyDescent="0.25">
      <c r="A1283" t="s">
        <v>2671</v>
      </c>
      <c r="B1283">
        <v>181</v>
      </c>
      <c r="C1283" t="b">
        <f t="shared" ref="C1283:C1346" si="20">A1283=A1282</f>
        <v>0</v>
      </c>
    </row>
    <row r="1284" spans="1:3" hidden="1" x14ac:dyDescent="0.25">
      <c r="A1284" t="s">
        <v>3609</v>
      </c>
      <c r="B1284">
        <v>1173</v>
      </c>
      <c r="C1284" t="b">
        <f t="shared" si="20"/>
        <v>0</v>
      </c>
    </row>
    <row r="1285" spans="1:3" hidden="1" x14ac:dyDescent="0.25">
      <c r="A1285" t="s">
        <v>3611</v>
      </c>
      <c r="B1285">
        <v>1175</v>
      </c>
      <c r="C1285" t="b">
        <f t="shared" si="20"/>
        <v>0</v>
      </c>
    </row>
    <row r="1286" spans="1:3" hidden="1" x14ac:dyDescent="0.25">
      <c r="A1286" t="s">
        <v>3612</v>
      </c>
      <c r="B1286">
        <v>1176</v>
      </c>
      <c r="C1286" t="b">
        <f t="shared" si="20"/>
        <v>0</v>
      </c>
    </row>
    <row r="1287" spans="1:3" hidden="1" x14ac:dyDescent="0.25">
      <c r="A1287" t="s">
        <v>3613</v>
      </c>
      <c r="B1287">
        <v>1177</v>
      </c>
      <c r="C1287" t="b">
        <f t="shared" si="20"/>
        <v>0</v>
      </c>
    </row>
    <row r="1288" spans="1:3" hidden="1" x14ac:dyDescent="0.25">
      <c r="A1288" t="s">
        <v>3614</v>
      </c>
      <c r="B1288">
        <v>1178</v>
      </c>
      <c r="C1288" t="b">
        <f t="shared" si="20"/>
        <v>0</v>
      </c>
    </row>
    <row r="1289" spans="1:3" hidden="1" x14ac:dyDescent="0.25">
      <c r="A1289" t="s">
        <v>3610</v>
      </c>
      <c r="B1289">
        <v>1174</v>
      </c>
      <c r="C1289" t="b">
        <f t="shared" si="20"/>
        <v>0</v>
      </c>
    </row>
    <row r="1290" spans="1:3" hidden="1" x14ac:dyDescent="0.25">
      <c r="A1290" t="s">
        <v>4075</v>
      </c>
      <c r="B1290">
        <v>1675</v>
      </c>
      <c r="C1290" t="b">
        <f t="shared" si="20"/>
        <v>0</v>
      </c>
    </row>
    <row r="1291" spans="1:3" hidden="1" x14ac:dyDescent="0.25">
      <c r="A1291" t="s">
        <v>4077</v>
      </c>
      <c r="B1291">
        <v>1677</v>
      </c>
      <c r="C1291" t="b">
        <f t="shared" si="20"/>
        <v>0</v>
      </c>
    </row>
    <row r="1292" spans="1:3" hidden="1" x14ac:dyDescent="0.25">
      <c r="A1292" t="s">
        <v>4078</v>
      </c>
      <c r="B1292">
        <v>1678</v>
      </c>
      <c r="C1292" t="b">
        <f t="shared" si="20"/>
        <v>0</v>
      </c>
    </row>
    <row r="1293" spans="1:3" hidden="1" x14ac:dyDescent="0.25">
      <c r="A1293" t="s">
        <v>4076</v>
      </c>
      <c r="B1293">
        <v>1676</v>
      </c>
      <c r="C1293" t="b">
        <f t="shared" si="20"/>
        <v>0</v>
      </c>
    </row>
    <row r="1294" spans="1:3" hidden="1" x14ac:dyDescent="0.25">
      <c r="A1294" t="s">
        <v>3337</v>
      </c>
      <c r="B1294">
        <v>877</v>
      </c>
      <c r="C1294" t="b">
        <f t="shared" si="20"/>
        <v>0</v>
      </c>
    </row>
    <row r="1295" spans="1:3" hidden="1" x14ac:dyDescent="0.25">
      <c r="A1295" t="s">
        <v>3637</v>
      </c>
      <c r="B1295">
        <v>1204</v>
      </c>
      <c r="C1295" t="b">
        <f t="shared" si="20"/>
        <v>0</v>
      </c>
    </row>
    <row r="1296" spans="1:3" hidden="1" x14ac:dyDescent="0.25">
      <c r="A1296" t="s">
        <v>3639</v>
      </c>
      <c r="B1296">
        <v>1206</v>
      </c>
      <c r="C1296" t="b">
        <f t="shared" si="20"/>
        <v>0</v>
      </c>
    </row>
    <row r="1297" spans="1:3" hidden="1" x14ac:dyDescent="0.25">
      <c r="A1297" t="s">
        <v>3640</v>
      </c>
      <c r="B1297">
        <v>1207</v>
      </c>
      <c r="C1297" t="b">
        <f t="shared" si="20"/>
        <v>0</v>
      </c>
    </row>
    <row r="1298" spans="1:3" hidden="1" x14ac:dyDescent="0.25">
      <c r="A1298" t="s">
        <v>3641</v>
      </c>
      <c r="B1298">
        <v>1208</v>
      </c>
      <c r="C1298" t="b">
        <f t="shared" si="20"/>
        <v>0</v>
      </c>
    </row>
    <row r="1299" spans="1:3" hidden="1" x14ac:dyDescent="0.25">
      <c r="A1299" t="s">
        <v>3642</v>
      </c>
      <c r="B1299">
        <v>1209</v>
      </c>
      <c r="C1299" t="b">
        <f t="shared" si="20"/>
        <v>0</v>
      </c>
    </row>
    <row r="1300" spans="1:3" hidden="1" x14ac:dyDescent="0.25">
      <c r="A1300" t="s">
        <v>3638</v>
      </c>
      <c r="B1300">
        <v>1205</v>
      </c>
      <c r="C1300" t="b">
        <f t="shared" si="20"/>
        <v>0</v>
      </c>
    </row>
    <row r="1301" spans="1:3" hidden="1" x14ac:dyDescent="0.25">
      <c r="A1301" t="s">
        <v>3643</v>
      </c>
      <c r="B1301">
        <v>1210</v>
      </c>
      <c r="C1301" t="b">
        <f t="shared" si="20"/>
        <v>0</v>
      </c>
    </row>
    <row r="1302" spans="1:3" hidden="1" x14ac:dyDescent="0.25">
      <c r="A1302" t="s">
        <v>3644</v>
      </c>
      <c r="B1302">
        <v>1211</v>
      </c>
      <c r="C1302" t="b">
        <f t="shared" si="20"/>
        <v>0</v>
      </c>
    </row>
    <row r="1303" spans="1:3" hidden="1" x14ac:dyDescent="0.25">
      <c r="A1303" t="s">
        <v>3645</v>
      </c>
      <c r="B1303">
        <v>1212</v>
      </c>
      <c r="C1303" t="b">
        <f t="shared" si="20"/>
        <v>0</v>
      </c>
    </row>
    <row r="1304" spans="1:3" hidden="1" x14ac:dyDescent="0.25">
      <c r="A1304" t="s">
        <v>3646</v>
      </c>
      <c r="B1304">
        <v>1213</v>
      </c>
      <c r="C1304" t="b">
        <f t="shared" si="20"/>
        <v>0</v>
      </c>
    </row>
    <row r="1305" spans="1:3" hidden="1" x14ac:dyDescent="0.25">
      <c r="A1305" t="s">
        <v>3647</v>
      </c>
      <c r="B1305">
        <v>1214</v>
      </c>
      <c r="C1305" t="b">
        <f t="shared" si="20"/>
        <v>0</v>
      </c>
    </row>
    <row r="1306" spans="1:3" hidden="1" x14ac:dyDescent="0.25">
      <c r="A1306" t="s">
        <v>3648</v>
      </c>
      <c r="B1306">
        <v>1215</v>
      </c>
      <c r="C1306" t="b">
        <f t="shared" si="20"/>
        <v>0</v>
      </c>
    </row>
    <row r="1307" spans="1:3" hidden="1" x14ac:dyDescent="0.25">
      <c r="A1307" t="s">
        <v>4677</v>
      </c>
      <c r="B1307">
        <v>2340</v>
      </c>
      <c r="C1307" t="b">
        <f t="shared" si="20"/>
        <v>0</v>
      </c>
    </row>
    <row r="1308" spans="1:3" hidden="1" x14ac:dyDescent="0.25">
      <c r="A1308" t="s">
        <v>4590</v>
      </c>
      <c r="B1308">
        <v>2247</v>
      </c>
      <c r="C1308" t="b">
        <f t="shared" si="20"/>
        <v>0</v>
      </c>
    </row>
    <row r="1309" spans="1:3" hidden="1" x14ac:dyDescent="0.25">
      <c r="A1309" t="s">
        <v>4172</v>
      </c>
      <c r="B1309">
        <v>1787</v>
      </c>
      <c r="C1309" t="b">
        <f t="shared" si="20"/>
        <v>0</v>
      </c>
    </row>
    <row r="1310" spans="1:3" hidden="1" x14ac:dyDescent="0.25">
      <c r="A1310" t="s">
        <v>3366</v>
      </c>
      <c r="B1310">
        <v>908</v>
      </c>
      <c r="C1310" t="b">
        <f t="shared" si="20"/>
        <v>0</v>
      </c>
    </row>
    <row r="1311" spans="1:3" hidden="1" x14ac:dyDescent="0.25">
      <c r="A1311" t="s">
        <v>4173</v>
      </c>
      <c r="B1311">
        <v>1788</v>
      </c>
      <c r="C1311" t="b">
        <f t="shared" si="20"/>
        <v>0</v>
      </c>
    </row>
    <row r="1312" spans="1:3" hidden="1" x14ac:dyDescent="0.25">
      <c r="A1312" t="s">
        <v>2672</v>
      </c>
      <c r="B1312">
        <v>182</v>
      </c>
      <c r="C1312" t="b">
        <f t="shared" si="20"/>
        <v>0</v>
      </c>
    </row>
    <row r="1313" spans="1:3" hidden="1" x14ac:dyDescent="0.25">
      <c r="A1313" t="s">
        <v>3615</v>
      </c>
      <c r="B1313">
        <v>1179</v>
      </c>
      <c r="C1313" t="b">
        <f t="shared" si="20"/>
        <v>0</v>
      </c>
    </row>
    <row r="1314" spans="1:3" hidden="1" x14ac:dyDescent="0.25">
      <c r="A1314" t="s">
        <v>3593</v>
      </c>
      <c r="B1314">
        <v>1154</v>
      </c>
      <c r="C1314" t="b">
        <f t="shared" si="20"/>
        <v>0</v>
      </c>
    </row>
    <row r="1315" spans="1:3" hidden="1" x14ac:dyDescent="0.25">
      <c r="A1315" t="s">
        <v>4678</v>
      </c>
      <c r="B1315">
        <v>2341</v>
      </c>
      <c r="C1315" t="b">
        <f t="shared" si="20"/>
        <v>0</v>
      </c>
    </row>
    <row r="1316" spans="1:3" hidden="1" x14ac:dyDescent="0.25">
      <c r="A1316" t="s">
        <v>4679</v>
      </c>
      <c r="B1316">
        <v>2342</v>
      </c>
      <c r="C1316" t="b">
        <f t="shared" si="20"/>
        <v>0</v>
      </c>
    </row>
    <row r="1317" spans="1:3" hidden="1" x14ac:dyDescent="0.25">
      <c r="A1317" t="s">
        <v>3367</v>
      </c>
      <c r="B1317">
        <v>909</v>
      </c>
      <c r="C1317" t="b">
        <f t="shared" si="20"/>
        <v>0</v>
      </c>
    </row>
    <row r="1318" spans="1:3" hidden="1" x14ac:dyDescent="0.25">
      <c r="A1318" t="s">
        <v>2606</v>
      </c>
      <c r="B1318">
        <v>113</v>
      </c>
      <c r="C1318" t="b">
        <f t="shared" si="20"/>
        <v>0</v>
      </c>
    </row>
    <row r="1319" spans="1:3" hidden="1" x14ac:dyDescent="0.25">
      <c r="A1319" t="s">
        <v>2951</v>
      </c>
      <c r="B1319">
        <v>470</v>
      </c>
      <c r="C1319" t="b">
        <f t="shared" si="20"/>
        <v>0</v>
      </c>
    </row>
    <row r="1320" spans="1:3" hidden="1" x14ac:dyDescent="0.25">
      <c r="A1320" t="s">
        <v>2952</v>
      </c>
      <c r="B1320">
        <v>471</v>
      </c>
      <c r="C1320" t="b">
        <f t="shared" si="20"/>
        <v>0</v>
      </c>
    </row>
    <row r="1321" spans="1:3" hidden="1" x14ac:dyDescent="0.25">
      <c r="A1321" t="s">
        <v>2742</v>
      </c>
      <c r="B1321">
        <v>253</v>
      </c>
      <c r="C1321" t="b">
        <f t="shared" si="20"/>
        <v>0</v>
      </c>
    </row>
    <row r="1322" spans="1:3" hidden="1" x14ac:dyDescent="0.25">
      <c r="A1322" t="s">
        <v>4885</v>
      </c>
      <c r="B1322">
        <v>2577</v>
      </c>
      <c r="C1322" t="b">
        <f t="shared" si="20"/>
        <v>0</v>
      </c>
    </row>
    <row r="1323" spans="1:3" hidden="1" x14ac:dyDescent="0.25">
      <c r="A1323" t="s">
        <v>3683</v>
      </c>
      <c r="B1323">
        <v>1251</v>
      </c>
      <c r="C1323" t="b">
        <f t="shared" si="20"/>
        <v>0</v>
      </c>
    </row>
    <row r="1324" spans="1:3" hidden="1" x14ac:dyDescent="0.25">
      <c r="A1324" t="s">
        <v>3685</v>
      </c>
      <c r="B1324">
        <v>1253</v>
      </c>
      <c r="C1324" t="b">
        <f t="shared" si="20"/>
        <v>0</v>
      </c>
    </row>
    <row r="1325" spans="1:3" hidden="1" x14ac:dyDescent="0.25">
      <c r="A1325" t="s">
        <v>3686</v>
      </c>
      <c r="B1325">
        <v>1254</v>
      </c>
      <c r="C1325" t="b">
        <f t="shared" si="20"/>
        <v>0</v>
      </c>
    </row>
    <row r="1326" spans="1:3" hidden="1" x14ac:dyDescent="0.25">
      <c r="A1326" t="s">
        <v>3687</v>
      </c>
      <c r="B1326">
        <v>1255</v>
      </c>
      <c r="C1326" t="b">
        <f t="shared" si="20"/>
        <v>0</v>
      </c>
    </row>
    <row r="1327" spans="1:3" hidden="1" x14ac:dyDescent="0.25">
      <c r="A1327" t="s">
        <v>3688</v>
      </c>
      <c r="B1327">
        <v>1256</v>
      </c>
      <c r="C1327" t="b">
        <f t="shared" si="20"/>
        <v>0</v>
      </c>
    </row>
    <row r="1328" spans="1:3" hidden="1" x14ac:dyDescent="0.25">
      <c r="A1328" t="s">
        <v>3689</v>
      </c>
      <c r="B1328">
        <v>1257</v>
      </c>
      <c r="C1328" t="b">
        <f t="shared" si="20"/>
        <v>0</v>
      </c>
    </row>
    <row r="1329" spans="1:3" hidden="1" x14ac:dyDescent="0.25">
      <c r="A1329" t="s">
        <v>3690</v>
      </c>
      <c r="B1329">
        <v>1258</v>
      </c>
      <c r="C1329" t="b">
        <f t="shared" si="20"/>
        <v>0</v>
      </c>
    </row>
    <row r="1330" spans="1:3" hidden="1" x14ac:dyDescent="0.25">
      <c r="A1330" t="s">
        <v>3691</v>
      </c>
      <c r="B1330">
        <v>1259</v>
      </c>
      <c r="C1330" t="b">
        <f t="shared" si="20"/>
        <v>0</v>
      </c>
    </row>
    <row r="1331" spans="1:3" hidden="1" x14ac:dyDescent="0.25">
      <c r="A1331" t="s">
        <v>3692</v>
      </c>
      <c r="B1331">
        <v>1260</v>
      </c>
      <c r="C1331" t="b">
        <f t="shared" si="20"/>
        <v>0</v>
      </c>
    </row>
    <row r="1332" spans="1:3" hidden="1" x14ac:dyDescent="0.25">
      <c r="A1332" t="s">
        <v>3693</v>
      </c>
      <c r="B1332">
        <v>1261</v>
      </c>
      <c r="C1332" t="b">
        <f t="shared" si="20"/>
        <v>0</v>
      </c>
    </row>
    <row r="1333" spans="1:3" hidden="1" x14ac:dyDescent="0.25">
      <c r="A1333" t="s">
        <v>3684</v>
      </c>
      <c r="B1333">
        <v>1252</v>
      </c>
      <c r="C1333" t="b">
        <f t="shared" si="20"/>
        <v>0</v>
      </c>
    </row>
    <row r="1334" spans="1:3" hidden="1" x14ac:dyDescent="0.25">
      <c r="A1334" t="s">
        <v>3694</v>
      </c>
      <c r="B1334">
        <v>1262</v>
      </c>
      <c r="C1334" t="b">
        <f t="shared" si="20"/>
        <v>0</v>
      </c>
    </row>
    <row r="1335" spans="1:3" hidden="1" x14ac:dyDescent="0.25">
      <c r="A1335" t="s">
        <v>3695</v>
      </c>
      <c r="B1335">
        <v>1263</v>
      </c>
      <c r="C1335" t="b">
        <f t="shared" si="20"/>
        <v>0</v>
      </c>
    </row>
    <row r="1336" spans="1:3" hidden="1" x14ac:dyDescent="0.25">
      <c r="A1336" t="s">
        <v>3696</v>
      </c>
      <c r="B1336">
        <v>1264</v>
      </c>
      <c r="C1336" t="b">
        <f t="shared" si="20"/>
        <v>0</v>
      </c>
    </row>
    <row r="1337" spans="1:3" hidden="1" x14ac:dyDescent="0.25">
      <c r="A1337" t="s">
        <v>3697</v>
      </c>
      <c r="B1337">
        <v>1265</v>
      </c>
      <c r="C1337" t="b">
        <f t="shared" si="20"/>
        <v>0</v>
      </c>
    </row>
    <row r="1338" spans="1:3" hidden="1" x14ac:dyDescent="0.25">
      <c r="A1338" t="s">
        <v>3698</v>
      </c>
      <c r="B1338">
        <v>1266</v>
      </c>
      <c r="C1338" t="b">
        <f t="shared" si="20"/>
        <v>0</v>
      </c>
    </row>
    <row r="1339" spans="1:3" hidden="1" x14ac:dyDescent="0.25">
      <c r="A1339" t="s">
        <v>2552</v>
      </c>
      <c r="B1339">
        <v>57</v>
      </c>
      <c r="C1339" t="b">
        <f t="shared" si="20"/>
        <v>0</v>
      </c>
    </row>
    <row r="1340" spans="1:3" hidden="1" x14ac:dyDescent="0.25">
      <c r="A1340" t="s">
        <v>3699</v>
      </c>
      <c r="B1340">
        <v>1267</v>
      </c>
      <c r="C1340" t="b">
        <f t="shared" si="20"/>
        <v>0</v>
      </c>
    </row>
    <row r="1341" spans="1:3" hidden="1" x14ac:dyDescent="0.25">
      <c r="A1341" t="s">
        <v>3700</v>
      </c>
      <c r="B1341">
        <v>1268</v>
      </c>
      <c r="C1341" t="b">
        <f t="shared" si="20"/>
        <v>0</v>
      </c>
    </row>
    <row r="1342" spans="1:3" hidden="1" x14ac:dyDescent="0.25">
      <c r="A1342" t="s">
        <v>3701</v>
      </c>
      <c r="B1342">
        <v>1269</v>
      </c>
      <c r="C1342" t="b">
        <f t="shared" si="20"/>
        <v>0</v>
      </c>
    </row>
    <row r="1343" spans="1:3" hidden="1" x14ac:dyDescent="0.25">
      <c r="A1343" t="s">
        <v>3142</v>
      </c>
      <c r="B1343">
        <v>674</v>
      </c>
      <c r="C1343" t="b">
        <f t="shared" si="20"/>
        <v>0</v>
      </c>
    </row>
    <row r="1344" spans="1:3" hidden="1" x14ac:dyDescent="0.25">
      <c r="A1344" t="s">
        <v>3731</v>
      </c>
      <c r="B1344">
        <v>1302</v>
      </c>
      <c r="C1344" t="b">
        <f t="shared" si="20"/>
        <v>0</v>
      </c>
    </row>
    <row r="1345" spans="1:3" hidden="1" x14ac:dyDescent="0.25">
      <c r="A1345" t="s">
        <v>3728</v>
      </c>
      <c r="B1345">
        <v>1299</v>
      </c>
      <c r="C1345" t="b">
        <f t="shared" si="20"/>
        <v>0</v>
      </c>
    </row>
    <row r="1346" spans="1:3" hidden="1" x14ac:dyDescent="0.25">
      <c r="A1346" t="s">
        <v>3732</v>
      </c>
      <c r="B1346">
        <v>1303</v>
      </c>
      <c r="C1346" t="b">
        <f t="shared" si="20"/>
        <v>0</v>
      </c>
    </row>
    <row r="1347" spans="1:3" hidden="1" x14ac:dyDescent="0.25">
      <c r="A1347" t="s">
        <v>3733</v>
      </c>
      <c r="B1347">
        <v>1304</v>
      </c>
      <c r="C1347" t="b">
        <f t="shared" ref="C1347:C1410" si="21">A1347=A1346</f>
        <v>0</v>
      </c>
    </row>
    <row r="1348" spans="1:3" hidden="1" x14ac:dyDescent="0.25">
      <c r="A1348" t="s">
        <v>3729</v>
      </c>
      <c r="B1348">
        <v>1300</v>
      </c>
      <c r="C1348" t="b">
        <f t="shared" si="21"/>
        <v>0</v>
      </c>
    </row>
    <row r="1349" spans="1:3" hidden="1" x14ac:dyDescent="0.25">
      <c r="A1349" t="s">
        <v>3730</v>
      </c>
      <c r="B1349">
        <v>1301</v>
      </c>
      <c r="C1349" t="b">
        <f t="shared" si="21"/>
        <v>0</v>
      </c>
    </row>
    <row r="1350" spans="1:3" hidden="1" x14ac:dyDescent="0.25">
      <c r="A1350" t="s">
        <v>3231</v>
      </c>
      <c r="B1350">
        <v>765</v>
      </c>
      <c r="C1350" t="b">
        <f t="shared" si="21"/>
        <v>0</v>
      </c>
    </row>
    <row r="1351" spans="1:3" hidden="1" x14ac:dyDescent="0.25">
      <c r="A1351" t="s">
        <v>3876</v>
      </c>
      <c r="B1351">
        <v>1458</v>
      </c>
      <c r="C1351" t="b">
        <f t="shared" si="21"/>
        <v>0</v>
      </c>
    </row>
    <row r="1352" spans="1:3" hidden="1" x14ac:dyDescent="0.25">
      <c r="A1352" t="s">
        <v>2711</v>
      </c>
      <c r="B1352">
        <v>221</v>
      </c>
      <c r="C1352" t="b">
        <f t="shared" si="21"/>
        <v>0</v>
      </c>
    </row>
    <row r="1353" spans="1:3" hidden="1" x14ac:dyDescent="0.25">
      <c r="A1353" t="s">
        <v>2710</v>
      </c>
      <c r="B1353">
        <v>220</v>
      </c>
      <c r="C1353" t="b">
        <f t="shared" si="21"/>
        <v>0</v>
      </c>
    </row>
    <row r="1354" spans="1:3" hidden="1" x14ac:dyDescent="0.25">
      <c r="A1354" t="s">
        <v>2607</v>
      </c>
      <c r="B1354">
        <v>114</v>
      </c>
      <c r="C1354" t="b">
        <f t="shared" si="21"/>
        <v>0</v>
      </c>
    </row>
    <row r="1355" spans="1:3" hidden="1" x14ac:dyDescent="0.25">
      <c r="A1355" t="s">
        <v>4408</v>
      </c>
      <c r="B1355">
        <v>2042</v>
      </c>
      <c r="C1355" t="b">
        <f t="shared" si="21"/>
        <v>0</v>
      </c>
    </row>
    <row r="1356" spans="1:3" hidden="1" x14ac:dyDescent="0.25">
      <c r="A1356" t="s">
        <v>4929</v>
      </c>
      <c r="B1356">
        <v>2627</v>
      </c>
      <c r="C1356" t="b">
        <f t="shared" si="21"/>
        <v>0</v>
      </c>
    </row>
    <row r="1357" spans="1:3" hidden="1" x14ac:dyDescent="0.25">
      <c r="A1357" t="s">
        <v>3529</v>
      </c>
      <c r="B1357">
        <v>1086</v>
      </c>
      <c r="C1357" t="b">
        <f t="shared" si="21"/>
        <v>0</v>
      </c>
    </row>
    <row r="1358" spans="1:3" hidden="1" x14ac:dyDescent="0.25">
      <c r="A1358" t="s">
        <v>2877</v>
      </c>
      <c r="B1358">
        <v>391</v>
      </c>
      <c r="C1358" t="b">
        <f t="shared" si="21"/>
        <v>0</v>
      </c>
    </row>
    <row r="1359" spans="1:3" hidden="1" x14ac:dyDescent="0.25">
      <c r="A1359" t="s">
        <v>2878</v>
      </c>
      <c r="B1359">
        <v>392</v>
      </c>
      <c r="C1359" t="b">
        <f t="shared" si="21"/>
        <v>0</v>
      </c>
    </row>
    <row r="1360" spans="1:3" hidden="1" x14ac:dyDescent="0.25">
      <c r="A1360" t="s">
        <v>4724</v>
      </c>
      <c r="B1360">
        <v>2396</v>
      </c>
      <c r="C1360" t="b">
        <f t="shared" si="21"/>
        <v>0</v>
      </c>
    </row>
    <row r="1361" spans="1:3" hidden="1" x14ac:dyDescent="0.25">
      <c r="A1361" t="s">
        <v>3773</v>
      </c>
      <c r="B1361">
        <v>1346</v>
      </c>
      <c r="C1361" t="b">
        <f t="shared" si="21"/>
        <v>0</v>
      </c>
    </row>
    <row r="1362" spans="1:3" hidden="1" x14ac:dyDescent="0.25">
      <c r="A1362" t="s">
        <v>3774</v>
      </c>
      <c r="B1362">
        <v>1347</v>
      </c>
      <c r="C1362" t="b">
        <f t="shared" si="21"/>
        <v>0</v>
      </c>
    </row>
    <row r="1363" spans="1:3" hidden="1" x14ac:dyDescent="0.25">
      <c r="A1363" t="s">
        <v>3772</v>
      </c>
      <c r="B1363">
        <v>1345</v>
      </c>
      <c r="C1363" t="b">
        <f t="shared" si="21"/>
        <v>0</v>
      </c>
    </row>
    <row r="1364" spans="1:3" hidden="1" x14ac:dyDescent="0.25">
      <c r="A1364" t="s">
        <v>3775</v>
      </c>
      <c r="B1364">
        <v>1348</v>
      </c>
      <c r="C1364" t="b">
        <f t="shared" si="21"/>
        <v>0</v>
      </c>
    </row>
    <row r="1365" spans="1:3" hidden="1" x14ac:dyDescent="0.25">
      <c r="A1365" t="s">
        <v>3776</v>
      </c>
      <c r="B1365">
        <v>1349</v>
      </c>
      <c r="C1365" t="b">
        <f t="shared" si="21"/>
        <v>0</v>
      </c>
    </row>
    <row r="1366" spans="1:3" hidden="1" x14ac:dyDescent="0.25">
      <c r="A1366" t="s">
        <v>3777</v>
      </c>
      <c r="B1366">
        <v>1350</v>
      </c>
      <c r="C1366" t="b">
        <f t="shared" si="21"/>
        <v>0</v>
      </c>
    </row>
    <row r="1367" spans="1:3" hidden="1" x14ac:dyDescent="0.25">
      <c r="A1367" t="s">
        <v>3778</v>
      </c>
      <c r="B1367">
        <v>1351</v>
      </c>
      <c r="C1367" t="b">
        <f t="shared" si="21"/>
        <v>0</v>
      </c>
    </row>
    <row r="1368" spans="1:3" hidden="1" x14ac:dyDescent="0.25">
      <c r="A1368" t="s">
        <v>3779</v>
      </c>
      <c r="B1368">
        <v>1352</v>
      </c>
      <c r="C1368" t="b">
        <f t="shared" si="21"/>
        <v>0</v>
      </c>
    </row>
    <row r="1369" spans="1:3" hidden="1" x14ac:dyDescent="0.25">
      <c r="A1369" t="s">
        <v>3780</v>
      </c>
      <c r="B1369">
        <v>1353</v>
      </c>
      <c r="C1369" t="b">
        <f t="shared" si="21"/>
        <v>0</v>
      </c>
    </row>
    <row r="1370" spans="1:3" hidden="1" x14ac:dyDescent="0.25">
      <c r="A1370" t="s">
        <v>3781</v>
      </c>
      <c r="B1370">
        <v>1354</v>
      </c>
      <c r="C1370" t="b">
        <f t="shared" si="21"/>
        <v>0</v>
      </c>
    </row>
    <row r="1371" spans="1:3" hidden="1" x14ac:dyDescent="0.25">
      <c r="A1371" t="s">
        <v>3782</v>
      </c>
      <c r="B1371">
        <v>1355</v>
      </c>
      <c r="C1371" t="b">
        <f t="shared" si="21"/>
        <v>0</v>
      </c>
    </row>
    <row r="1372" spans="1:3" hidden="1" x14ac:dyDescent="0.25">
      <c r="A1372" t="s">
        <v>3811</v>
      </c>
      <c r="B1372">
        <v>1386</v>
      </c>
      <c r="C1372" t="b">
        <f t="shared" si="21"/>
        <v>0</v>
      </c>
    </row>
    <row r="1373" spans="1:3" hidden="1" x14ac:dyDescent="0.25">
      <c r="A1373" t="s">
        <v>3810</v>
      </c>
      <c r="B1373">
        <v>1385</v>
      </c>
      <c r="C1373" t="b">
        <f t="shared" si="21"/>
        <v>0</v>
      </c>
    </row>
    <row r="1374" spans="1:3" hidden="1" x14ac:dyDescent="0.25">
      <c r="A1374" t="s">
        <v>4725</v>
      </c>
      <c r="B1374">
        <v>2397</v>
      </c>
      <c r="C1374" t="b">
        <f t="shared" si="21"/>
        <v>0</v>
      </c>
    </row>
    <row r="1375" spans="1:3" hidden="1" x14ac:dyDescent="0.25">
      <c r="A1375" t="s">
        <v>3444</v>
      </c>
      <c r="B1375">
        <v>994</v>
      </c>
      <c r="C1375" t="b">
        <f t="shared" si="21"/>
        <v>0</v>
      </c>
    </row>
    <row r="1376" spans="1:3" hidden="1" x14ac:dyDescent="0.25">
      <c r="A1376" t="s">
        <v>3443</v>
      </c>
      <c r="B1376">
        <v>993</v>
      </c>
      <c r="C1376" t="b">
        <f t="shared" si="21"/>
        <v>0</v>
      </c>
    </row>
    <row r="1377" spans="1:3" hidden="1" x14ac:dyDescent="0.25">
      <c r="A1377" t="s">
        <v>2839</v>
      </c>
      <c r="B1377">
        <v>352</v>
      </c>
      <c r="C1377" t="b">
        <f t="shared" si="21"/>
        <v>0</v>
      </c>
    </row>
    <row r="1378" spans="1:3" hidden="1" x14ac:dyDescent="0.25">
      <c r="A1378" t="s">
        <v>3114</v>
      </c>
      <c r="B1378">
        <v>645</v>
      </c>
      <c r="C1378" t="b">
        <f t="shared" si="21"/>
        <v>0</v>
      </c>
    </row>
    <row r="1379" spans="1:3" hidden="1" x14ac:dyDescent="0.25">
      <c r="A1379" t="s">
        <v>3115</v>
      </c>
      <c r="B1379">
        <v>646</v>
      </c>
      <c r="C1379" t="b">
        <f t="shared" si="21"/>
        <v>0</v>
      </c>
    </row>
    <row r="1380" spans="1:3" hidden="1" x14ac:dyDescent="0.25">
      <c r="A1380" t="s">
        <v>3310</v>
      </c>
      <c r="B1380">
        <v>848</v>
      </c>
      <c r="C1380" t="b">
        <f t="shared" si="21"/>
        <v>0</v>
      </c>
    </row>
    <row r="1381" spans="1:3" hidden="1" x14ac:dyDescent="0.25">
      <c r="A1381" t="s">
        <v>4886</v>
      </c>
      <c r="B1381">
        <v>2578</v>
      </c>
      <c r="C1381" t="b">
        <f t="shared" si="21"/>
        <v>0</v>
      </c>
    </row>
    <row r="1382" spans="1:3" hidden="1" x14ac:dyDescent="0.25">
      <c r="A1382" t="s">
        <v>2994</v>
      </c>
      <c r="B1382">
        <v>516</v>
      </c>
      <c r="C1382" t="b">
        <f t="shared" si="21"/>
        <v>0</v>
      </c>
    </row>
    <row r="1383" spans="1:3" hidden="1" x14ac:dyDescent="0.25">
      <c r="A1383" t="s">
        <v>4647</v>
      </c>
      <c r="B1383">
        <v>2307</v>
      </c>
      <c r="C1383" t="b">
        <f t="shared" si="21"/>
        <v>0</v>
      </c>
    </row>
    <row r="1384" spans="1:3" hidden="1" x14ac:dyDescent="0.25">
      <c r="A1384" t="s">
        <v>4680</v>
      </c>
      <c r="B1384">
        <v>2343</v>
      </c>
      <c r="C1384" t="b">
        <f t="shared" si="21"/>
        <v>0</v>
      </c>
    </row>
    <row r="1385" spans="1:3" hidden="1" x14ac:dyDescent="0.25">
      <c r="A1385" t="s">
        <v>4887</v>
      </c>
      <c r="B1385">
        <v>2579</v>
      </c>
      <c r="C1385" t="b">
        <f t="shared" si="21"/>
        <v>0</v>
      </c>
    </row>
    <row r="1386" spans="1:3" hidden="1" x14ac:dyDescent="0.25">
      <c r="A1386" t="s">
        <v>4618</v>
      </c>
      <c r="B1386">
        <v>2277</v>
      </c>
      <c r="C1386" t="b">
        <f t="shared" si="21"/>
        <v>0</v>
      </c>
    </row>
    <row r="1387" spans="1:3" hidden="1" x14ac:dyDescent="0.25">
      <c r="A1387" t="s">
        <v>2647</v>
      </c>
      <c r="B1387">
        <v>156</v>
      </c>
      <c r="C1387" t="b">
        <f t="shared" si="21"/>
        <v>0</v>
      </c>
    </row>
    <row r="1388" spans="1:3" hidden="1" x14ac:dyDescent="0.25">
      <c r="A1388" t="s">
        <v>3338</v>
      </c>
      <c r="B1388">
        <v>878</v>
      </c>
      <c r="C1388" t="b">
        <f t="shared" si="21"/>
        <v>0</v>
      </c>
    </row>
    <row r="1389" spans="1:3" hidden="1" x14ac:dyDescent="0.25">
      <c r="A1389" t="s">
        <v>2912</v>
      </c>
      <c r="B1389">
        <v>428</v>
      </c>
      <c r="C1389" t="b">
        <f t="shared" si="21"/>
        <v>0</v>
      </c>
    </row>
    <row r="1390" spans="1:3" hidden="1" x14ac:dyDescent="0.25">
      <c r="A1390" t="s">
        <v>4844</v>
      </c>
      <c r="B1390">
        <v>2530</v>
      </c>
      <c r="C1390" t="b">
        <f t="shared" si="21"/>
        <v>0</v>
      </c>
    </row>
    <row r="1391" spans="1:3" hidden="1" x14ac:dyDescent="0.25">
      <c r="A1391" t="s">
        <v>4845</v>
      </c>
      <c r="B1391">
        <v>2531</v>
      </c>
      <c r="C1391" t="b">
        <f t="shared" si="21"/>
        <v>0</v>
      </c>
    </row>
    <row r="1392" spans="1:3" hidden="1" x14ac:dyDescent="0.25">
      <c r="A1392" t="s">
        <v>4409</v>
      </c>
      <c r="B1392">
        <v>2043</v>
      </c>
      <c r="C1392" t="b">
        <f t="shared" si="21"/>
        <v>0</v>
      </c>
    </row>
    <row r="1393" spans="1:3" hidden="1" x14ac:dyDescent="0.25">
      <c r="A1393" t="s">
        <v>2744</v>
      </c>
      <c r="B1393">
        <v>255</v>
      </c>
      <c r="C1393" t="b">
        <f t="shared" si="21"/>
        <v>0</v>
      </c>
    </row>
    <row r="1394" spans="1:3" hidden="1" x14ac:dyDescent="0.25">
      <c r="A1394" t="s">
        <v>4930</v>
      </c>
      <c r="B1394">
        <v>2628</v>
      </c>
      <c r="C1394" t="b">
        <f t="shared" si="21"/>
        <v>0</v>
      </c>
    </row>
    <row r="1395" spans="1:3" hidden="1" x14ac:dyDescent="0.25">
      <c r="A1395" t="s">
        <v>2787</v>
      </c>
      <c r="B1395">
        <v>299</v>
      </c>
      <c r="C1395" t="b">
        <f t="shared" si="21"/>
        <v>0</v>
      </c>
    </row>
    <row r="1396" spans="1:3" hidden="1" x14ac:dyDescent="0.25">
      <c r="A1396" t="s">
        <v>4193</v>
      </c>
      <c r="B1396">
        <v>1813</v>
      </c>
      <c r="C1396" t="b">
        <f t="shared" si="21"/>
        <v>0</v>
      </c>
    </row>
    <row r="1397" spans="1:3" hidden="1" x14ac:dyDescent="0.25">
      <c r="A1397" t="s">
        <v>3821</v>
      </c>
      <c r="B1397">
        <v>1398</v>
      </c>
      <c r="C1397" t="b">
        <f t="shared" si="21"/>
        <v>0</v>
      </c>
    </row>
    <row r="1398" spans="1:3" hidden="1" x14ac:dyDescent="0.25">
      <c r="A1398" t="s">
        <v>3820</v>
      </c>
      <c r="B1398">
        <v>1396</v>
      </c>
      <c r="C1398" t="b">
        <f t="shared" si="21"/>
        <v>0</v>
      </c>
    </row>
    <row r="1399" spans="1:3" hidden="1" x14ac:dyDescent="0.25">
      <c r="A1399" t="s">
        <v>4219</v>
      </c>
      <c r="B1399">
        <v>1841</v>
      </c>
      <c r="C1399" t="b">
        <f t="shared" si="21"/>
        <v>0</v>
      </c>
    </row>
    <row r="1400" spans="1:3" hidden="1" x14ac:dyDescent="0.25">
      <c r="A1400" t="s">
        <v>3616</v>
      </c>
      <c r="B1400">
        <v>1180</v>
      </c>
      <c r="C1400" t="b">
        <f t="shared" si="21"/>
        <v>0</v>
      </c>
    </row>
    <row r="1401" spans="1:3" hidden="1" x14ac:dyDescent="0.25">
      <c r="A1401" t="s">
        <v>3403</v>
      </c>
      <c r="B1401">
        <v>948</v>
      </c>
      <c r="C1401" t="b">
        <f t="shared" si="21"/>
        <v>0</v>
      </c>
    </row>
    <row r="1402" spans="1:3" hidden="1" x14ac:dyDescent="0.25">
      <c r="A1402" t="s">
        <v>2788</v>
      </c>
      <c r="B1402">
        <v>300</v>
      </c>
      <c r="C1402" t="b">
        <f t="shared" si="21"/>
        <v>0</v>
      </c>
    </row>
    <row r="1403" spans="1:3" hidden="1" x14ac:dyDescent="0.25">
      <c r="A1403" t="s">
        <v>2789</v>
      </c>
      <c r="B1403">
        <v>301</v>
      </c>
      <c r="C1403" t="b">
        <f t="shared" si="21"/>
        <v>0</v>
      </c>
    </row>
    <row r="1404" spans="1:3" hidden="1" x14ac:dyDescent="0.25">
      <c r="A1404" t="s">
        <v>4194</v>
      </c>
      <c r="B1404">
        <v>1814</v>
      </c>
      <c r="C1404" t="b">
        <f t="shared" si="21"/>
        <v>0</v>
      </c>
    </row>
    <row r="1405" spans="1:3" hidden="1" x14ac:dyDescent="0.25">
      <c r="A1405" t="s">
        <v>5161</v>
      </c>
      <c r="B1405">
        <v>2867</v>
      </c>
      <c r="C1405" t="b">
        <f t="shared" si="21"/>
        <v>0</v>
      </c>
    </row>
    <row r="1406" spans="1:3" hidden="1" x14ac:dyDescent="0.25">
      <c r="A1406" t="s">
        <v>3531</v>
      </c>
      <c r="B1406">
        <v>1088</v>
      </c>
      <c r="C1406" t="b">
        <f t="shared" si="21"/>
        <v>0</v>
      </c>
    </row>
    <row r="1407" spans="1:3" hidden="1" x14ac:dyDescent="0.25">
      <c r="A1407" t="s">
        <v>3532</v>
      </c>
      <c r="B1407">
        <v>1089</v>
      </c>
      <c r="C1407" t="b">
        <f t="shared" si="21"/>
        <v>0</v>
      </c>
    </row>
    <row r="1408" spans="1:3" hidden="1" x14ac:dyDescent="0.25">
      <c r="A1408" t="s">
        <v>3530</v>
      </c>
      <c r="B1408">
        <v>1087</v>
      </c>
      <c r="C1408" t="b">
        <f t="shared" si="21"/>
        <v>0</v>
      </c>
    </row>
    <row r="1409" spans="1:3" hidden="1" x14ac:dyDescent="0.25">
      <c r="A1409" t="s">
        <v>4410</v>
      </c>
      <c r="B1409">
        <v>2044</v>
      </c>
      <c r="C1409" t="b">
        <f t="shared" si="21"/>
        <v>0</v>
      </c>
    </row>
    <row r="1410" spans="1:3" hidden="1" x14ac:dyDescent="0.25">
      <c r="A1410" t="s">
        <v>2743</v>
      </c>
      <c r="B1410">
        <v>254</v>
      </c>
      <c r="C1410" t="b">
        <f t="shared" si="21"/>
        <v>0</v>
      </c>
    </row>
    <row r="1411" spans="1:3" x14ac:dyDescent="0.25">
      <c r="A1411" t="s">
        <v>2743</v>
      </c>
      <c r="B1411">
        <v>995</v>
      </c>
      <c r="C1411" t="b">
        <f t="shared" ref="C1411:C1474" si="22">A1411=A1410</f>
        <v>1</v>
      </c>
    </row>
    <row r="1412" spans="1:3" x14ac:dyDescent="0.25">
      <c r="A1412" t="s">
        <v>2743</v>
      </c>
      <c r="B1412">
        <v>1397</v>
      </c>
      <c r="C1412" t="b">
        <f t="shared" si="22"/>
        <v>1</v>
      </c>
    </row>
    <row r="1413" spans="1:3" x14ac:dyDescent="0.25">
      <c r="A1413" t="s">
        <v>2743</v>
      </c>
      <c r="B1413">
        <v>1812</v>
      </c>
      <c r="C1413" t="b">
        <f t="shared" si="22"/>
        <v>1</v>
      </c>
    </row>
    <row r="1414" spans="1:3" hidden="1" x14ac:dyDescent="0.25">
      <c r="A1414" t="s">
        <v>3963</v>
      </c>
      <c r="B1414">
        <v>1552</v>
      </c>
      <c r="C1414" t="b">
        <f t="shared" si="22"/>
        <v>0</v>
      </c>
    </row>
    <row r="1415" spans="1:3" x14ac:dyDescent="0.25">
      <c r="A1415" t="s">
        <v>3963</v>
      </c>
      <c r="B1415">
        <v>2344</v>
      </c>
      <c r="C1415" t="b">
        <f t="shared" si="22"/>
        <v>1</v>
      </c>
    </row>
    <row r="1416" spans="1:3" hidden="1" x14ac:dyDescent="0.25">
      <c r="A1416" t="s">
        <v>3783</v>
      </c>
      <c r="B1416">
        <v>1356</v>
      </c>
      <c r="C1416" t="b">
        <f t="shared" si="22"/>
        <v>0</v>
      </c>
    </row>
    <row r="1417" spans="1:3" hidden="1" x14ac:dyDescent="0.25">
      <c r="A1417" t="s">
        <v>4304</v>
      </c>
      <c r="B1417">
        <v>1932</v>
      </c>
      <c r="C1417" t="b">
        <f t="shared" si="22"/>
        <v>0</v>
      </c>
    </row>
    <row r="1418" spans="1:3" hidden="1" x14ac:dyDescent="0.25">
      <c r="A1418" t="s">
        <v>4305</v>
      </c>
      <c r="B1418">
        <v>1933</v>
      </c>
      <c r="C1418" t="b">
        <f t="shared" si="22"/>
        <v>0</v>
      </c>
    </row>
    <row r="1419" spans="1:3" hidden="1" x14ac:dyDescent="0.25">
      <c r="A1419" t="s">
        <v>2553</v>
      </c>
      <c r="B1419">
        <v>58</v>
      </c>
      <c r="C1419" t="b">
        <f t="shared" si="22"/>
        <v>0</v>
      </c>
    </row>
    <row r="1420" spans="1:3" hidden="1" x14ac:dyDescent="0.25">
      <c r="A1420" t="s">
        <v>3173</v>
      </c>
      <c r="B1420">
        <v>706</v>
      </c>
      <c r="C1420" t="b">
        <f t="shared" si="22"/>
        <v>0</v>
      </c>
    </row>
    <row r="1421" spans="1:3" hidden="1" x14ac:dyDescent="0.25">
      <c r="A1421" t="s">
        <v>4265</v>
      </c>
      <c r="B1421">
        <v>1889</v>
      </c>
      <c r="C1421" t="b">
        <f t="shared" si="22"/>
        <v>0</v>
      </c>
    </row>
    <row r="1422" spans="1:3" hidden="1" x14ac:dyDescent="0.25">
      <c r="A1422" t="s">
        <v>2879</v>
      </c>
      <c r="B1422">
        <v>393</v>
      </c>
      <c r="C1422" t="b">
        <f t="shared" si="22"/>
        <v>0</v>
      </c>
    </row>
    <row r="1423" spans="1:3" hidden="1" x14ac:dyDescent="0.25">
      <c r="A1423" t="s">
        <v>4264</v>
      </c>
      <c r="B1423">
        <v>1888</v>
      </c>
      <c r="C1423" t="b">
        <f t="shared" si="22"/>
        <v>0</v>
      </c>
    </row>
    <row r="1424" spans="1:3" hidden="1" x14ac:dyDescent="0.25">
      <c r="A1424" t="s">
        <v>4306</v>
      </c>
      <c r="B1424">
        <v>1934</v>
      </c>
      <c r="C1424" t="b">
        <f t="shared" si="22"/>
        <v>0</v>
      </c>
    </row>
    <row r="1425" spans="1:3" hidden="1" x14ac:dyDescent="0.25">
      <c r="A1425" t="s">
        <v>3533</v>
      </c>
      <c r="B1425">
        <v>1090</v>
      </c>
      <c r="C1425" t="b">
        <f t="shared" si="22"/>
        <v>0</v>
      </c>
    </row>
    <row r="1426" spans="1:3" hidden="1" x14ac:dyDescent="0.25">
      <c r="A1426" t="s">
        <v>4796</v>
      </c>
      <c r="B1426">
        <v>2477</v>
      </c>
      <c r="C1426" t="b">
        <f t="shared" si="22"/>
        <v>0</v>
      </c>
    </row>
    <row r="1427" spans="1:3" hidden="1" x14ac:dyDescent="0.25">
      <c r="A1427" t="s">
        <v>2648</v>
      </c>
      <c r="B1427">
        <v>157</v>
      </c>
      <c r="C1427" t="b">
        <f t="shared" si="22"/>
        <v>0</v>
      </c>
    </row>
    <row r="1428" spans="1:3" hidden="1" x14ac:dyDescent="0.25">
      <c r="A1428" t="s">
        <v>2649</v>
      </c>
      <c r="B1428">
        <v>158</v>
      </c>
      <c r="C1428" t="b">
        <f t="shared" si="22"/>
        <v>0</v>
      </c>
    </row>
    <row r="1429" spans="1:3" hidden="1" x14ac:dyDescent="0.25">
      <c r="A1429" t="s">
        <v>3476</v>
      </c>
      <c r="B1429">
        <v>1031</v>
      </c>
      <c r="C1429" t="b">
        <f t="shared" si="22"/>
        <v>0</v>
      </c>
    </row>
    <row r="1430" spans="1:3" hidden="1" x14ac:dyDescent="0.25">
      <c r="A1430" t="s">
        <v>3477</v>
      </c>
      <c r="B1430">
        <v>1032</v>
      </c>
      <c r="C1430" t="b">
        <f t="shared" si="22"/>
        <v>0</v>
      </c>
    </row>
    <row r="1431" spans="1:3" hidden="1" x14ac:dyDescent="0.25">
      <c r="A1431" t="s">
        <v>3478</v>
      </c>
      <c r="B1431">
        <v>1033</v>
      </c>
      <c r="C1431" t="b">
        <f t="shared" si="22"/>
        <v>0</v>
      </c>
    </row>
    <row r="1432" spans="1:3" hidden="1" x14ac:dyDescent="0.25">
      <c r="A1432" t="s">
        <v>3479</v>
      </c>
      <c r="B1432">
        <v>1034</v>
      </c>
      <c r="C1432" t="b">
        <f t="shared" si="22"/>
        <v>0</v>
      </c>
    </row>
    <row r="1433" spans="1:3" hidden="1" x14ac:dyDescent="0.25">
      <c r="A1433" t="s">
        <v>3480</v>
      </c>
      <c r="B1433">
        <v>1035</v>
      </c>
      <c r="C1433" t="b">
        <f t="shared" si="22"/>
        <v>0</v>
      </c>
    </row>
    <row r="1434" spans="1:3" hidden="1" x14ac:dyDescent="0.25">
      <c r="A1434" t="s">
        <v>3481</v>
      </c>
      <c r="B1434">
        <v>1036</v>
      </c>
      <c r="C1434" t="b">
        <f t="shared" si="22"/>
        <v>0</v>
      </c>
    </row>
    <row r="1435" spans="1:3" hidden="1" x14ac:dyDescent="0.25">
      <c r="A1435" t="s">
        <v>3482</v>
      </c>
      <c r="B1435">
        <v>1037</v>
      </c>
      <c r="C1435" t="b">
        <f t="shared" si="22"/>
        <v>0</v>
      </c>
    </row>
    <row r="1436" spans="1:3" hidden="1" x14ac:dyDescent="0.25">
      <c r="A1436" t="s">
        <v>3483</v>
      </c>
      <c r="B1436">
        <v>1038</v>
      </c>
      <c r="C1436" t="b">
        <f t="shared" si="22"/>
        <v>0</v>
      </c>
    </row>
    <row r="1437" spans="1:3" hidden="1" x14ac:dyDescent="0.25">
      <c r="A1437" t="s">
        <v>3484</v>
      </c>
      <c r="B1437">
        <v>1039</v>
      </c>
      <c r="C1437" t="b">
        <f t="shared" si="22"/>
        <v>0</v>
      </c>
    </row>
    <row r="1438" spans="1:3" hidden="1" x14ac:dyDescent="0.25">
      <c r="A1438" t="s">
        <v>3485</v>
      </c>
      <c r="B1438">
        <v>1040</v>
      </c>
      <c r="C1438" t="b">
        <f t="shared" si="22"/>
        <v>0</v>
      </c>
    </row>
    <row r="1439" spans="1:3" hidden="1" x14ac:dyDescent="0.25">
      <c r="A1439" t="s">
        <v>3486</v>
      </c>
      <c r="B1439">
        <v>1041</v>
      </c>
      <c r="C1439" t="b">
        <f t="shared" si="22"/>
        <v>0</v>
      </c>
    </row>
    <row r="1440" spans="1:3" hidden="1" x14ac:dyDescent="0.25">
      <c r="A1440" t="s">
        <v>3487</v>
      </c>
      <c r="B1440">
        <v>1042</v>
      </c>
      <c r="C1440" t="b">
        <f t="shared" si="22"/>
        <v>0</v>
      </c>
    </row>
    <row r="1441" spans="1:3" hidden="1" x14ac:dyDescent="0.25">
      <c r="A1441" t="s">
        <v>3488</v>
      </c>
      <c r="B1441">
        <v>1043</v>
      </c>
      <c r="C1441" t="b">
        <f t="shared" si="22"/>
        <v>0</v>
      </c>
    </row>
    <row r="1442" spans="1:3" hidden="1" x14ac:dyDescent="0.25">
      <c r="A1442" t="s">
        <v>3489</v>
      </c>
      <c r="B1442">
        <v>1044</v>
      </c>
      <c r="C1442" t="b">
        <f t="shared" si="22"/>
        <v>0</v>
      </c>
    </row>
    <row r="1443" spans="1:3" hidden="1" x14ac:dyDescent="0.25">
      <c r="A1443" t="s">
        <v>3846</v>
      </c>
      <c r="B1443">
        <v>1425</v>
      </c>
      <c r="C1443" t="b">
        <f t="shared" si="22"/>
        <v>0</v>
      </c>
    </row>
    <row r="1444" spans="1:3" hidden="1" x14ac:dyDescent="0.25">
      <c r="A1444" t="s">
        <v>3849</v>
      </c>
      <c r="B1444">
        <v>1428</v>
      </c>
      <c r="C1444" t="b">
        <f t="shared" si="22"/>
        <v>0</v>
      </c>
    </row>
    <row r="1445" spans="1:3" hidden="1" x14ac:dyDescent="0.25">
      <c r="A1445" t="s">
        <v>3850</v>
      </c>
      <c r="B1445">
        <v>1429</v>
      </c>
      <c r="C1445" t="b">
        <f t="shared" si="22"/>
        <v>0</v>
      </c>
    </row>
    <row r="1446" spans="1:3" hidden="1" x14ac:dyDescent="0.25">
      <c r="A1446" t="s">
        <v>3851</v>
      </c>
      <c r="B1446">
        <v>1430</v>
      </c>
      <c r="C1446" t="b">
        <f t="shared" si="22"/>
        <v>0</v>
      </c>
    </row>
    <row r="1447" spans="1:3" hidden="1" x14ac:dyDescent="0.25">
      <c r="A1447" t="s">
        <v>3852</v>
      </c>
      <c r="B1447">
        <v>1431</v>
      </c>
      <c r="C1447" t="b">
        <f t="shared" si="22"/>
        <v>0</v>
      </c>
    </row>
    <row r="1448" spans="1:3" hidden="1" x14ac:dyDescent="0.25">
      <c r="A1448" t="s">
        <v>3853</v>
      </c>
      <c r="B1448">
        <v>1432</v>
      </c>
      <c r="C1448" t="b">
        <f t="shared" si="22"/>
        <v>0</v>
      </c>
    </row>
    <row r="1449" spans="1:3" hidden="1" x14ac:dyDescent="0.25">
      <c r="A1449" t="s">
        <v>3854</v>
      </c>
      <c r="B1449">
        <v>1433</v>
      </c>
      <c r="C1449" t="b">
        <f t="shared" si="22"/>
        <v>0</v>
      </c>
    </row>
    <row r="1450" spans="1:3" hidden="1" x14ac:dyDescent="0.25">
      <c r="A1450" t="s">
        <v>3847</v>
      </c>
      <c r="B1450">
        <v>1426</v>
      </c>
      <c r="C1450" t="b">
        <f t="shared" si="22"/>
        <v>0</v>
      </c>
    </row>
    <row r="1451" spans="1:3" hidden="1" x14ac:dyDescent="0.25">
      <c r="A1451" t="s">
        <v>3855</v>
      </c>
      <c r="B1451">
        <v>1434</v>
      </c>
      <c r="C1451" t="b">
        <f t="shared" si="22"/>
        <v>0</v>
      </c>
    </row>
    <row r="1452" spans="1:3" hidden="1" x14ac:dyDescent="0.25">
      <c r="A1452" t="s">
        <v>3856</v>
      </c>
      <c r="B1452">
        <v>1435</v>
      </c>
      <c r="C1452" t="b">
        <f t="shared" si="22"/>
        <v>0</v>
      </c>
    </row>
    <row r="1453" spans="1:3" hidden="1" x14ac:dyDescent="0.25">
      <c r="A1453" t="s">
        <v>3857</v>
      </c>
      <c r="B1453">
        <v>1436</v>
      </c>
      <c r="C1453" t="b">
        <f t="shared" si="22"/>
        <v>0</v>
      </c>
    </row>
    <row r="1454" spans="1:3" hidden="1" x14ac:dyDescent="0.25">
      <c r="A1454" t="s">
        <v>3858</v>
      </c>
      <c r="B1454">
        <v>1437</v>
      </c>
      <c r="C1454" t="b">
        <f t="shared" si="22"/>
        <v>0</v>
      </c>
    </row>
    <row r="1455" spans="1:3" hidden="1" x14ac:dyDescent="0.25">
      <c r="A1455" t="s">
        <v>3848</v>
      </c>
      <c r="B1455">
        <v>1427</v>
      </c>
      <c r="C1455" t="b">
        <f t="shared" si="22"/>
        <v>0</v>
      </c>
    </row>
    <row r="1456" spans="1:3" hidden="1" x14ac:dyDescent="0.25">
      <c r="A1456" t="s">
        <v>4174</v>
      </c>
      <c r="B1456">
        <v>1789</v>
      </c>
      <c r="C1456" t="b">
        <f t="shared" si="22"/>
        <v>0</v>
      </c>
    </row>
    <row r="1457" spans="1:3" hidden="1" x14ac:dyDescent="0.25">
      <c r="A1457" t="s">
        <v>4220</v>
      </c>
      <c r="B1457">
        <v>1842</v>
      </c>
      <c r="C1457" t="b">
        <f t="shared" si="22"/>
        <v>0</v>
      </c>
    </row>
    <row r="1458" spans="1:3" hidden="1" x14ac:dyDescent="0.25">
      <c r="A1458" t="s">
        <v>3404</v>
      </c>
      <c r="B1458">
        <v>949</v>
      </c>
      <c r="C1458" t="b">
        <f t="shared" si="22"/>
        <v>0</v>
      </c>
    </row>
    <row r="1459" spans="1:3" hidden="1" x14ac:dyDescent="0.25">
      <c r="A1459" t="s">
        <v>3405</v>
      </c>
      <c r="B1459">
        <v>950</v>
      </c>
      <c r="C1459" t="b">
        <f t="shared" si="22"/>
        <v>0</v>
      </c>
    </row>
    <row r="1460" spans="1:3" hidden="1" x14ac:dyDescent="0.25">
      <c r="A1460" t="s">
        <v>4978</v>
      </c>
      <c r="B1460">
        <v>2678</v>
      </c>
      <c r="C1460" t="b">
        <f t="shared" si="22"/>
        <v>0</v>
      </c>
    </row>
    <row r="1461" spans="1:3" hidden="1" x14ac:dyDescent="0.25">
      <c r="A1461" t="s">
        <v>4931</v>
      </c>
      <c r="B1461">
        <v>2629</v>
      </c>
      <c r="C1461" t="b">
        <f t="shared" si="22"/>
        <v>0</v>
      </c>
    </row>
    <row r="1462" spans="1:3" hidden="1" x14ac:dyDescent="0.25">
      <c r="A1462" t="s">
        <v>4932</v>
      </c>
      <c r="B1462">
        <v>2630</v>
      </c>
      <c r="C1462" t="b">
        <f t="shared" si="22"/>
        <v>0</v>
      </c>
    </row>
    <row r="1463" spans="1:3" hidden="1" x14ac:dyDescent="0.25">
      <c r="A1463" t="s">
        <v>4934</v>
      </c>
      <c r="B1463">
        <v>2632</v>
      </c>
      <c r="C1463" t="b">
        <f t="shared" si="22"/>
        <v>0</v>
      </c>
    </row>
    <row r="1464" spans="1:3" hidden="1" x14ac:dyDescent="0.25">
      <c r="A1464" t="s">
        <v>4933</v>
      </c>
      <c r="B1464">
        <v>2631</v>
      </c>
      <c r="C1464" t="b">
        <f t="shared" si="22"/>
        <v>0</v>
      </c>
    </row>
    <row r="1465" spans="1:3" hidden="1" x14ac:dyDescent="0.25">
      <c r="A1465" t="s">
        <v>3051</v>
      </c>
      <c r="B1465">
        <v>578</v>
      </c>
      <c r="C1465" t="b">
        <f t="shared" si="22"/>
        <v>0</v>
      </c>
    </row>
    <row r="1466" spans="1:3" hidden="1" x14ac:dyDescent="0.25">
      <c r="A1466" t="s">
        <v>2554</v>
      </c>
      <c r="B1466">
        <v>59</v>
      </c>
      <c r="C1466" t="b">
        <f t="shared" si="22"/>
        <v>0</v>
      </c>
    </row>
    <row r="1467" spans="1:3" x14ac:dyDescent="0.25">
      <c r="A1467" t="s">
        <v>2554</v>
      </c>
      <c r="B1467">
        <v>394</v>
      </c>
      <c r="C1467" t="b">
        <f t="shared" si="22"/>
        <v>1</v>
      </c>
    </row>
    <row r="1468" spans="1:3" x14ac:dyDescent="0.25">
      <c r="A1468" t="s">
        <v>2554</v>
      </c>
      <c r="B1468">
        <v>1790</v>
      </c>
      <c r="C1468" t="b">
        <f t="shared" si="22"/>
        <v>1</v>
      </c>
    </row>
    <row r="1469" spans="1:3" hidden="1" x14ac:dyDescent="0.25">
      <c r="A1469" t="s">
        <v>3879</v>
      </c>
      <c r="B1469">
        <v>1461</v>
      </c>
      <c r="C1469" t="b">
        <f t="shared" si="22"/>
        <v>0</v>
      </c>
    </row>
    <row r="1470" spans="1:3" hidden="1" x14ac:dyDescent="0.25">
      <c r="A1470" t="s">
        <v>3877</v>
      </c>
      <c r="B1470">
        <v>1459</v>
      </c>
      <c r="C1470" t="b">
        <f t="shared" si="22"/>
        <v>0</v>
      </c>
    </row>
    <row r="1471" spans="1:3" hidden="1" x14ac:dyDescent="0.25">
      <c r="A1471" t="s">
        <v>3878</v>
      </c>
      <c r="B1471">
        <v>1460</v>
      </c>
      <c r="C1471" t="b">
        <f t="shared" si="22"/>
        <v>0</v>
      </c>
    </row>
    <row r="1472" spans="1:3" hidden="1" x14ac:dyDescent="0.25">
      <c r="A1472" t="s">
        <v>2555</v>
      </c>
      <c r="B1472">
        <v>60</v>
      </c>
      <c r="C1472" t="b">
        <f t="shared" si="22"/>
        <v>0</v>
      </c>
    </row>
    <row r="1473" spans="1:3" hidden="1" x14ac:dyDescent="0.25">
      <c r="A1473" t="s">
        <v>3880</v>
      </c>
      <c r="B1473">
        <v>1462</v>
      </c>
      <c r="C1473" t="b">
        <f t="shared" si="22"/>
        <v>0</v>
      </c>
    </row>
    <row r="1474" spans="1:3" hidden="1" x14ac:dyDescent="0.25">
      <c r="A1474" t="s">
        <v>3902</v>
      </c>
      <c r="B1474">
        <v>1487</v>
      </c>
      <c r="C1474" t="b">
        <f t="shared" si="22"/>
        <v>0</v>
      </c>
    </row>
    <row r="1475" spans="1:3" hidden="1" x14ac:dyDescent="0.25">
      <c r="A1475" t="s">
        <v>3903</v>
      </c>
      <c r="B1475">
        <v>1488</v>
      </c>
      <c r="C1475" t="b">
        <f t="shared" ref="C1475:C1538" si="23">A1475=A1474</f>
        <v>0</v>
      </c>
    </row>
    <row r="1476" spans="1:3" hidden="1" x14ac:dyDescent="0.25">
      <c r="A1476" t="s">
        <v>3901</v>
      </c>
      <c r="B1476">
        <v>1486</v>
      </c>
      <c r="C1476" t="b">
        <f t="shared" si="23"/>
        <v>0</v>
      </c>
    </row>
    <row r="1477" spans="1:3" hidden="1" x14ac:dyDescent="0.25">
      <c r="A1477" t="s">
        <v>3904</v>
      </c>
      <c r="B1477">
        <v>1489</v>
      </c>
      <c r="C1477" t="b">
        <f t="shared" si="23"/>
        <v>0</v>
      </c>
    </row>
    <row r="1478" spans="1:3" hidden="1" x14ac:dyDescent="0.25">
      <c r="A1478" t="s">
        <v>3905</v>
      </c>
      <c r="B1478">
        <v>1490</v>
      </c>
      <c r="C1478" t="b">
        <f t="shared" si="23"/>
        <v>0</v>
      </c>
    </row>
    <row r="1479" spans="1:3" hidden="1" x14ac:dyDescent="0.25">
      <c r="A1479" t="s">
        <v>3906</v>
      </c>
      <c r="B1479">
        <v>1491</v>
      </c>
      <c r="C1479" t="b">
        <f t="shared" si="23"/>
        <v>0</v>
      </c>
    </row>
    <row r="1480" spans="1:3" hidden="1" x14ac:dyDescent="0.25">
      <c r="A1480" t="s">
        <v>3907</v>
      </c>
      <c r="B1480">
        <v>1492</v>
      </c>
      <c r="C1480" t="b">
        <f t="shared" si="23"/>
        <v>0</v>
      </c>
    </row>
    <row r="1481" spans="1:3" hidden="1" x14ac:dyDescent="0.25">
      <c r="A1481" t="s">
        <v>4846</v>
      </c>
      <c r="B1481">
        <v>2532</v>
      </c>
      <c r="C1481" t="b">
        <f t="shared" si="23"/>
        <v>0</v>
      </c>
    </row>
    <row r="1482" spans="1:3" hidden="1" x14ac:dyDescent="0.25">
      <c r="A1482" t="s">
        <v>4008</v>
      </c>
      <c r="B1482">
        <v>1602</v>
      </c>
      <c r="C1482" t="b">
        <f t="shared" si="23"/>
        <v>0</v>
      </c>
    </row>
    <row r="1483" spans="1:3" hidden="1" x14ac:dyDescent="0.25">
      <c r="A1483" t="s">
        <v>4009</v>
      </c>
      <c r="B1483">
        <v>1603</v>
      </c>
      <c r="C1483" t="b">
        <f t="shared" si="23"/>
        <v>0</v>
      </c>
    </row>
    <row r="1484" spans="1:3" hidden="1" x14ac:dyDescent="0.25">
      <c r="A1484" t="s">
        <v>4411</v>
      </c>
      <c r="B1484">
        <v>2045</v>
      </c>
      <c r="C1484" t="b">
        <f t="shared" si="23"/>
        <v>0</v>
      </c>
    </row>
    <row r="1485" spans="1:3" hidden="1" x14ac:dyDescent="0.25">
      <c r="A1485" t="s">
        <v>3650</v>
      </c>
      <c r="B1485">
        <v>1217</v>
      </c>
      <c r="C1485" t="b">
        <f t="shared" si="23"/>
        <v>0</v>
      </c>
    </row>
    <row r="1486" spans="1:3" hidden="1" x14ac:dyDescent="0.25">
      <c r="A1486" t="s">
        <v>3649</v>
      </c>
      <c r="B1486">
        <v>1216</v>
      </c>
      <c r="C1486" t="b">
        <f t="shared" si="23"/>
        <v>0</v>
      </c>
    </row>
    <row r="1487" spans="1:3" hidden="1" x14ac:dyDescent="0.25">
      <c r="A1487" t="s">
        <v>4761</v>
      </c>
      <c r="B1487">
        <v>2434</v>
      </c>
      <c r="C1487" t="b">
        <f t="shared" si="23"/>
        <v>0</v>
      </c>
    </row>
    <row r="1488" spans="1:3" hidden="1" x14ac:dyDescent="0.25">
      <c r="A1488" t="s">
        <v>4535</v>
      </c>
      <c r="B1488">
        <v>2180</v>
      </c>
      <c r="C1488" t="b">
        <f t="shared" si="23"/>
        <v>0</v>
      </c>
    </row>
    <row r="1489" spans="1:3" hidden="1" x14ac:dyDescent="0.25">
      <c r="A1489" t="s">
        <v>2880</v>
      </c>
      <c r="B1489">
        <v>395</v>
      </c>
      <c r="C1489" t="b">
        <f t="shared" si="23"/>
        <v>0</v>
      </c>
    </row>
    <row r="1490" spans="1:3" x14ac:dyDescent="0.25">
      <c r="A1490" t="s">
        <v>2880</v>
      </c>
      <c r="B1490">
        <v>1045</v>
      </c>
      <c r="C1490" t="b">
        <f t="shared" si="23"/>
        <v>1</v>
      </c>
    </row>
    <row r="1491" spans="1:3" hidden="1" x14ac:dyDescent="0.25">
      <c r="A1491" t="s">
        <v>4536</v>
      </c>
      <c r="B1491">
        <v>2181</v>
      </c>
      <c r="C1491" t="b">
        <f t="shared" si="23"/>
        <v>0</v>
      </c>
    </row>
    <row r="1492" spans="1:3" hidden="1" x14ac:dyDescent="0.25">
      <c r="A1492" t="s">
        <v>3490</v>
      </c>
      <c r="B1492">
        <v>1046</v>
      </c>
      <c r="C1492" t="b">
        <f t="shared" si="23"/>
        <v>0</v>
      </c>
    </row>
    <row r="1493" spans="1:3" hidden="1" x14ac:dyDescent="0.25">
      <c r="A1493" t="s">
        <v>3491</v>
      </c>
      <c r="B1493">
        <v>1047</v>
      </c>
      <c r="C1493" t="b">
        <f t="shared" si="23"/>
        <v>0</v>
      </c>
    </row>
    <row r="1494" spans="1:3" hidden="1" x14ac:dyDescent="0.25">
      <c r="A1494" t="s">
        <v>4797</v>
      </c>
      <c r="B1494">
        <v>2478</v>
      </c>
      <c r="C1494" t="b">
        <f t="shared" si="23"/>
        <v>0</v>
      </c>
    </row>
    <row r="1495" spans="1:3" hidden="1" x14ac:dyDescent="0.25">
      <c r="A1495" t="s">
        <v>4798</v>
      </c>
      <c r="B1495">
        <v>2479</v>
      </c>
      <c r="C1495" t="b">
        <f t="shared" si="23"/>
        <v>0</v>
      </c>
    </row>
    <row r="1496" spans="1:3" hidden="1" x14ac:dyDescent="0.25">
      <c r="A1496" t="s">
        <v>3651</v>
      </c>
      <c r="B1496">
        <v>1218</v>
      </c>
      <c r="C1496" t="b">
        <f t="shared" si="23"/>
        <v>0</v>
      </c>
    </row>
    <row r="1497" spans="1:3" x14ac:dyDescent="0.25">
      <c r="A1497" t="s">
        <v>3651</v>
      </c>
      <c r="B1497">
        <v>2868</v>
      </c>
      <c r="C1497" t="b">
        <f t="shared" si="23"/>
        <v>1</v>
      </c>
    </row>
    <row r="1498" spans="1:3" hidden="1" x14ac:dyDescent="0.25">
      <c r="A1498" t="s">
        <v>3652</v>
      </c>
      <c r="B1498">
        <v>1219</v>
      </c>
      <c r="C1498" t="b">
        <f t="shared" si="23"/>
        <v>0</v>
      </c>
    </row>
    <row r="1499" spans="1:3" hidden="1" x14ac:dyDescent="0.25">
      <c r="A1499" t="s">
        <v>4350</v>
      </c>
      <c r="B1499">
        <v>1982</v>
      </c>
      <c r="C1499" t="b">
        <f t="shared" si="23"/>
        <v>0</v>
      </c>
    </row>
    <row r="1500" spans="1:3" hidden="1" x14ac:dyDescent="0.25">
      <c r="A1500" t="s">
        <v>4979</v>
      </c>
      <c r="B1500">
        <v>2679</v>
      </c>
      <c r="C1500" t="b">
        <f t="shared" si="23"/>
        <v>0</v>
      </c>
    </row>
    <row r="1501" spans="1:3" hidden="1" x14ac:dyDescent="0.25">
      <c r="A1501" t="s">
        <v>2790</v>
      </c>
      <c r="B1501">
        <v>302</v>
      </c>
      <c r="C1501" t="b">
        <f t="shared" si="23"/>
        <v>0</v>
      </c>
    </row>
    <row r="1502" spans="1:3" hidden="1" x14ac:dyDescent="0.25">
      <c r="A1502" t="s">
        <v>5093</v>
      </c>
      <c r="B1502">
        <v>2796</v>
      </c>
      <c r="C1502" t="b">
        <f t="shared" si="23"/>
        <v>0</v>
      </c>
    </row>
    <row r="1503" spans="1:3" hidden="1" x14ac:dyDescent="0.25">
      <c r="A1503" t="s">
        <v>5094</v>
      </c>
      <c r="B1503">
        <v>2797</v>
      </c>
      <c r="C1503" t="b">
        <f t="shared" si="23"/>
        <v>0</v>
      </c>
    </row>
    <row r="1504" spans="1:3" hidden="1" x14ac:dyDescent="0.25">
      <c r="A1504" t="s">
        <v>3019</v>
      </c>
      <c r="B1504">
        <v>544</v>
      </c>
      <c r="C1504" t="b">
        <f t="shared" si="23"/>
        <v>0</v>
      </c>
    </row>
    <row r="1505" spans="1:3" x14ac:dyDescent="0.25">
      <c r="A1505" t="s">
        <v>3019</v>
      </c>
      <c r="B1505">
        <v>996</v>
      </c>
      <c r="C1505" t="b">
        <f t="shared" si="23"/>
        <v>1</v>
      </c>
    </row>
    <row r="1506" spans="1:3" x14ac:dyDescent="0.25">
      <c r="A1506" t="s">
        <v>3019</v>
      </c>
      <c r="B1506">
        <v>1181</v>
      </c>
      <c r="C1506" t="b">
        <f t="shared" si="23"/>
        <v>1</v>
      </c>
    </row>
    <row r="1507" spans="1:3" x14ac:dyDescent="0.25">
      <c r="A1507" t="s">
        <v>3019</v>
      </c>
      <c r="B1507">
        <v>1791</v>
      </c>
      <c r="C1507" t="b">
        <f t="shared" si="23"/>
        <v>1</v>
      </c>
    </row>
    <row r="1508" spans="1:3" x14ac:dyDescent="0.25">
      <c r="A1508" t="s">
        <v>3019</v>
      </c>
      <c r="B1508">
        <v>2182</v>
      </c>
      <c r="C1508" t="b">
        <f t="shared" si="23"/>
        <v>1</v>
      </c>
    </row>
    <row r="1509" spans="1:3" hidden="1" x14ac:dyDescent="0.25">
      <c r="A1509" t="s">
        <v>2791</v>
      </c>
      <c r="B1509">
        <v>303</v>
      </c>
      <c r="C1509" t="b">
        <f t="shared" si="23"/>
        <v>0</v>
      </c>
    </row>
    <row r="1510" spans="1:3" hidden="1" x14ac:dyDescent="0.25">
      <c r="A1510" t="s">
        <v>2505</v>
      </c>
      <c r="B1510">
        <v>9</v>
      </c>
      <c r="C1510" t="b">
        <f t="shared" si="23"/>
        <v>0</v>
      </c>
    </row>
    <row r="1511" spans="1:3" hidden="1" x14ac:dyDescent="0.25">
      <c r="A1511" t="s">
        <v>2506</v>
      </c>
      <c r="B1511">
        <v>10</v>
      </c>
      <c r="C1511" t="b">
        <f t="shared" si="23"/>
        <v>0</v>
      </c>
    </row>
    <row r="1512" spans="1:3" hidden="1" x14ac:dyDescent="0.25">
      <c r="A1512" t="s">
        <v>3232</v>
      </c>
      <c r="B1512">
        <v>766</v>
      </c>
      <c r="C1512" t="b">
        <f t="shared" si="23"/>
        <v>0</v>
      </c>
    </row>
    <row r="1513" spans="1:3" hidden="1" x14ac:dyDescent="0.25">
      <c r="A1513" t="s">
        <v>2712</v>
      </c>
      <c r="B1513">
        <v>222</v>
      </c>
      <c r="C1513" t="b">
        <f t="shared" si="23"/>
        <v>0</v>
      </c>
    </row>
    <row r="1514" spans="1:3" hidden="1" x14ac:dyDescent="0.25">
      <c r="A1514" t="s">
        <v>3368</v>
      </c>
      <c r="B1514">
        <v>910</v>
      </c>
      <c r="C1514" t="b">
        <f t="shared" si="23"/>
        <v>0</v>
      </c>
    </row>
    <row r="1515" spans="1:3" hidden="1" x14ac:dyDescent="0.25">
      <c r="A1515" t="s">
        <v>3370</v>
      </c>
      <c r="B1515">
        <v>912</v>
      </c>
      <c r="C1515" t="b">
        <f t="shared" si="23"/>
        <v>0</v>
      </c>
    </row>
    <row r="1516" spans="1:3" hidden="1" x14ac:dyDescent="0.25">
      <c r="A1516" t="s">
        <v>3371</v>
      </c>
      <c r="B1516">
        <v>913</v>
      </c>
      <c r="C1516" t="b">
        <f t="shared" si="23"/>
        <v>0</v>
      </c>
    </row>
    <row r="1517" spans="1:3" hidden="1" x14ac:dyDescent="0.25">
      <c r="A1517" t="s">
        <v>3372</v>
      </c>
      <c r="B1517">
        <v>914</v>
      </c>
      <c r="C1517" t="b">
        <f t="shared" si="23"/>
        <v>0</v>
      </c>
    </row>
    <row r="1518" spans="1:3" hidden="1" x14ac:dyDescent="0.25">
      <c r="A1518" t="s">
        <v>3369</v>
      </c>
      <c r="B1518">
        <v>911</v>
      </c>
      <c r="C1518" t="b">
        <f t="shared" si="23"/>
        <v>0</v>
      </c>
    </row>
    <row r="1519" spans="1:3" hidden="1" x14ac:dyDescent="0.25">
      <c r="A1519" t="s">
        <v>3174</v>
      </c>
      <c r="B1519">
        <v>707</v>
      </c>
      <c r="C1519" t="b">
        <f t="shared" si="23"/>
        <v>0</v>
      </c>
    </row>
    <row r="1520" spans="1:3" hidden="1" x14ac:dyDescent="0.25">
      <c r="A1520" t="s">
        <v>3175</v>
      </c>
      <c r="B1520">
        <v>708</v>
      </c>
      <c r="C1520" t="b">
        <f t="shared" si="23"/>
        <v>0</v>
      </c>
    </row>
    <row r="1521" spans="1:3" hidden="1" x14ac:dyDescent="0.25">
      <c r="A1521" t="s">
        <v>3952</v>
      </c>
      <c r="B1521">
        <v>1539</v>
      </c>
      <c r="C1521" t="b">
        <f t="shared" si="23"/>
        <v>0</v>
      </c>
    </row>
    <row r="1522" spans="1:3" hidden="1" x14ac:dyDescent="0.25">
      <c r="A1522" t="s">
        <v>3953</v>
      </c>
      <c r="B1522">
        <v>1540</v>
      </c>
      <c r="C1522" t="b">
        <f t="shared" si="23"/>
        <v>0</v>
      </c>
    </row>
    <row r="1523" spans="1:3" hidden="1" x14ac:dyDescent="0.25">
      <c r="A1523" t="s">
        <v>3951</v>
      </c>
      <c r="B1523">
        <v>1538</v>
      </c>
      <c r="C1523" t="b">
        <f t="shared" si="23"/>
        <v>0</v>
      </c>
    </row>
    <row r="1524" spans="1:3" hidden="1" x14ac:dyDescent="0.25">
      <c r="A1524" t="s">
        <v>4561</v>
      </c>
      <c r="B1524">
        <v>2217</v>
      </c>
      <c r="C1524" t="b">
        <f t="shared" si="23"/>
        <v>0</v>
      </c>
    </row>
    <row r="1525" spans="1:3" hidden="1" x14ac:dyDescent="0.25">
      <c r="A1525" t="s">
        <v>5095</v>
      </c>
      <c r="B1525">
        <v>2798</v>
      </c>
      <c r="C1525" t="b">
        <f t="shared" si="23"/>
        <v>0</v>
      </c>
    </row>
    <row r="1526" spans="1:3" hidden="1" x14ac:dyDescent="0.25">
      <c r="A1526" t="s">
        <v>5096</v>
      </c>
      <c r="B1526">
        <v>2799</v>
      </c>
      <c r="C1526" t="b">
        <f t="shared" si="23"/>
        <v>0</v>
      </c>
    </row>
    <row r="1527" spans="1:3" hidden="1" x14ac:dyDescent="0.25">
      <c r="A1527" t="s">
        <v>3653</v>
      </c>
      <c r="B1527">
        <v>1220</v>
      </c>
      <c r="C1527" t="b">
        <f t="shared" si="23"/>
        <v>0</v>
      </c>
    </row>
    <row r="1528" spans="1:3" hidden="1" x14ac:dyDescent="0.25">
      <c r="A1528" t="s">
        <v>4980</v>
      </c>
      <c r="B1528">
        <v>2680</v>
      </c>
      <c r="C1528" t="b">
        <f t="shared" si="23"/>
        <v>0</v>
      </c>
    </row>
    <row r="1529" spans="1:3" hidden="1" x14ac:dyDescent="0.25">
      <c r="A1529" t="s">
        <v>3492</v>
      </c>
      <c r="B1529">
        <v>1048</v>
      </c>
      <c r="C1529" t="b">
        <f t="shared" si="23"/>
        <v>0</v>
      </c>
    </row>
    <row r="1530" spans="1:3" hidden="1" x14ac:dyDescent="0.25">
      <c r="A1530" t="s">
        <v>4981</v>
      </c>
      <c r="B1530">
        <v>2681</v>
      </c>
      <c r="C1530" t="b">
        <f t="shared" si="23"/>
        <v>0</v>
      </c>
    </row>
    <row r="1531" spans="1:3" hidden="1" x14ac:dyDescent="0.25">
      <c r="A1531" t="s">
        <v>4502</v>
      </c>
      <c r="B1531">
        <v>2140</v>
      </c>
      <c r="C1531" t="b">
        <f t="shared" si="23"/>
        <v>0</v>
      </c>
    </row>
    <row r="1532" spans="1:3" hidden="1" x14ac:dyDescent="0.25">
      <c r="A1532" t="s">
        <v>4221</v>
      </c>
      <c r="B1532">
        <v>1843</v>
      </c>
      <c r="C1532" t="b">
        <f t="shared" si="23"/>
        <v>0</v>
      </c>
    </row>
    <row r="1533" spans="1:3" hidden="1" x14ac:dyDescent="0.25">
      <c r="A1533" t="s">
        <v>4222</v>
      </c>
      <c r="B1533">
        <v>1844</v>
      </c>
      <c r="C1533" t="b">
        <f t="shared" si="23"/>
        <v>0</v>
      </c>
    </row>
    <row r="1534" spans="1:3" hidden="1" x14ac:dyDescent="0.25">
      <c r="A1534" t="s">
        <v>3311</v>
      </c>
      <c r="B1534">
        <v>849</v>
      </c>
      <c r="C1534" t="b">
        <f t="shared" si="23"/>
        <v>0</v>
      </c>
    </row>
    <row r="1535" spans="1:3" hidden="1" x14ac:dyDescent="0.25">
      <c r="A1535" t="s">
        <v>3052</v>
      </c>
      <c r="B1535">
        <v>579</v>
      </c>
      <c r="C1535" t="b">
        <f t="shared" si="23"/>
        <v>0</v>
      </c>
    </row>
    <row r="1536" spans="1:3" hidden="1" x14ac:dyDescent="0.25">
      <c r="A1536" t="s">
        <v>4286</v>
      </c>
      <c r="B1536">
        <v>1912</v>
      </c>
      <c r="C1536" t="b">
        <f t="shared" si="23"/>
        <v>0</v>
      </c>
    </row>
    <row r="1537" spans="1:3" hidden="1" x14ac:dyDescent="0.25">
      <c r="A1537" t="s">
        <v>4591</v>
      </c>
      <c r="B1537">
        <v>2248</v>
      </c>
      <c r="C1537" t="b">
        <f t="shared" si="23"/>
        <v>0</v>
      </c>
    </row>
    <row r="1538" spans="1:3" hidden="1" x14ac:dyDescent="0.25">
      <c r="A1538" t="s">
        <v>3072</v>
      </c>
      <c r="B1538">
        <v>601</v>
      </c>
      <c r="C1538" t="b">
        <f t="shared" si="23"/>
        <v>0</v>
      </c>
    </row>
    <row r="1539" spans="1:3" hidden="1" x14ac:dyDescent="0.25">
      <c r="A1539" t="s">
        <v>3784</v>
      </c>
      <c r="B1539">
        <v>1357</v>
      </c>
      <c r="C1539" t="b">
        <f t="shared" ref="C1539:C1602" si="24">A1539=A1538</f>
        <v>0</v>
      </c>
    </row>
    <row r="1540" spans="1:3" hidden="1" x14ac:dyDescent="0.25">
      <c r="A1540" t="s">
        <v>3785</v>
      </c>
      <c r="B1540">
        <v>1358</v>
      </c>
      <c r="C1540" t="b">
        <f t="shared" si="24"/>
        <v>0</v>
      </c>
    </row>
    <row r="1541" spans="1:3" hidden="1" x14ac:dyDescent="0.25">
      <c r="A1541" t="s">
        <v>3786</v>
      </c>
      <c r="B1541">
        <v>1359</v>
      </c>
      <c r="C1541" t="b">
        <f t="shared" si="24"/>
        <v>0</v>
      </c>
    </row>
    <row r="1542" spans="1:3" hidden="1" x14ac:dyDescent="0.25">
      <c r="A1542" t="s">
        <v>3787</v>
      </c>
      <c r="B1542">
        <v>1360</v>
      </c>
      <c r="C1542" t="b">
        <f t="shared" si="24"/>
        <v>0</v>
      </c>
    </row>
    <row r="1543" spans="1:3" hidden="1" x14ac:dyDescent="0.25">
      <c r="A1543" t="s">
        <v>3788</v>
      </c>
      <c r="B1543">
        <v>1361</v>
      </c>
      <c r="C1543" t="b">
        <f t="shared" si="24"/>
        <v>0</v>
      </c>
    </row>
    <row r="1544" spans="1:3" hidden="1" x14ac:dyDescent="0.25">
      <c r="A1544" t="s">
        <v>3964</v>
      </c>
      <c r="B1544">
        <v>1553</v>
      </c>
      <c r="C1544" t="b">
        <f t="shared" si="24"/>
        <v>0</v>
      </c>
    </row>
    <row r="1545" spans="1:3" hidden="1" x14ac:dyDescent="0.25">
      <c r="A1545" t="s">
        <v>3965</v>
      </c>
      <c r="B1545">
        <v>1554</v>
      </c>
      <c r="C1545" t="b">
        <f t="shared" si="24"/>
        <v>0</v>
      </c>
    </row>
    <row r="1546" spans="1:3" hidden="1" x14ac:dyDescent="0.25">
      <c r="A1546" t="s">
        <v>3966</v>
      </c>
      <c r="B1546">
        <v>1555</v>
      </c>
      <c r="C1546" t="b">
        <f t="shared" si="24"/>
        <v>0</v>
      </c>
    </row>
    <row r="1547" spans="1:3" hidden="1" x14ac:dyDescent="0.25">
      <c r="A1547" t="s">
        <v>3967</v>
      </c>
      <c r="B1547">
        <v>1556</v>
      </c>
      <c r="C1547" t="b">
        <f t="shared" si="24"/>
        <v>0</v>
      </c>
    </row>
    <row r="1548" spans="1:3" hidden="1" x14ac:dyDescent="0.25">
      <c r="A1548" t="s">
        <v>3968</v>
      </c>
      <c r="B1548">
        <v>1557</v>
      </c>
      <c r="C1548" t="b">
        <f t="shared" si="24"/>
        <v>0</v>
      </c>
    </row>
    <row r="1549" spans="1:3" hidden="1" x14ac:dyDescent="0.25">
      <c r="A1549" t="s">
        <v>4112</v>
      </c>
      <c r="B1549">
        <v>1719</v>
      </c>
      <c r="C1549" t="b">
        <f t="shared" si="24"/>
        <v>0</v>
      </c>
    </row>
    <row r="1550" spans="1:3" hidden="1" x14ac:dyDescent="0.25">
      <c r="A1550" t="s">
        <v>4113</v>
      </c>
      <c r="B1550">
        <v>1720</v>
      </c>
      <c r="C1550" t="b">
        <f t="shared" si="24"/>
        <v>0</v>
      </c>
    </row>
    <row r="1551" spans="1:3" hidden="1" x14ac:dyDescent="0.25">
      <c r="A1551" t="s">
        <v>4223</v>
      </c>
      <c r="B1551">
        <v>1845</v>
      </c>
      <c r="C1551" t="b">
        <f t="shared" si="24"/>
        <v>0</v>
      </c>
    </row>
    <row r="1552" spans="1:3" hidden="1" x14ac:dyDescent="0.25">
      <c r="A1552" t="s">
        <v>3822</v>
      </c>
      <c r="B1552">
        <v>1399</v>
      </c>
      <c r="C1552" t="b">
        <f t="shared" si="24"/>
        <v>0</v>
      </c>
    </row>
    <row r="1553" spans="1:3" hidden="1" x14ac:dyDescent="0.25">
      <c r="A1553" t="s">
        <v>4982</v>
      </c>
      <c r="B1553">
        <v>2682</v>
      </c>
      <c r="C1553" t="b">
        <f t="shared" si="24"/>
        <v>0</v>
      </c>
    </row>
    <row r="1554" spans="1:3" hidden="1" x14ac:dyDescent="0.25">
      <c r="A1554" t="s">
        <v>4726</v>
      </c>
      <c r="B1554">
        <v>2398</v>
      </c>
      <c r="C1554" t="b">
        <f t="shared" si="24"/>
        <v>0</v>
      </c>
    </row>
    <row r="1555" spans="1:3" hidden="1" x14ac:dyDescent="0.25">
      <c r="A1555" t="s">
        <v>4412</v>
      </c>
      <c r="B1555">
        <v>2046</v>
      </c>
      <c r="C1555" t="b">
        <f t="shared" si="24"/>
        <v>0</v>
      </c>
    </row>
    <row r="1556" spans="1:3" hidden="1" x14ac:dyDescent="0.25">
      <c r="A1556" t="s">
        <v>4648</v>
      </c>
      <c r="B1556">
        <v>2308</v>
      </c>
      <c r="C1556" t="b">
        <f t="shared" si="24"/>
        <v>0</v>
      </c>
    </row>
    <row r="1557" spans="1:3" hidden="1" x14ac:dyDescent="0.25">
      <c r="A1557" t="s">
        <v>3534</v>
      </c>
      <c r="B1557">
        <v>1091</v>
      </c>
      <c r="C1557" t="b">
        <f t="shared" si="24"/>
        <v>0</v>
      </c>
    </row>
    <row r="1558" spans="1:3" hidden="1" x14ac:dyDescent="0.25">
      <c r="A1558" t="s">
        <v>3536</v>
      </c>
      <c r="B1558">
        <v>1093</v>
      </c>
      <c r="C1558" t="b">
        <f t="shared" si="24"/>
        <v>0</v>
      </c>
    </row>
    <row r="1559" spans="1:3" hidden="1" x14ac:dyDescent="0.25">
      <c r="A1559" t="s">
        <v>3535</v>
      </c>
      <c r="B1559">
        <v>1092</v>
      </c>
      <c r="C1559" t="b">
        <f t="shared" si="24"/>
        <v>0</v>
      </c>
    </row>
    <row r="1560" spans="1:3" hidden="1" x14ac:dyDescent="0.25">
      <c r="A1560" t="s">
        <v>4592</v>
      </c>
      <c r="B1560">
        <v>2249</v>
      </c>
      <c r="C1560" t="b">
        <f t="shared" si="24"/>
        <v>0</v>
      </c>
    </row>
    <row r="1561" spans="1:3" hidden="1" x14ac:dyDescent="0.25">
      <c r="A1561" t="s">
        <v>4593</v>
      </c>
      <c r="B1561">
        <v>2250</v>
      </c>
      <c r="C1561" t="b">
        <f t="shared" si="24"/>
        <v>0</v>
      </c>
    </row>
    <row r="1562" spans="1:3" hidden="1" x14ac:dyDescent="0.25">
      <c r="A1562" t="s">
        <v>3978</v>
      </c>
      <c r="B1562">
        <v>1570</v>
      </c>
      <c r="C1562" t="b">
        <f t="shared" si="24"/>
        <v>0</v>
      </c>
    </row>
    <row r="1563" spans="1:3" hidden="1" x14ac:dyDescent="0.25">
      <c r="A1563" t="s">
        <v>3979</v>
      </c>
      <c r="B1563">
        <v>1571</v>
      </c>
      <c r="C1563" t="b">
        <f t="shared" si="24"/>
        <v>0</v>
      </c>
    </row>
    <row r="1564" spans="1:3" hidden="1" x14ac:dyDescent="0.25">
      <c r="A1564" t="s">
        <v>3980</v>
      </c>
      <c r="B1564">
        <v>1572</v>
      </c>
      <c r="C1564" t="b">
        <f t="shared" si="24"/>
        <v>0</v>
      </c>
    </row>
    <row r="1565" spans="1:3" hidden="1" x14ac:dyDescent="0.25">
      <c r="A1565" t="s">
        <v>3981</v>
      </c>
      <c r="B1565">
        <v>1573</v>
      </c>
      <c r="C1565" t="b">
        <f t="shared" si="24"/>
        <v>0</v>
      </c>
    </row>
    <row r="1566" spans="1:3" hidden="1" x14ac:dyDescent="0.25">
      <c r="A1566" t="s">
        <v>3176</v>
      </c>
      <c r="B1566">
        <v>709</v>
      </c>
      <c r="C1566" t="b">
        <f t="shared" si="24"/>
        <v>0</v>
      </c>
    </row>
    <row r="1567" spans="1:3" hidden="1" x14ac:dyDescent="0.25">
      <c r="A1567" t="s">
        <v>2971</v>
      </c>
      <c r="B1567">
        <v>492</v>
      </c>
      <c r="C1567" t="b">
        <f t="shared" si="24"/>
        <v>0</v>
      </c>
    </row>
    <row r="1568" spans="1:3" hidden="1" x14ac:dyDescent="0.25">
      <c r="A1568" t="s">
        <v>4012</v>
      </c>
      <c r="B1568">
        <v>1606</v>
      </c>
      <c r="C1568" t="b">
        <f t="shared" si="24"/>
        <v>0</v>
      </c>
    </row>
    <row r="1569" spans="1:3" hidden="1" x14ac:dyDescent="0.25">
      <c r="A1569" t="s">
        <v>4010</v>
      </c>
      <c r="B1569">
        <v>1604</v>
      </c>
      <c r="C1569" t="b">
        <f t="shared" si="24"/>
        <v>0</v>
      </c>
    </row>
    <row r="1570" spans="1:3" hidden="1" x14ac:dyDescent="0.25">
      <c r="A1570" t="s">
        <v>4013</v>
      </c>
      <c r="B1570">
        <v>1607</v>
      </c>
      <c r="C1570" t="b">
        <f t="shared" si="24"/>
        <v>0</v>
      </c>
    </row>
    <row r="1571" spans="1:3" hidden="1" x14ac:dyDescent="0.25">
      <c r="A1571" t="s">
        <v>4014</v>
      </c>
      <c r="B1571">
        <v>1608</v>
      </c>
      <c r="C1571" t="b">
        <f t="shared" si="24"/>
        <v>0</v>
      </c>
    </row>
    <row r="1572" spans="1:3" hidden="1" x14ac:dyDescent="0.25">
      <c r="A1572" t="s">
        <v>4011</v>
      </c>
      <c r="B1572">
        <v>1605</v>
      </c>
      <c r="C1572" t="b">
        <f t="shared" si="24"/>
        <v>0</v>
      </c>
    </row>
    <row r="1573" spans="1:3" hidden="1" x14ac:dyDescent="0.25">
      <c r="A1573" t="s">
        <v>3908</v>
      </c>
      <c r="B1573">
        <v>1493</v>
      </c>
      <c r="C1573" t="b">
        <f t="shared" si="24"/>
        <v>0</v>
      </c>
    </row>
    <row r="1574" spans="1:3" hidden="1" x14ac:dyDescent="0.25">
      <c r="A1574" t="s">
        <v>3909</v>
      </c>
      <c r="B1574">
        <v>1494</v>
      </c>
      <c r="C1574" t="b">
        <f t="shared" si="24"/>
        <v>0</v>
      </c>
    </row>
    <row r="1575" spans="1:3" hidden="1" x14ac:dyDescent="0.25">
      <c r="A1575" t="s">
        <v>4413</v>
      </c>
      <c r="B1575">
        <v>2047</v>
      </c>
      <c r="C1575" t="b">
        <f t="shared" si="24"/>
        <v>0</v>
      </c>
    </row>
    <row r="1576" spans="1:3" hidden="1" x14ac:dyDescent="0.25">
      <c r="A1576" t="s">
        <v>2610</v>
      </c>
      <c r="B1576">
        <v>117</v>
      </c>
      <c r="C1576" t="b">
        <f t="shared" si="24"/>
        <v>0</v>
      </c>
    </row>
    <row r="1577" spans="1:3" hidden="1" x14ac:dyDescent="0.25">
      <c r="A1577" t="s">
        <v>2608</v>
      </c>
      <c r="B1577">
        <v>115</v>
      </c>
      <c r="C1577" t="b">
        <f t="shared" si="24"/>
        <v>0</v>
      </c>
    </row>
    <row r="1578" spans="1:3" hidden="1" x14ac:dyDescent="0.25">
      <c r="A1578" t="s">
        <v>2609</v>
      </c>
      <c r="B1578">
        <v>116</v>
      </c>
      <c r="C1578" t="b">
        <f t="shared" si="24"/>
        <v>0</v>
      </c>
    </row>
    <row r="1579" spans="1:3" hidden="1" x14ac:dyDescent="0.25">
      <c r="A1579" t="s">
        <v>2611</v>
      </c>
      <c r="B1579">
        <v>118</v>
      </c>
      <c r="C1579" t="b">
        <f t="shared" si="24"/>
        <v>0</v>
      </c>
    </row>
    <row r="1580" spans="1:3" hidden="1" x14ac:dyDescent="0.25">
      <c r="A1580" t="s">
        <v>4985</v>
      </c>
      <c r="B1580">
        <v>2685</v>
      </c>
      <c r="C1580" t="b">
        <f t="shared" si="24"/>
        <v>0</v>
      </c>
    </row>
    <row r="1581" spans="1:3" hidden="1" x14ac:dyDescent="0.25">
      <c r="A1581" t="s">
        <v>4983</v>
      </c>
      <c r="B1581">
        <v>2683</v>
      </c>
      <c r="C1581" t="b">
        <f t="shared" si="24"/>
        <v>0</v>
      </c>
    </row>
    <row r="1582" spans="1:3" hidden="1" x14ac:dyDescent="0.25">
      <c r="A1582" t="s">
        <v>4984</v>
      </c>
      <c r="B1582">
        <v>2684</v>
      </c>
      <c r="C1582" t="b">
        <f t="shared" si="24"/>
        <v>0</v>
      </c>
    </row>
    <row r="1583" spans="1:3" hidden="1" x14ac:dyDescent="0.25">
      <c r="A1583" t="s">
        <v>4056</v>
      </c>
      <c r="B1583">
        <v>1654</v>
      </c>
      <c r="C1583" t="b">
        <f t="shared" si="24"/>
        <v>0</v>
      </c>
    </row>
    <row r="1584" spans="1:3" hidden="1" x14ac:dyDescent="0.25">
      <c r="A1584" t="s">
        <v>4059</v>
      </c>
      <c r="B1584">
        <v>1657</v>
      </c>
      <c r="C1584" t="b">
        <f t="shared" si="24"/>
        <v>0</v>
      </c>
    </row>
    <row r="1585" spans="1:3" hidden="1" x14ac:dyDescent="0.25">
      <c r="A1585" t="s">
        <v>4060</v>
      </c>
      <c r="B1585">
        <v>1658</v>
      </c>
      <c r="C1585" t="b">
        <f t="shared" si="24"/>
        <v>0</v>
      </c>
    </row>
    <row r="1586" spans="1:3" hidden="1" x14ac:dyDescent="0.25">
      <c r="A1586" t="s">
        <v>4061</v>
      </c>
      <c r="B1586">
        <v>1659</v>
      </c>
      <c r="C1586" t="b">
        <f t="shared" si="24"/>
        <v>0</v>
      </c>
    </row>
    <row r="1587" spans="1:3" hidden="1" x14ac:dyDescent="0.25">
      <c r="A1587" t="s">
        <v>4057</v>
      </c>
      <c r="B1587">
        <v>1655</v>
      </c>
      <c r="C1587" t="b">
        <f t="shared" si="24"/>
        <v>0</v>
      </c>
    </row>
    <row r="1588" spans="1:3" hidden="1" x14ac:dyDescent="0.25">
      <c r="A1588" t="s">
        <v>4062</v>
      </c>
      <c r="B1588">
        <v>1660</v>
      </c>
      <c r="C1588" t="b">
        <f t="shared" si="24"/>
        <v>0</v>
      </c>
    </row>
    <row r="1589" spans="1:3" hidden="1" x14ac:dyDescent="0.25">
      <c r="A1589" t="s">
        <v>4063</v>
      </c>
      <c r="B1589">
        <v>1661</v>
      </c>
      <c r="C1589" t="b">
        <f t="shared" si="24"/>
        <v>0</v>
      </c>
    </row>
    <row r="1590" spans="1:3" hidden="1" x14ac:dyDescent="0.25">
      <c r="A1590" t="s">
        <v>4064</v>
      </c>
      <c r="B1590">
        <v>1662</v>
      </c>
      <c r="C1590" t="b">
        <f t="shared" si="24"/>
        <v>0</v>
      </c>
    </row>
    <row r="1591" spans="1:3" hidden="1" x14ac:dyDescent="0.25">
      <c r="A1591" t="s">
        <v>4065</v>
      </c>
      <c r="B1591">
        <v>1663</v>
      </c>
      <c r="C1591" t="b">
        <f t="shared" si="24"/>
        <v>0</v>
      </c>
    </row>
    <row r="1592" spans="1:3" hidden="1" x14ac:dyDescent="0.25">
      <c r="A1592" t="s">
        <v>3734</v>
      </c>
      <c r="B1592">
        <v>1305</v>
      </c>
      <c r="C1592" t="b">
        <f t="shared" si="24"/>
        <v>0</v>
      </c>
    </row>
    <row r="1593" spans="1:3" hidden="1" x14ac:dyDescent="0.25">
      <c r="A1593" t="s">
        <v>4058</v>
      </c>
      <c r="B1593">
        <v>1656</v>
      </c>
      <c r="C1593" t="b">
        <f t="shared" si="24"/>
        <v>0</v>
      </c>
    </row>
    <row r="1594" spans="1:3" hidden="1" x14ac:dyDescent="0.25">
      <c r="A1594" t="s">
        <v>4826</v>
      </c>
      <c r="B1594">
        <v>2510</v>
      </c>
      <c r="C1594" t="b">
        <f t="shared" si="24"/>
        <v>0</v>
      </c>
    </row>
    <row r="1595" spans="1:3" hidden="1" x14ac:dyDescent="0.25">
      <c r="A1595" t="s">
        <v>4828</v>
      </c>
      <c r="B1595">
        <v>2512</v>
      </c>
      <c r="C1595" t="b">
        <f t="shared" si="24"/>
        <v>0</v>
      </c>
    </row>
    <row r="1596" spans="1:3" hidden="1" x14ac:dyDescent="0.25">
      <c r="A1596" t="s">
        <v>4827</v>
      </c>
      <c r="B1596">
        <v>2511</v>
      </c>
      <c r="C1596" t="b">
        <f t="shared" si="24"/>
        <v>0</v>
      </c>
    </row>
    <row r="1597" spans="1:3" hidden="1" x14ac:dyDescent="0.25">
      <c r="A1597" t="s">
        <v>2556</v>
      </c>
      <c r="B1597">
        <v>61</v>
      </c>
      <c r="C1597" t="b">
        <f t="shared" si="24"/>
        <v>0</v>
      </c>
    </row>
    <row r="1598" spans="1:3" hidden="1" x14ac:dyDescent="0.25">
      <c r="A1598" t="s">
        <v>3594</v>
      </c>
      <c r="B1598">
        <v>1155</v>
      </c>
      <c r="C1598" t="b">
        <f t="shared" si="24"/>
        <v>0</v>
      </c>
    </row>
    <row r="1599" spans="1:3" hidden="1" x14ac:dyDescent="0.25">
      <c r="A1599" t="s">
        <v>5162</v>
      </c>
      <c r="B1599">
        <v>2869</v>
      </c>
      <c r="C1599" t="b">
        <f t="shared" si="24"/>
        <v>0</v>
      </c>
    </row>
    <row r="1600" spans="1:3" hidden="1" x14ac:dyDescent="0.25">
      <c r="A1600" t="s">
        <v>3073</v>
      </c>
      <c r="B1600">
        <v>602</v>
      </c>
      <c r="C1600" t="b">
        <f t="shared" si="24"/>
        <v>0</v>
      </c>
    </row>
    <row r="1601" spans="1:3" hidden="1" x14ac:dyDescent="0.25">
      <c r="A1601" t="s">
        <v>2673</v>
      </c>
      <c r="B1601">
        <v>183</v>
      </c>
      <c r="C1601" t="b">
        <f t="shared" si="24"/>
        <v>0</v>
      </c>
    </row>
    <row r="1602" spans="1:3" x14ac:dyDescent="0.25">
      <c r="A1602" t="s">
        <v>2673</v>
      </c>
      <c r="B1602">
        <v>1664</v>
      </c>
      <c r="C1602" t="b">
        <f t="shared" si="24"/>
        <v>1</v>
      </c>
    </row>
    <row r="1603" spans="1:3" x14ac:dyDescent="0.25">
      <c r="A1603" t="s">
        <v>2673</v>
      </c>
      <c r="B1603">
        <v>2345</v>
      </c>
      <c r="C1603" t="b">
        <f t="shared" ref="C1603:C1666" si="25">A1603=A1602</f>
        <v>1</v>
      </c>
    </row>
    <row r="1604" spans="1:3" hidden="1" x14ac:dyDescent="0.25">
      <c r="A1604" t="s">
        <v>3053</v>
      </c>
      <c r="B1604">
        <v>580</v>
      </c>
      <c r="C1604" t="b">
        <f t="shared" si="25"/>
        <v>0</v>
      </c>
    </row>
    <row r="1605" spans="1:3" hidden="1" x14ac:dyDescent="0.25">
      <c r="A1605" t="s">
        <v>2582</v>
      </c>
      <c r="B1605">
        <v>88</v>
      </c>
      <c r="C1605" t="b">
        <f t="shared" si="25"/>
        <v>0</v>
      </c>
    </row>
    <row r="1606" spans="1:3" hidden="1" x14ac:dyDescent="0.25">
      <c r="A1606" t="s">
        <v>4799</v>
      </c>
      <c r="B1606">
        <v>2480</v>
      </c>
      <c r="C1606" t="b">
        <f t="shared" si="25"/>
        <v>0</v>
      </c>
    </row>
    <row r="1607" spans="1:3" hidden="1" x14ac:dyDescent="0.25">
      <c r="A1607" t="s">
        <v>2745</v>
      </c>
      <c r="B1607">
        <v>256</v>
      </c>
      <c r="C1607" t="b">
        <f t="shared" si="25"/>
        <v>0</v>
      </c>
    </row>
    <row r="1608" spans="1:3" hidden="1" x14ac:dyDescent="0.25">
      <c r="A1608" t="s">
        <v>3860</v>
      </c>
      <c r="B1608">
        <v>1439</v>
      </c>
      <c r="C1608" t="b">
        <f t="shared" si="25"/>
        <v>0</v>
      </c>
    </row>
    <row r="1609" spans="1:3" hidden="1" x14ac:dyDescent="0.25">
      <c r="A1609" t="s">
        <v>3859</v>
      </c>
      <c r="B1609">
        <v>1438</v>
      </c>
      <c r="C1609" t="b">
        <f t="shared" si="25"/>
        <v>0</v>
      </c>
    </row>
    <row r="1610" spans="1:3" hidden="1" x14ac:dyDescent="0.25">
      <c r="A1610" t="s">
        <v>2915</v>
      </c>
      <c r="B1610">
        <v>431</v>
      </c>
      <c r="C1610" t="b">
        <f t="shared" si="25"/>
        <v>0</v>
      </c>
    </row>
    <row r="1611" spans="1:3" hidden="1" x14ac:dyDescent="0.25">
      <c r="A1611" t="s">
        <v>2913</v>
      </c>
      <c r="B1611">
        <v>429</v>
      </c>
      <c r="C1611" t="b">
        <f t="shared" si="25"/>
        <v>0</v>
      </c>
    </row>
    <row r="1612" spans="1:3" hidden="1" x14ac:dyDescent="0.25">
      <c r="A1612" t="s">
        <v>2914</v>
      </c>
      <c r="B1612">
        <v>430</v>
      </c>
      <c r="C1612" t="b">
        <f t="shared" si="25"/>
        <v>0</v>
      </c>
    </row>
    <row r="1613" spans="1:3" hidden="1" x14ac:dyDescent="0.25">
      <c r="A1613" t="s">
        <v>2881</v>
      </c>
      <c r="B1613">
        <v>396</v>
      </c>
      <c r="C1613" t="b">
        <f t="shared" si="25"/>
        <v>0</v>
      </c>
    </row>
    <row r="1614" spans="1:3" hidden="1" x14ac:dyDescent="0.25">
      <c r="A1614" t="s">
        <v>3285</v>
      </c>
      <c r="B1614">
        <v>821</v>
      </c>
      <c r="C1614" t="b">
        <f t="shared" si="25"/>
        <v>0</v>
      </c>
    </row>
    <row r="1615" spans="1:3" hidden="1" x14ac:dyDescent="0.25">
      <c r="A1615" t="s">
        <v>4066</v>
      </c>
      <c r="B1615">
        <v>1665</v>
      </c>
      <c r="C1615" t="b">
        <f t="shared" si="25"/>
        <v>0</v>
      </c>
    </row>
    <row r="1616" spans="1:3" hidden="1" x14ac:dyDescent="0.25">
      <c r="A1616" t="s">
        <v>4727</v>
      </c>
      <c r="B1616">
        <v>2399</v>
      </c>
      <c r="C1616" t="b">
        <f t="shared" si="25"/>
        <v>0</v>
      </c>
    </row>
    <row r="1617" spans="1:3" hidden="1" x14ac:dyDescent="0.25">
      <c r="A1617" t="s">
        <v>4728</v>
      </c>
      <c r="B1617">
        <v>2400</v>
      </c>
      <c r="C1617" t="b">
        <f t="shared" si="25"/>
        <v>0</v>
      </c>
    </row>
    <row r="1618" spans="1:3" hidden="1" x14ac:dyDescent="0.25">
      <c r="A1618" t="s">
        <v>3954</v>
      </c>
      <c r="B1618">
        <v>1541</v>
      </c>
      <c r="C1618" t="b">
        <f t="shared" si="25"/>
        <v>0</v>
      </c>
    </row>
    <row r="1619" spans="1:3" x14ac:dyDescent="0.25">
      <c r="A1619" t="s">
        <v>3954</v>
      </c>
      <c r="B1619">
        <v>2183</v>
      </c>
      <c r="C1619" t="b">
        <f t="shared" si="25"/>
        <v>1</v>
      </c>
    </row>
    <row r="1620" spans="1:3" x14ac:dyDescent="0.25">
      <c r="A1620" t="s">
        <v>3954</v>
      </c>
      <c r="B1620">
        <v>2346</v>
      </c>
      <c r="C1620" t="b">
        <f t="shared" si="25"/>
        <v>1</v>
      </c>
    </row>
    <row r="1621" spans="1:3" hidden="1" x14ac:dyDescent="0.25">
      <c r="A1621" t="s">
        <v>4537</v>
      </c>
      <c r="B1621">
        <v>2184</v>
      </c>
      <c r="C1621" t="b">
        <f t="shared" si="25"/>
        <v>0</v>
      </c>
    </row>
    <row r="1622" spans="1:3" hidden="1" x14ac:dyDescent="0.25">
      <c r="A1622" t="s">
        <v>3955</v>
      </c>
      <c r="B1622">
        <v>1542</v>
      </c>
      <c r="C1622" t="b">
        <f t="shared" si="25"/>
        <v>0</v>
      </c>
    </row>
    <row r="1623" spans="1:3" hidden="1" x14ac:dyDescent="0.25">
      <c r="A1623" t="s">
        <v>4649</v>
      </c>
      <c r="B1623">
        <v>2309</v>
      </c>
      <c r="C1623" t="b">
        <f t="shared" si="25"/>
        <v>0</v>
      </c>
    </row>
    <row r="1624" spans="1:3" hidden="1" x14ac:dyDescent="0.25">
      <c r="A1624" t="s">
        <v>4800</v>
      </c>
      <c r="B1624">
        <v>2481</v>
      </c>
      <c r="C1624" t="b">
        <f t="shared" si="25"/>
        <v>0</v>
      </c>
    </row>
    <row r="1625" spans="1:3" hidden="1" x14ac:dyDescent="0.25">
      <c r="A1625" t="s">
        <v>4802</v>
      </c>
      <c r="B1625">
        <v>2483</v>
      </c>
      <c r="C1625" t="b">
        <f t="shared" si="25"/>
        <v>0</v>
      </c>
    </row>
    <row r="1626" spans="1:3" hidden="1" x14ac:dyDescent="0.25">
      <c r="A1626" t="s">
        <v>4803</v>
      </c>
      <c r="B1626">
        <v>2484</v>
      </c>
      <c r="C1626" t="b">
        <f t="shared" si="25"/>
        <v>0</v>
      </c>
    </row>
    <row r="1627" spans="1:3" hidden="1" x14ac:dyDescent="0.25">
      <c r="A1627" t="s">
        <v>4801</v>
      </c>
      <c r="B1627">
        <v>2482</v>
      </c>
      <c r="C1627" t="b">
        <f t="shared" si="25"/>
        <v>0</v>
      </c>
    </row>
    <row r="1628" spans="1:3" hidden="1" x14ac:dyDescent="0.25">
      <c r="A1628" t="s">
        <v>4079</v>
      </c>
      <c r="B1628">
        <v>1679</v>
      </c>
      <c r="C1628" t="b">
        <f t="shared" si="25"/>
        <v>0</v>
      </c>
    </row>
    <row r="1629" spans="1:3" hidden="1" x14ac:dyDescent="0.25">
      <c r="A1629" t="s">
        <v>4081</v>
      </c>
      <c r="B1629">
        <v>1681</v>
      </c>
      <c r="C1629" t="b">
        <f t="shared" si="25"/>
        <v>0</v>
      </c>
    </row>
    <row r="1630" spans="1:3" hidden="1" x14ac:dyDescent="0.25">
      <c r="A1630" t="s">
        <v>4082</v>
      </c>
      <c r="B1630">
        <v>1682</v>
      </c>
      <c r="C1630" t="b">
        <f t="shared" si="25"/>
        <v>0</v>
      </c>
    </row>
    <row r="1631" spans="1:3" hidden="1" x14ac:dyDescent="0.25">
      <c r="A1631" t="s">
        <v>4083</v>
      </c>
      <c r="B1631">
        <v>1683</v>
      </c>
      <c r="C1631" t="b">
        <f t="shared" si="25"/>
        <v>0</v>
      </c>
    </row>
    <row r="1632" spans="1:3" hidden="1" x14ac:dyDescent="0.25">
      <c r="A1632" t="s">
        <v>4084</v>
      </c>
      <c r="B1632">
        <v>1684</v>
      </c>
      <c r="C1632" t="b">
        <f t="shared" si="25"/>
        <v>0</v>
      </c>
    </row>
    <row r="1633" spans="1:3" hidden="1" x14ac:dyDescent="0.25">
      <c r="A1633" t="s">
        <v>4085</v>
      </c>
      <c r="B1633">
        <v>1685</v>
      </c>
      <c r="C1633" t="b">
        <f t="shared" si="25"/>
        <v>0</v>
      </c>
    </row>
    <row r="1634" spans="1:3" hidden="1" x14ac:dyDescent="0.25">
      <c r="A1634" t="s">
        <v>4086</v>
      </c>
      <c r="B1634">
        <v>1686</v>
      </c>
      <c r="C1634" t="b">
        <f t="shared" si="25"/>
        <v>0</v>
      </c>
    </row>
    <row r="1635" spans="1:3" hidden="1" x14ac:dyDescent="0.25">
      <c r="A1635" t="s">
        <v>4087</v>
      </c>
      <c r="B1635">
        <v>1687</v>
      </c>
      <c r="C1635" t="b">
        <f t="shared" si="25"/>
        <v>0</v>
      </c>
    </row>
    <row r="1636" spans="1:3" hidden="1" x14ac:dyDescent="0.25">
      <c r="A1636" t="s">
        <v>4080</v>
      </c>
      <c r="B1636">
        <v>1680</v>
      </c>
      <c r="C1636" t="b">
        <f t="shared" si="25"/>
        <v>0</v>
      </c>
    </row>
    <row r="1637" spans="1:3" hidden="1" x14ac:dyDescent="0.25">
      <c r="A1637" t="s">
        <v>4088</v>
      </c>
      <c r="B1637">
        <v>1688</v>
      </c>
      <c r="C1637" t="b">
        <f t="shared" si="25"/>
        <v>0</v>
      </c>
    </row>
    <row r="1638" spans="1:3" hidden="1" x14ac:dyDescent="0.25">
      <c r="A1638" t="s">
        <v>4089</v>
      </c>
      <c r="B1638">
        <v>1689</v>
      </c>
      <c r="C1638" t="b">
        <f t="shared" si="25"/>
        <v>0</v>
      </c>
    </row>
    <row r="1639" spans="1:3" hidden="1" x14ac:dyDescent="0.25">
      <c r="A1639" t="s">
        <v>3982</v>
      </c>
      <c r="B1639">
        <v>1574</v>
      </c>
      <c r="C1639" t="b">
        <f t="shared" si="25"/>
        <v>0</v>
      </c>
    </row>
    <row r="1640" spans="1:3" hidden="1" x14ac:dyDescent="0.25">
      <c r="A1640" t="s">
        <v>2882</v>
      </c>
      <c r="B1640">
        <v>397</v>
      </c>
      <c r="C1640" t="b">
        <f t="shared" si="25"/>
        <v>0</v>
      </c>
    </row>
    <row r="1641" spans="1:3" hidden="1" x14ac:dyDescent="0.25">
      <c r="A1641" t="s">
        <v>2884</v>
      </c>
      <c r="B1641">
        <v>399</v>
      </c>
      <c r="C1641" t="b">
        <f t="shared" si="25"/>
        <v>0</v>
      </c>
    </row>
    <row r="1642" spans="1:3" hidden="1" x14ac:dyDescent="0.25">
      <c r="A1642" t="s">
        <v>2885</v>
      </c>
      <c r="B1642">
        <v>400</v>
      </c>
      <c r="C1642" t="b">
        <f t="shared" si="25"/>
        <v>0</v>
      </c>
    </row>
    <row r="1643" spans="1:3" hidden="1" x14ac:dyDescent="0.25">
      <c r="A1643" t="s">
        <v>2883</v>
      </c>
      <c r="B1643">
        <v>398</v>
      </c>
      <c r="C1643" t="b">
        <f t="shared" si="25"/>
        <v>0</v>
      </c>
    </row>
    <row r="1644" spans="1:3" hidden="1" x14ac:dyDescent="0.25">
      <c r="A1644" t="s">
        <v>4015</v>
      </c>
      <c r="B1644">
        <v>1609</v>
      </c>
      <c r="C1644" t="b">
        <f t="shared" si="25"/>
        <v>0</v>
      </c>
    </row>
    <row r="1645" spans="1:3" hidden="1" x14ac:dyDescent="0.25">
      <c r="A1645" t="s">
        <v>2557</v>
      </c>
      <c r="B1645">
        <v>62</v>
      </c>
      <c r="C1645" t="b">
        <f t="shared" si="25"/>
        <v>0</v>
      </c>
    </row>
    <row r="1646" spans="1:3" hidden="1" x14ac:dyDescent="0.25">
      <c r="A1646" t="s">
        <v>2558</v>
      </c>
      <c r="B1646">
        <v>63</v>
      </c>
      <c r="C1646" t="b">
        <f t="shared" si="25"/>
        <v>0</v>
      </c>
    </row>
    <row r="1647" spans="1:3" hidden="1" x14ac:dyDescent="0.25">
      <c r="A1647" t="s">
        <v>4729</v>
      </c>
      <c r="B1647">
        <v>2401</v>
      </c>
      <c r="C1647" t="b">
        <f t="shared" si="25"/>
        <v>0</v>
      </c>
    </row>
    <row r="1648" spans="1:3" hidden="1" x14ac:dyDescent="0.25">
      <c r="A1648" t="s">
        <v>4730</v>
      </c>
      <c r="B1648">
        <v>2402</v>
      </c>
      <c r="C1648" t="b">
        <f t="shared" si="25"/>
        <v>0</v>
      </c>
    </row>
    <row r="1649" spans="1:3" hidden="1" x14ac:dyDescent="0.25">
      <c r="A1649" t="s">
        <v>3493</v>
      </c>
      <c r="B1649">
        <v>1049</v>
      </c>
      <c r="C1649" t="b">
        <f t="shared" si="25"/>
        <v>0</v>
      </c>
    </row>
    <row r="1650" spans="1:3" hidden="1" x14ac:dyDescent="0.25">
      <c r="A1650" t="s">
        <v>4114</v>
      </c>
      <c r="B1650">
        <v>1721</v>
      </c>
      <c r="C1650" t="b">
        <f t="shared" si="25"/>
        <v>0</v>
      </c>
    </row>
    <row r="1651" spans="1:3" hidden="1" x14ac:dyDescent="0.25">
      <c r="A1651" t="s">
        <v>4115</v>
      </c>
      <c r="B1651">
        <v>1722</v>
      </c>
      <c r="C1651" t="b">
        <f t="shared" si="25"/>
        <v>0</v>
      </c>
    </row>
    <row r="1652" spans="1:3" hidden="1" x14ac:dyDescent="0.25">
      <c r="A1652" t="s">
        <v>4116</v>
      </c>
      <c r="B1652">
        <v>1723</v>
      </c>
      <c r="C1652" t="b">
        <f t="shared" si="25"/>
        <v>0</v>
      </c>
    </row>
    <row r="1653" spans="1:3" hidden="1" x14ac:dyDescent="0.25">
      <c r="A1653" t="s">
        <v>2626</v>
      </c>
      <c r="B1653">
        <v>134</v>
      </c>
      <c r="C1653" t="b">
        <f t="shared" si="25"/>
        <v>0</v>
      </c>
    </row>
    <row r="1654" spans="1:3" x14ac:dyDescent="0.25">
      <c r="A1654" t="s">
        <v>2626</v>
      </c>
      <c r="B1654">
        <v>432</v>
      </c>
      <c r="C1654" t="b">
        <f t="shared" si="25"/>
        <v>1</v>
      </c>
    </row>
    <row r="1655" spans="1:3" hidden="1" x14ac:dyDescent="0.25">
      <c r="A1655" t="s">
        <v>4117</v>
      </c>
      <c r="B1655">
        <v>1724</v>
      </c>
      <c r="C1655" t="b">
        <f t="shared" si="25"/>
        <v>0</v>
      </c>
    </row>
    <row r="1656" spans="1:3" hidden="1" x14ac:dyDescent="0.25">
      <c r="A1656" t="s">
        <v>3093</v>
      </c>
      <c r="B1656">
        <v>623</v>
      </c>
      <c r="C1656" t="b">
        <f t="shared" si="25"/>
        <v>0</v>
      </c>
    </row>
    <row r="1657" spans="1:3" hidden="1" x14ac:dyDescent="0.25">
      <c r="A1657" t="s">
        <v>3233</v>
      </c>
      <c r="B1657">
        <v>767</v>
      </c>
      <c r="C1657" t="b">
        <f t="shared" si="25"/>
        <v>0</v>
      </c>
    </row>
    <row r="1658" spans="1:3" hidden="1" x14ac:dyDescent="0.25">
      <c r="A1658" t="s">
        <v>3595</v>
      </c>
      <c r="B1658">
        <v>1156</v>
      </c>
      <c r="C1658" t="b">
        <f t="shared" si="25"/>
        <v>0</v>
      </c>
    </row>
    <row r="1659" spans="1:3" hidden="1" x14ac:dyDescent="0.25">
      <c r="A1659" t="s">
        <v>2559</v>
      </c>
      <c r="B1659">
        <v>64</v>
      </c>
      <c r="C1659" t="b">
        <f t="shared" si="25"/>
        <v>0</v>
      </c>
    </row>
    <row r="1660" spans="1:3" hidden="1" x14ac:dyDescent="0.25">
      <c r="A1660" t="s">
        <v>4520</v>
      </c>
      <c r="B1660">
        <v>2163</v>
      </c>
      <c r="C1660" t="b">
        <f t="shared" si="25"/>
        <v>0</v>
      </c>
    </row>
    <row r="1661" spans="1:3" hidden="1" x14ac:dyDescent="0.25">
      <c r="A1661" t="s">
        <v>2518</v>
      </c>
      <c r="B1661">
        <v>22</v>
      </c>
      <c r="C1661" t="b">
        <f t="shared" si="25"/>
        <v>0</v>
      </c>
    </row>
    <row r="1662" spans="1:3" hidden="1" x14ac:dyDescent="0.25">
      <c r="A1662" t="s">
        <v>4935</v>
      </c>
      <c r="B1662">
        <v>2633</v>
      </c>
      <c r="C1662" t="b">
        <f t="shared" si="25"/>
        <v>0</v>
      </c>
    </row>
    <row r="1663" spans="1:3" hidden="1" x14ac:dyDescent="0.25">
      <c r="A1663" t="s">
        <v>2840</v>
      </c>
      <c r="B1663">
        <v>353</v>
      </c>
      <c r="C1663" t="b">
        <f t="shared" si="25"/>
        <v>0</v>
      </c>
    </row>
    <row r="1664" spans="1:3" hidden="1" x14ac:dyDescent="0.25">
      <c r="A1664" t="s">
        <v>3312</v>
      </c>
      <c r="B1664">
        <v>850</v>
      </c>
      <c r="C1664" t="b">
        <f t="shared" si="25"/>
        <v>0</v>
      </c>
    </row>
    <row r="1665" spans="1:3" x14ac:dyDescent="0.25">
      <c r="A1665" t="s">
        <v>3312</v>
      </c>
      <c r="B1665">
        <v>1440</v>
      </c>
      <c r="C1665" t="b">
        <f t="shared" si="25"/>
        <v>1</v>
      </c>
    </row>
    <row r="1666" spans="1:3" hidden="1" x14ac:dyDescent="0.25">
      <c r="A1666" t="s">
        <v>4888</v>
      </c>
      <c r="B1666">
        <v>2580</v>
      </c>
      <c r="C1666" t="b">
        <f t="shared" si="25"/>
        <v>0</v>
      </c>
    </row>
    <row r="1667" spans="1:3" hidden="1" x14ac:dyDescent="0.25">
      <c r="A1667" t="s">
        <v>4889</v>
      </c>
      <c r="B1667">
        <v>2581</v>
      </c>
      <c r="C1667" t="b">
        <f t="shared" ref="C1667:C1730" si="26">A1667=A1666</f>
        <v>0</v>
      </c>
    </row>
    <row r="1668" spans="1:3" hidden="1" x14ac:dyDescent="0.25">
      <c r="A1668" t="s">
        <v>4681</v>
      </c>
      <c r="B1668">
        <v>2347</v>
      </c>
      <c r="C1668" t="b">
        <f t="shared" si="26"/>
        <v>0</v>
      </c>
    </row>
    <row r="1669" spans="1:3" hidden="1" x14ac:dyDescent="0.25">
      <c r="A1669" t="s">
        <v>4195</v>
      </c>
      <c r="B1669">
        <v>1815</v>
      </c>
      <c r="C1669" t="b">
        <f t="shared" si="26"/>
        <v>0</v>
      </c>
    </row>
    <row r="1670" spans="1:3" hidden="1" x14ac:dyDescent="0.25">
      <c r="A1670" t="s">
        <v>3177</v>
      </c>
      <c r="B1670">
        <v>710</v>
      </c>
      <c r="C1670" t="b">
        <f t="shared" si="26"/>
        <v>0</v>
      </c>
    </row>
    <row r="1671" spans="1:3" hidden="1" x14ac:dyDescent="0.25">
      <c r="A1671" t="s">
        <v>3969</v>
      </c>
      <c r="B1671">
        <v>1558</v>
      </c>
      <c r="C1671" t="b">
        <f t="shared" si="26"/>
        <v>0</v>
      </c>
    </row>
    <row r="1672" spans="1:3" x14ac:dyDescent="0.25">
      <c r="A1672" t="s">
        <v>3969</v>
      </c>
      <c r="B1672">
        <v>2164</v>
      </c>
      <c r="C1672" t="b">
        <f t="shared" si="26"/>
        <v>1</v>
      </c>
    </row>
    <row r="1673" spans="1:3" hidden="1" x14ac:dyDescent="0.25">
      <c r="A1673" t="s">
        <v>4118</v>
      </c>
      <c r="B1673">
        <v>1725</v>
      </c>
      <c r="C1673" t="b">
        <f t="shared" si="26"/>
        <v>0</v>
      </c>
    </row>
    <row r="1674" spans="1:3" hidden="1" x14ac:dyDescent="0.25">
      <c r="A1674" t="s">
        <v>2612</v>
      </c>
      <c r="B1674">
        <v>119</v>
      </c>
      <c r="C1674" t="b">
        <f t="shared" si="26"/>
        <v>0</v>
      </c>
    </row>
    <row r="1675" spans="1:3" hidden="1" x14ac:dyDescent="0.25">
      <c r="A1675" t="s">
        <v>4132</v>
      </c>
      <c r="B1675">
        <v>1744</v>
      </c>
      <c r="C1675" t="b">
        <f t="shared" si="26"/>
        <v>0</v>
      </c>
    </row>
    <row r="1676" spans="1:3" hidden="1" x14ac:dyDescent="0.25">
      <c r="A1676" t="s">
        <v>4133</v>
      </c>
      <c r="B1676">
        <v>1745</v>
      </c>
      <c r="C1676" t="b">
        <f t="shared" si="26"/>
        <v>0</v>
      </c>
    </row>
    <row r="1677" spans="1:3" hidden="1" x14ac:dyDescent="0.25">
      <c r="A1677" t="s">
        <v>4136</v>
      </c>
      <c r="B1677">
        <v>1748</v>
      </c>
      <c r="C1677" t="b">
        <f t="shared" si="26"/>
        <v>0</v>
      </c>
    </row>
    <row r="1678" spans="1:3" hidden="1" x14ac:dyDescent="0.25">
      <c r="A1678" t="s">
        <v>4137</v>
      </c>
      <c r="B1678">
        <v>1749</v>
      </c>
      <c r="C1678" t="b">
        <f t="shared" si="26"/>
        <v>0</v>
      </c>
    </row>
    <row r="1679" spans="1:3" hidden="1" x14ac:dyDescent="0.25">
      <c r="A1679" t="s">
        <v>4134</v>
      </c>
      <c r="B1679">
        <v>1746</v>
      </c>
      <c r="C1679" t="b">
        <f t="shared" si="26"/>
        <v>0</v>
      </c>
    </row>
    <row r="1680" spans="1:3" hidden="1" x14ac:dyDescent="0.25">
      <c r="A1680" t="s">
        <v>4135</v>
      </c>
      <c r="B1680">
        <v>1747</v>
      </c>
      <c r="C1680" t="b">
        <f t="shared" si="26"/>
        <v>0</v>
      </c>
    </row>
    <row r="1681" spans="1:3" hidden="1" x14ac:dyDescent="0.25">
      <c r="A1681" t="s">
        <v>3910</v>
      </c>
      <c r="B1681">
        <v>1495</v>
      </c>
      <c r="C1681" t="b">
        <f t="shared" si="26"/>
        <v>0</v>
      </c>
    </row>
    <row r="1682" spans="1:3" hidden="1" x14ac:dyDescent="0.25">
      <c r="A1682" t="s">
        <v>5097</v>
      </c>
      <c r="B1682">
        <v>2800</v>
      </c>
      <c r="C1682" t="b">
        <f t="shared" si="26"/>
        <v>0</v>
      </c>
    </row>
    <row r="1683" spans="1:3" hidden="1" x14ac:dyDescent="0.25">
      <c r="A1683" t="s">
        <v>5098</v>
      </c>
      <c r="B1683">
        <v>2801</v>
      </c>
      <c r="C1683" t="b">
        <f t="shared" si="26"/>
        <v>0</v>
      </c>
    </row>
    <row r="1684" spans="1:3" hidden="1" x14ac:dyDescent="0.25">
      <c r="A1684" t="s">
        <v>4016</v>
      </c>
      <c r="B1684">
        <v>1610</v>
      </c>
      <c r="C1684" t="b">
        <f t="shared" si="26"/>
        <v>0</v>
      </c>
    </row>
    <row r="1685" spans="1:3" hidden="1" x14ac:dyDescent="0.25">
      <c r="A1685" t="s">
        <v>4762</v>
      </c>
      <c r="B1685">
        <v>2435</v>
      </c>
      <c r="C1685" t="b">
        <f t="shared" si="26"/>
        <v>0</v>
      </c>
    </row>
    <row r="1686" spans="1:3" hidden="1" x14ac:dyDescent="0.25">
      <c r="A1686" t="s">
        <v>4763</v>
      </c>
      <c r="B1686">
        <v>2436</v>
      </c>
      <c r="C1686" t="b">
        <f t="shared" si="26"/>
        <v>0</v>
      </c>
    </row>
    <row r="1687" spans="1:3" hidden="1" x14ac:dyDescent="0.25">
      <c r="A1687" t="s">
        <v>4150</v>
      </c>
      <c r="B1687">
        <v>1764</v>
      </c>
      <c r="C1687" t="b">
        <f t="shared" si="26"/>
        <v>0</v>
      </c>
    </row>
    <row r="1688" spans="1:3" hidden="1" x14ac:dyDescent="0.25">
      <c r="A1688" t="s">
        <v>4153</v>
      </c>
      <c r="B1688">
        <v>1767</v>
      </c>
      <c r="C1688" t="b">
        <f t="shared" si="26"/>
        <v>0</v>
      </c>
    </row>
    <row r="1689" spans="1:3" hidden="1" x14ac:dyDescent="0.25">
      <c r="A1689" t="s">
        <v>4154</v>
      </c>
      <c r="B1689">
        <v>1768</v>
      </c>
      <c r="C1689" t="b">
        <f t="shared" si="26"/>
        <v>0</v>
      </c>
    </row>
    <row r="1690" spans="1:3" hidden="1" x14ac:dyDescent="0.25">
      <c r="A1690" t="s">
        <v>4155</v>
      </c>
      <c r="B1690">
        <v>1769</v>
      </c>
      <c r="C1690" t="b">
        <f t="shared" si="26"/>
        <v>0</v>
      </c>
    </row>
    <row r="1691" spans="1:3" hidden="1" x14ac:dyDescent="0.25">
      <c r="A1691" t="s">
        <v>4151</v>
      </c>
      <c r="B1691">
        <v>1765</v>
      </c>
      <c r="C1691" t="b">
        <f t="shared" si="26"/>
        <v>0</v>
      </c>
    </row>
    <row r="1692" spans="1:3" hidden="1" x14ac:dyDescent="0.25">
      <c r="A1692" t="s">
        <v>4156</v>
      </c>
      <c r="B1692">
        <v>1770</v>
      </c>
      <c r="C1692" t="b">
        <f t="shared" si="26"/>
        <v>0</v>
      </c>
    </row>
    <row r="1693" spans="1:3" hidden="1" x14ac:dyDescent="0.25">
      <c r="A1693" t="s">
        <v>4152</v>
      </c>
      <c r="B1693">
        <v>1766</v>
      </c>
      <c r="C1693" t="b">
        <f t="shared" si="26"/>
        <v>0</v>
      </c>
    </row>
    <row r="1694" spans="1:3" hidden="1" x14ac:dyDescent="0.25">
      <c r="A1694" t="s">
        <v>2972</v>
      </c>
      <c r="B1694">
        <v>493</v>
      </c>
      <c r="C1694" t="b">
        <f t="shared" si="26"/>
        <v>0</v>
      </c>
    </row>
    <row r="1695" spans="1:3" x14ac:dyDescent="0.25">
      <c r="A1695" t="s">
        <v>2972</v>
      </c>
      <c r="B1695">
        <v>2203</v>
      </c>
      <c r="C1695" t="b">
        <f t="shared" si="26"/>
        <v>1</v>
      </c>
    </row>
    <row r="1696" spans="1:3" hidden="1" x14ac:dyDescent="0.25">
      <c r="A1696" t="s">
        <v>3494</v>
      </c>
      <c r="B1696">
        <v>1050</v>
      </c>
      <c r="C1696" t="b">
        <f t="shared" si="26"/>
        <v>0</v>
      </c>
    </row>
    <row r="1697" spans="1:3" hidden="1" x14ac:dyDescent="0.25">
      <c r="A1697" t="s">
        <v>4682</v>
      </c>
      <c r="B1697">
        <v>2348</v>
      </c>
      <c r="C1697" t="b">
        <f t="shared" si="26"/>
        <v>0</v>
      </c>
    </row>
    <row r="1698" spans="1:3" hidden="1" x14ac:dyDescent="0.25">
      <c r="A1698" t="s">
        <v>4196</v>
      </c>
      <c r="B1698">
        <v>1816</v>
      </c>
      <c r="C1698" t="b">
        <f t="shared" si="26"/>
        <v>0</v>
      </c>
    </row>
    <row r="1699" spans="1:3" hidden="1" x14ac:dyDescent="0.25">
      <c r="A1699" t="s">
        <v>2713</v>
      </c>
      <c r="B1699">
        <v>223</v>
      </c>
      <c r="C1699" t="b">
        <f t="shared" si="26"/>
        <v>0</v>
      </c>
    </row>
    <row r="1700" spans="1:3" hidden="1" x14ac:dyDescent="0.25">
      <c r="A1700" t="s">
        <v>3861</v>
      </c>
      <c r="B1700">
        <v>1441</v>
      </c>
      <c r="C1700" t="b">
        <f t="shared" si="26"/>
        <v>0</v>
      </c>
    </row>
    <row r="1701" spans="1:3" hidden="1" x14ac:dyDescent="0.25">
      <c r="A1701" t="s">
        <v>3862</v>
      </c>
      <c r="B1701">
        <v>1442</v>
      </c>
      <c r="C1701" t="b">
        <f t="shared" si="26"/>
        <v>0</v>
      </c>
    </row>
    <row r="1702" spans="1:3" hidden="1" x14ac:dyDescent="0.25">
      <c r="A1702" t="s">
        <v>3789</v>
      </c>
      <c r="B1702">
        <v>1362</v>
      </c>
      <c r="C1702" t="b">
        <f t="shared" si="26"/>
        <v>0</v>
      </c>
    </row>
    <row r="1703" spans="1:3" hidden="1" x14ac:dyDescent="0.25">
      <c r="A1703" t="s">
        <v>4619</v>
      </c>
      <c r="B1703">
        <v>2278</v>
      </c>
      <c r="C1703" t="b">
        <f t="shared" si="26"/>
        <v>0</v>
      </c>
    </row>
    <row r="1704" spans="1:3" hidden="1" x14ac:dyDescent="0.25">
      <c r="A1704" t="s">
        <v>4157</v>
      </c>
      <c r="B1704">
        <v>1771</v>
      </c>
      <c r="C1704" t="b">
        <f t="shared" si="26"/>
        <v>0</v>
      </c>
    </row>
    <row r="1705" spans="1:3" hidden="1" x14ac:dyDescent="0.25">
      <c r="A1705" t="s">
        <v>3020</v>
      </c>
      <c r="B1705">
        <v>545</v>
      </c>
      <c r="C1705" t="b">
        <f t="shared" si="26"/>
        <v>0</v>
      </c>
    </row>
    <row r="1706" spans="1:3" hidden="1" x14ac:dyDescent="0.25">
      <c r="A1706" t="s">
        <v>2792</v>
      </c>
      <c r="B1706">
        <v>304</v>
      </c>
      <c r="C1706" t="b">
        <f t="shared" si="26"/>
        <v>0</v>
      </c>
    </row>
    <row r="1707" spans="1:3" hidden="1" x14ac:dyDescent="0.25">
      <c r="A1707" t="s">
        <v>3495</v>
      </c>
      <c r="B1707">
        <v>1051</v>
      </c>
      <c r="C1707" t="b">
        <f t="shared" si="26"/>
        <v>0</v>
      </c>
    </row>
    <row r="1708" spans="1:3" hidden="1" x14ac:dyDescent="0.25">
      <c r="A1708" t="s">
        <v>4594</v>
      </c>
      <c r="B1708">
        <v>2251</v>
      </c>
      <c r="C1708" t="b">
        <f t="shared" si="26"/>
        <v>0</v>
      </c>
    </row>
    <row r="1709" spans="1:3" hidden="1" x14ac:dyDescent="0.25">
      <c r="A1709" t="s">
        <v>3496</v>
      </c>
      <c r="B1709">
        <v>1052</v>
      </c>
      <c r="C1709" t="b">
        <f t="shared" si="26"/>
        <v>0</v>
      </c>
    </row>
    <row r="1710" spans="1:3" hidden="1" x14ac:dyDescent="0.25">
      <c r="A1710" t="s">
        <v>3373</v>
      </c>
      <c r="B1710">
        <v>915</v>
      </c>
      <c r="C1710" t="b">
        <f t="shared" si="26"/>
        <v>0</v>
      </c>
    </row>
    <row r="1711" spans="1:3" hidden="1" x14ac:dyDescent="0.25">
      <c r="A1711" t="s">
        <v>4683</v>
      </c>
      <c r="B1711">
        <v>2349</v>
      </c>
      <c r="C1711" t="b">
        <f t="shared" si="26"/>
        <v>0</v>
      </c>
    </row>
    <row r="1712" spans="1:3" hidden="1" x14ac:dyDescent="0.25">
      <c r="A1712" t="s">
        <v>4847</v>
      </c>
      <c r="B1712">
        <v>2533</v>
      </c>
      <c r="C1712" t="b">
        <f t="shared" si="26"/>
        <v>0</v>
      </c>
    </row>
    <row r="1713" spans="1:3" hidden="1" x14ac:dyDescent="0.25">
      <c r="A1713" t="s">
        <v>2674</v>
      </c>
      <c r="B1713">
        <v>184</v>
      </c>
      <c r="C1713" t="b">
        <f t="shared" si="26"/>
        <v>0</v>
      </c>
    </row>
    <row r="1714" spans="1:3" hidden="1" x14ac:dyDescent="0.25">
      <c r="A1714" t="s">
        <v>2675</v>
      </c>
      <c r="B1714">
        <v>185</v>
      </c>
      <c r="C1714" t="b">
        <f t="shared" si="26"/>
        <v>0</v>
      </c>
    </row>
    <row r="1715" spans="1:3" hidden="1" x14ac:dyDescent="0.25">
      <c r="A1715" t="s">
        <v>3234</v>
      </c>
      <c r="B1715">
        <v>768</v>
      </c>
      <c r="C1715" t="b">
        <f t="shared" si="26"/>
        <v>0</v>
      </c>
    </row>
    <row r="1716" spans="1:3" hidden="1" x14ac:dyDescent="0.25">
      <c r="A1716" t="s">
        <v>4175</v>
      </c>
      <c r="B1716">
        <v>1792</v>
      </c>
      <c r="C1716" t="b">
        <f t="shared" si="26"/>
        <v>0</v>
      </c>
    </row>
    <row r="1717" spans="1:3" hidden="1" x14ac:dyDescent="0.25">
      <c r="A1717" t="s">
        <v>4177</v>
      </c>
      <c r="B1717">
        <v>1794</v>
      </c>
      <c r="C1717" t="b">
        <f t="shared" si="26"/>
        <v>0</v>
      </c>
    </row>
    <row r="1718" spans="1:3" hidden="1" x14ac:dyDescent="0.25">
      <c r="A1718" t="s">
        <v>4178</v>
      </c>
      <c r="B1718">
        <v>1795</v>
      </c>
      <c r="C1718" t="b">
        <f t="shared" si="26"/>
        <v>0</v>
      </c>
    </row>
    <row r="1719" spans="1:3" hidden="1" x14ac:dyDescent="0.25">
      <c r="A1719" t="s">
        <v>4179</v>
      </c>
      <c r="B1719">
        <v>1796</v>
      </c>
      <c r="C1719" t="b">
        <f t="shared" si="26"/>
        <v>0</v>
      </c>
    </row>
    <row r="1720" spans="1:3" hidden="1" x14ac:dyDescent="0.25">
      <c r="A1720" t="s">
        <v>4180</v>
      </c>
      <c r="B1720">
        <v>1797</v>
      </c>
      <c r="C1720" t="b">
        <f t="shared" si="26"/>
        <v>0</v>
      </c>
    </row>
    <row r="1721" spans="1:3" hidden="1" x14ac:dyDescent="0.25">
      <c r="A1721" t="s">
        <v>4181</v>
      </c>
      <c r="B1721">
        <v>1798</v>
      </c>
      <c r="C1721" t="b">
        <f t="shared" si="26"/>
        <v>0</v>
      </c>
    </row>
    <row r="1722" spans="1:3" hidden="1" x14ac:dyDescent="0.25">
      <c r="A1722" t="s">
        <v>4176</v>
      </c>
      <c r="B1722">
        <v>1793</v>
      </c>
      <c r="C1722" t="b">
        <f t="shared" si="26"/>
        <v>0</v>
      </c>
    </row>
    <row r="1723" spans="1:3" hidden="1" x14ac:dyDescent="0.25">
      <c r="A1723" t="s">
        <v>3339</v>
      </c>
      <c r="B1723">
        <v>879</v>
      </c>
      <c r="C1723" t="b">
        <f t="shared" si="26"/>
        <v>0</v>
      </c>
    </row>
    <row r="1724" spans="1:3" hidden="1" x14ac:dyDescent="0.25">
      <c r="A1724" t="s">
        <v>3340</v>
      </c>
      <c r="B1724">
        <v>880</v>
      </c>
      <c r="C1724" t="b">
        <f t="shared" si="26"/>
        <v>0</v>
      </c>
    </row>
    <row r="1725" spans="1:3" hidden="1" x14ac:dyDescent="0.25">
      <c r="A1725" t="s">
        <v>4266</v>
      </c>
      <c r="B1725">
        <v>1890</v>
      </c>
      <c r="C1725" t="b">
        <f t="shared" si="26"/>
        <v>0</v>
      </c>
    </row>
    <row r="1726" spans="1:3" hidden="1" x14ac:dyDescent="0.25">
      <c r="A1726" t="s">
        <v>5163</v>
      </c>
      <c r="B1726">
        <v>2870</v>
      </c>
      <c r="C1726" t="b">
        <f t="shared" si="26"/>
        <v>0</v>
      </c>
    </row>
    <row r="1727" spans="1:3" hidden="1" x14ac:dyDescent="0.25">
      <c r="A1727" t="s">
        <v>3497</v>
      </c>
      <c r="B1727">
        <v>1053</v>
      </c>
      <c r="C1727" t="b">
        <f t="shared" si="26"/>
        <v>0</v>
      </c>
    </row>
    <row r="1728" spans="1:3" hidden="1" x14ac:dyDescent="0.25">
      <c r="A1728" t="s">
        <v>3498</v>
      </c>
      <c r="B1728">
        <v>1054</v>
      </c>
      <c r="C1728" t="b">
        <f t="shared" si="26"/>
        <v>0</v>
      </c>
    </row>
    <row r="1729" spans="1:3" hidden="1" x14ac:dyDescent="0.25">
      <c r="A1729" t="s">
        <v>2507</v>
      </c>
      <c r="B1729">
        <v>11</v>
      </c>
      <c r="C1729" t="b">
        <f t="shared" si="26"/>
        <v>0</v>
      </c>
    </row>
    <row r="1730" spans="1:3" hidden="1" x14ac:dyDescent="0.25">
      <c r="A1730" t="s">
        <v>4986</v>
      </c>
      <c r="B1730">
        <v>2686</v>
      </c>
      <c r="C1730" t="b">
        <f t="shared" si="26"/>
        <v>0</v>
      </c>
    </row>
    <row r="1731" spans="1:3" hidden="1" x14ac:dyDescent="0.25">
      <c r="A1731" t="s">
        <v>4987</v>
      </c>
      <c r="B1731">
        <v>2687</v>
      </c>
      <c r="C1731" t="b">
        <f t="shared" ref="C1731:C1794" si="27">A1731=A1730</f>
        <v>0</v>
      </c>
    </row>
    <row r="1732" spans="1:3" hidden="1" x14ac:dyDescent="0.25">
      <c r="A1732" t="s">
        <v>4988</v>
      </c>
      <c r="B1732">
        <v>2688</v>
      </c>
      <c r="C1732" t="b">
        <f t="shared" si="27"/>
        <v>0</v>
      </c>
    </row>
    <row r="1733" spans="1:3" hidden="1" x14ac:dyDescent="0.25">
      <c r="A1733" t="s">
        <v>4224</v>
      </c>
      <c r="B1733">
        <v>1846</v>
      </c>
      <c r="C1733" t="b">
        <f t="shared" si="27"/>
        <v>0</v>
      </c>
    </row>
    <row r="1734" spans="1:3" hidden="1" x14ac:dyDescent="0.25">
      <c r="A1734" t="s">
        <v>4415</v>
      </c>
      <c r="B1734">
        <v>2049</v>
      </c>
      <c r="C1734" t="b">
        <f t="shared" si="27"/>
        <v>0</v>
      </c>
    </row>
    <row r="1735" spans="1:3" hidden="1" x14ac:dyDescent="0.25">
      <c r="A1735" t="s">
        <v>4414</v>
      </c>
      <c r="B1735">
        <v>2048</v>
      </c>
      <c r="C1735" t="b">
        <f t="shared" si="27"/>
        <v>0</v>
      </c>
    </row>
    <row r="1736" spans="1:3" hidden="1" x14ac:dyDescent="0.25">
      <c r="A1736" t="s">
        <v>4138</v>
      </c>
      <c r="B1736">
        <v>1750</v>
      </c>
      <c r="C1736" t="b">
        <f t="shared" si="27"/>
        <v>0</v>
      </c>
    </row>
    <row r="1737" spans="1:3" hidden="1" x14ac:dyDescent="0.25">
      <c r="A1737" t="s">
        <v>4139</v>
      </c>
      <c r="B1737">
        <v>1751</v>
      </c>
      <c r="C1737" t="b">
        <f t="shared" si="27"/>
        <v>0</v>
      </c>
    </row>
    <row r="1738" spans="1:3" hidden="1" x14ac:dyDescent="0.25">
      <c r="A1738" t="s">
        <v>2508</v>
      </c>
      <c r="B1738">
        <v>12</v>
      </c>
      <c r="C1738" t="b">
        <f t="shared" si="27"/>
        <v>0</v>
      </c>
    </row>
    <row r="1739" spans="1:3" hidden="1" x14ac:dyDescent="0.25">
      <c r="A1739" t="s">
        <v>4620</v>
      </c>
      <c r="B1739">
        <v>2279</v>
      </c>
      <c r="C1739" t="b">
        <f t="shared" si="27"/>
        <v>0</v>
      </c>
    </row>
    <row r="1740" spans="1:3" hidden="1" x14ac:dyDescent="0.25">
      <c r="A1740" t="s">
        <v>4892</v>
      </c>
      <c r="B1740">
        <v>2584</v>
      </c>
      <c r="C1740" t="b">
        <f t="shared" si="27"/>
        <v>0</v>
      </c>
    </row>
    <row r="1741" spans="1:3" hidden="1" x14ac:dyDescent="0.25">
      <c r="A1741" t="s">
        <v>4890</v>
      </c>
      <c r="B1741">
        <v>2582</v>
      </c>
      <c r="C1741" t="b">
        <f t="shared" si="27"/>
        <v>0</v>
      </c>
    </row>
    <row r="1742" spans="1:3" hidden="1" x14ac:dyDescent="0.25">
      <c r="A1742" t="s">
        <v>4891</v>
      </c>
      <c r="B1742">
        <v>2583</v>
      </c>
      <c r="C1742" t="b">
        <f t="shared" si="27"/>
        <v>0</v>
      </c>
    </row>
    <row r="1743" spans="1:3" hidden="1" x14ac:dyDescent="0.25">
      <c r="A1743" t="s">
        <v>4182</v>
      </c>
      <c r="B1743">
        <v>1799</v>
      </c>
      <c r="C1743" t="b">
        <f t="shared" si="27"/>
        <v>0</v>
      </c>
    </row>
    <row r="1744" spans="1:3" x14ac:dyDescent="0.25">
      <c r="A1744" t="s">
        <v>4182</v>
      </c>
      <c r="B1744">
        <v>2141</v>
      </c>
      <c r="C1744" t="b">
        <f t="shared" si="27"/>
        <v>1</v>
      </c>
    </row>
    <row r="1745" spans="1:3" hidden="1" x14ac:dyDescent="0.25">
      <c r="A1745" t="s">
        <v>2613</v>
      </c>
      <c r="B1745">
        <v>120</v>
      </c>
      <c r="C1745" t="b">
        <f t="shared" si="27"/>
        <v>0</v>
      </c>
    </row>
    <row r="1746" spans="1:3" x14ac:dyDescent="0.25">
      <c r="A1746" t="s">
        <v>2613</v>
      </c>
      <c r="B1746">
        <v>433</v>
      </c>
      <c r="C1746" t="b">
        <f t="shared" si="27"/>
        <v>1</v>
      </c>
    </row>
    <row r="1747" spans="1:3" hidden="1" x14ac:dyDescent="0.25">
      <c r="A1747" t="s">
        <v>4805</v>
      </c>
      <c r="B1747">
        <v>2486</v>
      </c>
      <c r="C1747" t="b">
        <f t="shared" si="27"/>
        <v>0</v>
      </c>
    </row>
    <row r="1748" spans="1:3" hidden="1" x14ac:dyDescent="0.25">
      <c r="A1748" t="s">
        <v>4804</v>
      </c>
      <c r="B1748">
        <v>2485</v>
      </c>
      <c r="C1748" t="b">
        <f t="shared" si="27"/>
        <v>0</v>
      </c>
    </row>
    <row r="1749" spans="1:3" hidden="1" x14ac:dyDescent="0.25">
      <c r="A1749" t="s">
        <v>4198</v>
      </c>
      <c r="B1749">
        <v>1818</v>
      </c>
      <c r="C1749" t="b">
        <f t="shared" si="27"/>
        <v>0</v>
      </c>
    </row>
    <row r="1750" spans="1:3" hidden="1" x14ac:dyDescent="0.25">
      <c r="A1750" t="s">
        <v>4197</v>
      </c>
      <c r="B1750">
        <v>1817</v>
      </c>
      <c r="C1750" t="b">
        <f t="shared" si="27"/>
        <v>0</v>
      </c>
    </row>
    <row r="1751" spans="1:3" hidden="1" x14ac:dyDescent="0.25">
      <c r="A1751" t="s">
        <v>4199</v>
      </c>
      <c r="B1751">
        <v>1819</v>
      </c>
      <c r="C1751" t="b">
        <f t="shared" si="27"/>
        <v>0</v>
      </c>
    </row>
    <row r="1752" spans="1:3" hidden="1" x14ac:dyDescent="0.25">
      <c r="A1752" t="s">
        <v>2509</v>
      </c>
      <c r="B1752">
        <v>13</v>
      </c>
      <c r="C1752" t="b">
        <f t="shared" si="27"/>
        <v>0</v>
      </c>
    </row>
    <row r="1753" spans="1:3" hidden="1" x14ac:dyDescent="0.25">
      <c r="A1753" t="s">
        <v>2627</v>
      </c>
      <c r="B1753">
        <v>135</v>
      </c>
      <c r="C1753" t="b">
        <f t="shared" si="27"/>
        <v>0</v>
      </c>
    </row>
    <row r="1754" spans="1:3" hidden="1" x14ac:dyDescent="0.25">
      <c r="A1754" t="s">
        <v>2714</v>
      </c>
      <c r="B1754">
        <v>224</v>
      </c>
      <c r="C1754" t="b">
        <f t="shared" si="27"/>
        <v>0</v>
      </c>
    </row>
    <row r="1755" spans="1:3" hidden="1" x14ac:dyDescent="0.25">
      <c r="A1755" t="s">
        <v>2715</v>
      </c>
      <c r="B1755">
        <v>225</v>
      </c>
      <c r="C1755" t="b">
        <f t="shared" si="27"/>
        <v>0</v>
      </c>
    </row>
    <row r="1756" spans="1:3" hidden="1" x14ac:dyDescent="0.25">
      <c r="A1756" t="s">
        <v>4225</v>
      </c>
      <c r="B1756">
        <v>1847</v>
      </c>
      <c r="C1756" t="b">
        <f t="shared" si="27"/>
        <v>0</v>
      </c>
    </row>
    <row r="1757" spans="1:3" hidden="1" x14ac:dyDescent="0.25">
      <c r="A1757" t="s">
        <v>4227</v>
      </c>
      <c r="B1757">
        <v>1849</v>
      </c>
      <c r="C1757" t="b">
        <f t="shared" si="27"/>
        <v>0</v>
      </c>
    </row>
    <row r="1758" spans="1:3" hidden="1" x14ac:dyDescent="0.25">
      <c r="A1758" t="s">
        <v>4228</v>
      </c>
      <c r="B1758">
        <v>1850</v>
      </c>
      <c r="C1758" t="b">
        <f t="shared" si="27"/>
        <v>0</v>
      </c>
    </row>
    <row r="1759" spans="1:3" hidden="1" x14ac:dyDescent="0.25">
      <c r="A1759" t="s">
        <v>4229</v>
      </c>
      <c r="B1759">
        <v>1851</v>
      </c>
      <c r="C1759" t="b">
        <f t="shared" si="27"/>
        <v>0</v>
      </c>
    </row>
    <row r="1760" spans="1:3" hidden="1" x14ac:dyDescent="0.25">
      <c r="A1760" t="s">
        <v>4230</v>
      </c>
      <c r="B1760">
        <v>1852</v>
      </c>
      <c r="C1760" t="b">
        <f t="shared" si="27"/>
        <v>0</v>
      </c>
    </row>
    <row r="1761" spans="1:3" hidden="1" x14ac:dyDescent="0.25">
      <c r="A1761" t="s">
        <v>4231</v>
      </c>
      <c r="B1761">
        <v>1853</v>
      </c>
      <c r="C1761" t="b">
        <f t="shared" si="27"/>
        <v>0</v>
      </c>
    </row>
    <row r="1762" spans="1:3" hidden="1" x14ac:dyDescent="0.25">
      <c r="A1762" t="s">
        <v>4232</v>
      </c>
      <c r="B1762">
        <v>1854</v>
      </c>
      <c r="C1762" t="b">
        <f t="shared" si="27"/>
        <v>0</v>
      </c>
    </row>
    <row r="1763" spans="1:3" hidden="1" x14ac:dyDescent="0.25">
      <c r="A1763" t="s">
        <v>4226</v>
      </c>
      <c r="B1763">
        <v>1848</v>
      </c>
      <c r="C1763" t="b">
        <f t="shared" si="27"/>
        <v>0</v>
      </c>
    </row>
    <row r="1764" spans="1:3" hidden="1" x14ac:dyDescent="0.25">
      <c r="A1764" t="s">
        <v>4233</v>
      </c>
      <c r="B1764">
        <v>1855</v>
      </c>
      <c r="C1764" t="b">
        <f t="shared" si="27"/>
        <v>0</v>
      </c>
    </row>
    <row r="1765" spans="1:3" hidden="1" x14ac:dyDescent="0.25">
      <c r="A1765" t="s">
        <v>4234</v>
      </c>
      <c r="B1765">
        <v>1856</v>
      </c>
      <c r="C1765" t="b">
        <f t="shared" si="27"/>
        <v>0</v>
      </c>
    </row>
    <row r="1766" spans="1:3" hidden="1" x14ac:dyDescent="0.25">
      <c r="A1766" t="s">
        <v>4235</v>
      </c>
      <c r="B1766">
        <v>1857</v>
      </c>
      <c r="C1766" t="b">
        <f t="shared" si="27"/>
        <v>0</v>
      </c>
    </row>
    <row r="1767" spans="1:3" hidden="1" x14ac:dyDescent="0.25">
      <c r="A1767" t="s">
        <v>4236</v>
      </c>
      <c r="B1767">
        <v>1858</v>
      </c>
      <c r="C1767" t="b">
        <f t="shared" si="27"/>
        <v>0</v>
      </c>
    </row>
    <row r="1768" spans="1:3" hidden="1" x14ac:dyDescent="0.25">
      <c r="A1768" t="s">
        <v>4237</v>
      </c>
      <c r="B1768">
        <v>1859</v>
      </c>
      <c r="C1768" t="b">
        <f t="shared" si="27"/>
        <v>0</v>
      </c>
    </row>
    <row r="1769" spans="1:3" hidden="1" x14ac:dyDescent="0.25">
      <c r="A1769" t="s">
        <v>4238</v>
      </c>
      <c r="B1769">
        <v>1860</v>
      </c>
      <c r="C1769" t="b">
        <f t="shared" si="27"/>
        <v>0</v>
      </c>
    </row>
    <row r="1770" spans="1:3" hidden="1" x14ac:dyDescent="0.25">
      <c r="A1770" t="s">
        <v>4239</v>
      </c>
      <c r="B1770">
        <v>1861</v>
      </c>
      <c r="C1770" t="b">
        <f t="shared" si="27"/>
        <v>0</v>
      </c>
    </row>
    <row r="1771" spans="1:3" hidden="1" x14ac:dyDescent="0.25">
      <c r="A1771" t="s">
        <v>4240</v>
      </c>
      <c r="B1771">
        <v>1862</v>
      </c>
      <c r="C1771" t="b">
        <f t="shared" si="27"/>
        <v>0</v>
      </c>
    </row>
    <row r="1772" spans="1:3" hidden="1" x14ac:dyDescent="0.25">
      <c r="A1772" t="s">
        <v>4351</v>
      </c>
      <c r="B1772">
        <v>1983</v>
      </c>
      <c r="C1772" t="b">
        <f t="shared" si="27"/>
        <v>0</v>
      </c>
    </row>
    <row r="1773" spans="1:3" hidden="1" x14ac:dyDescent="0.25">
      <c r="A1773" t="s">
        <v>4307</v>
      </c>
      <c r="B1773">
        <v>1935</v>
      </c>
      <c r="C1773" t="b">
        <f t="shared" si="27"/>
        <v>0</v>
      </c>
    </row>
    <row r="1774" spans="1:3" hidden="1" x14ac:dyDescent="0.25">
      <c r="A1774" t="s">
        <v>4309</v>
      </c>
      <c r="B1774">
        <v>1937</v>
      </c>
      <c r="C1774" t="b">
        <f t="shared" si="27"/>
        <v>0</v>
      </c>
    </row>
    <row r="1775" spans="1:3" hidden="1" x14ac:dyDescent="0.25">
      <c r="A1775" t="s">
        <v>4308</v>
      </c>
      <c r="B1775">
        <v>1936</v>
      </c>
      <c r="C1775" t="b">
        <f t="shared" si="27"/>
        <v>0</v>
      </c>
    </row>
    <row r="1776" spans="1:3" hidden="1" x14ac:dyDescent="0.25">
      <c r="A1776" t="s">
        <v>4268</v>
      </c>
      <c r="B1776">
        <v>1892</v>
      </c>
      <c r="C1776" t="b">
        <f t="shared" si="27"/>
        <v>0</v>
      </c>
    </row>
    <row r="1777" spans="1:3" hidden="1" x14ac:dyDescent="0.25">
      <c r="A1777" t="s">
        <v>4269</v>
      </c>
      <c r="B1777">
        <v>1893</v>
      </c>
      <c r="C1777" t="b">
        <f t="shared" si="27"/>
        <v>0</v>
      </c>
    </row>
    <row r="1778" spans="1:3" hidden="1" x14ac:dyDescent="0.25">
      <c r="A1778" t="s">
        <v>4270</v>
      </c>
      <c r="B1778">
        <v>1894</v>
      </c>
      <c r="C1778" t="b">
        <f t="shared" si="27"/>
        <v>0</v>
      </c>
    </row>
    <row r="1779" spans="1:3" hidden="1" x14ac:dyDescent="0.25">
      <c r="A1779" t="s">
        <v>4267</v>
      </c>
      <c r="B1779">
        <v>1891</v>
      </c>
      <c r="C1779" t="b">
        <f t="shared" si="27"/>
        <v>0</v>
      </c>
    </row>
    <row r="1780" spans="1:3" hidden="1" x14ac:dyDescent="0.25">
      <c r="A1780" t="s">
        <v>4271</v>
      </c>
      <c r="B1780">
        <v>1895</v>
      </c>
      <c r="C1780" t="b">
        <f t="shared" si="27"/>
        <v>0</v>
      </c>
    </row>
    <row r="1781" spans="1:3" hidden="1" x14ac:dyDescent="0.25">
      <c r="A1781" t="s">
        <v>2560</v>
      </c>
      <c r="B1781">
        <v>65</v>
      </c>
      <c r="C1781" t="b">
        <f t="shared" si="27"/>
        <v>0</v>
      </c>
    </row>
    <row r="1782" spans="1:3" hidden="1" x14ac:dyDescent="0.25">
      <c r="A1782" t="s">
        <v>3374</v>
      </c>
      <c r="B1782">
        <v>916</v>
      </c>
      <c r="C1782" t="b">
        <f t="shared" si="27"/>
        <v>0</v>
      </c>
    </row>
    <row r="1783" spans="1:3" hidden="1" x14ac:dyDescent="0.25">
      <c r="A1783" t="s">
        <v>4287</v>
      </c>
      <c r="B1783">
        <v>1913</v>
      </c>
      <c r="C1783" t="b">
        <f t="shared" si="27"/>
        <v>0</v>
      </c>
    </row>
    <row r="1784" spans="1:3" hidden="1" x14ac:dyDescent="0.25">
      <c r="A1784" t="s">
        <v>4288</v>
      </c>
      <c r="B1784">
        <v>1914</v>
      </c>
      <c r="C1784" t="b">
        <f t="shared" si="27"/>
        <v>0</v>
      </c>
    </row>
    <row r="1785" spans="1:3" hidden="1" x14ac:dyDescent="0.25">
      <c r="A1785" t="s">
        <v>4289</v>
      </c>
      <c r="B1785">
        <v>1915</v>
      </c>
      <c r="C1785" t="b">
        <f t="shared" si="27"/>
        <v>0</v>
      </c>
    </row>
    <row r="1786" spans="1:3" hidden="1" x14ac:dyDescent="0.25">
      <c r="A1786" t="s">
        <v>4290</v>
      </c>
      <c r="B1786">
        <v>1916</v>
      </c>
      <c r="C1786" t="b">
        <f t="shared" si="27"/>
        <v>0</v>
      </c>
    </row>
    <row r="1787" spans="1:3" hidden="1" x14ac:dyDescent="0.25">
      <c r="A1787" t="s">
        <v>3235</v>
      </c>
      <c r="B1787">
        <v>769</v>
      </c>
      <c r="C1787" t="b">
        <f t="shared" si="27"/>
        <v>0</v>
      </c>
    </row>
    <row r="1788" spans="1:3" hidden="1" x14ac:dyDescent="0.25">
      <c r="A1788" t="s">
        <v>3236</v>
      </c>
      <c r="B1788">
        <v>770</v>
      </c>
      <c r="C1788" t="b">
        <f t="shared" si="27"/>
        <v>0</v>
      </c>
    </row>
    <row r="1789" spans="1:3" hidden="1" x14ac:dyDescent="0.25">
      <c r="A1789" t="s">
        <v>4807</v>
      </c>
      <c r="B1789">
        <v>2488</v>
      </c>
      <c r="C1789" t="b">
        <f t="shared" si="27"/>
        <v>0</v>
      </c>
    </row>
    <row r="1790" spans="1:3" hidden="1" x14ac:dyDescent="0.25">
      <c r="A1790" t="s">
        <v>4806</v>
      </c>
      <c r="B1790">
        <v>2487</v>
      </c>
      <c r="C1790" t="b">
        <f t="shared" si="27"/>
        <v>0</v>
      </c>
    </row>
    <row r="1791" spans="1:3" hidden="1" x14ac:dyDescent="0.25">
      <c r="A1791" t="s">
        <v>4310</v>
      </c>
      <c r="B1791">
        <v>1938</v>
      </c>
      <c r="C1791" t="b">
        <f t="shared" si="27"/>
        <v>0</v>
      </c>
    </row>
    <row r="1792" spans="1:3" hidden="1" x14ac:dyDescent="0.25">
      <c r="A1792" t="s">
        <v>3983</v>
      </c>
      <c r="B1792">
        <v>1575</v>
      </c>
      <c r="C1792" t="b">
        <f t="shared" si="27"/>
        <v>0</v>
      </c>
    </row>
    <row r="1793" spans="1:3" hidden="1" x14ac:dyDescent="0.25">
      <c r="A1793" t="s">
        <v>3911</v>
      </c>
      <c r="B1793">
        <v>1496</v>
      </c>
      <c r="C1793" t="b">
        <f t="shared" si="27"/>
        <v>0</v>
      </c>
    </row>
    <row r="1794" spans="1:3" hidden="1" x14ac:dyDescent="0.25">
      <c r="A1794" t="s">
        <v>4140</v>
      </c>
      <c r="B1794">
        <v>1752</v>
      </c>
      <c r="C1794" t="b">
        <f t="shared" si="27"/>
        <v>0</v>
      </c>
    </row>
    <row r="1795" spans="1:3" hidden="1" x14ac:dyDescent="0.25">
      <c r="A1795" t="s">
        <v>4848</v>
      </c>
      <c r="B1795">
        <v>2534</v>
      </c>
      <c r="C1795" t="b">
        <f t="shared" ref="C1795:C1817" si="28">A1795=A1794</f>
        <v>0</v>
      </c>
    </row>
    <row r="1796" spans="1:3" hidden="1" x14ac:dyDescent="0.25">
      <c r="A1796" t="s">
        <v>4141</v>
      </c>
      <c r="B1796">
        <v>1753</v>
      </c>
      <c r="C1796" t="b">
        <f t="shared" si="28"/>
        <v>0</v>
      </c>
    </row>
    <row r="1797" spans="1:3" hidden="1" x14ac:dyDescent="0.25">
      <c r="A1797" t="s">
        <v>3375</v>
      </c>
      <c r="B1797">
        <v>917</v>
      </c>
      <c r="C1797" t="b">
        <f t="shared" si="28"/>
        <v>0</v>
      </c>
    </row>
    <row r="1798" spans="1:3" hidden="1" x14ac:dyDescent="0.25">
      <c r="A1798" t="s">
        <v>3237</v>
      </c>
      <c r="B1798">
        <v>771</v>
      </c>
      <c r="C1798" t="b">
        <f t="shared" si="28"/>
        <v>0</v>
      </c>
    </row>
    <row r="1799" spans="1:3" hidden="1" x14ac:dyDescent="0.25">
      <c r="A1799" t="s">
        <v>4764</v>
      </c>
      <c r="B1799">
        <v>2437</v>
      </c>
      <c r="C1799" t="b">
        <f t="shared" si="28"/>
        <v>0</v>
      </c>
    </row>
    <row r="1800" spans="1:3" hidden="1" x14ac:dyDescent="0.25">
      <c r="A1800" t="s">
        <v>4017</v>
      </c>
      <c r="B1800">
        <v>1611</v>
      </c>
      <c r="C1800" t="b">
        <f t="shared" si="28"/>
        <v>0</v>
      </c>
    </row>
    <row r="1801" spans="1:3" hidden="1" x14ac:dyDescent="0.25">
      <c r="A1801" t="s">
        <v>3238</v>
      </c>
      <c r="B1801">
        <v>772</v>
      </c>
      <c r="C1801" t="b">
        <f t="shared" si="28"/>
        <v>0</v>
      </c>
    </row>
    <row r="1802" spans="1:3" hidden="1" x14ac:dyDescent="0.25">
      <c r="A1802" t="s">
        <v>4018</v>
      </c>
      <c r="B1802">
        <v>1612</v>
      </c>
      <c r="C1802" t="b">
        <f t="shared" si="28"/>
        <v>0</v>
      </c>
    </row>
    <row r="1803" spans="1:3" hidden="1" x14ac:dyDescent="0.25">
      <c r="A1803" t="s">
        <v>4019</v>
      </c>
      <c r="B1803">
        <v>1613</v>
      </c>
      <c r="C1803" t="b">
        <f t="shared" si="28"/>
        <v>0</v>
      </c>
    </row>
    <row r="1804" spans="1:3" hidden="1" x14ac:dyDescent="0.25">
      <c r="A1804" t="s">
        <v>2716</v>
      </c>
      <c r="B1804">
        <v>226</v>
      </c>
      <c r="C1804" t="b">
        <f t="shared" si="28"/>
        <v>0</v>
      </c>
    </row>
    <row r="1805" spans="1:3" hidden="1" x14ac:dyDescent="0.25">
      <c r="A1805" t="s">
        <v>4183</v>
      </c>
      <c r="B1805">
        <v>1800</v>
      </c>
      <c r="C1805" t="b">
        <f t="shared" si="28"/>
        <v>0</v>
      </c>
    </row>
    <row r="1806" spans="1:3" hidden="1" x14ac:dyDescent="0.25">
      <c r="A1806" t="s">
        <v>3239</v>
      </c>
      <c r="B1806">
        <v>773</v>
      </c>
      <c r="C1806" t="b">
        <f t="shared" si="28"/>
        <v>0</v>
      </c>
    </row>
    <row r="1807" spans="1:3" hidden="1" x14ac:dyDescent="0.25">
      <c r="A1807" t="s">
        <v>3617</v>
      </c>
      <c r="B1807">
        <v>1182</v>
      </c>
      <c r="C1807" t="b">
        <f t="shared" si="28"/>
        <v>0</v>
      </c>
    </row>
    <row r="1808" spans="1:3" hidden="1" x14ac:dyDescent="0.25">
      <c r="A1808" t="s">
        <v>3618</v>
      </c>
      <c r="B1808">
        <v>1183</v>
      </c>
      <c r="C1808" t="b">
        <f t="shared" si="28"/>
        <v>0</v>
      </c>
    </row>
    <row r="1809" spans="1:3" hidden="1" x14ac:dyDescent="0.25">
      <c r="A1809" t="s">
        <v>4829</v>
      </c>
      <c r="B1809">
        <v>2513</v>
      </c>
      <c r="C1809" t="b">
        <f t="shared" si="28"/>
        <v>0</v>
      </c>
    </row>
    <row r="1810" spans="1:3" hidden="1" x14ac:dyDescent="0.25">
      <c r="A1810" t="s">
        <v>3537</v>
      </c>
      <c r="B1810">
        <v>1094</v>
      </c>
      <c r="C1810" t="b">
        <f t="shared" si="28"/>
        <v>0</v>
      </c>
    </row>
    <row r="1811" spans="1:3" hidden="1" x14ac:dyDescent="0.25">
      <c r="A1811" t="s">
        <v>2973</v>
      </c>
      <c r="B1811">
        <v>494</v>
      </c>
      <c r="C1811" t="b">
        <f t="shared" si="28"/>
        <v>0</v>
      </c>
    </row>
    <row r="1812" spans="1:3" hidden="1" x14ac:dyDescent="0.25">
      <c r="A1812" t="s">
        <v>3144</v>
      </c>
      <c r="B1812">
        <v>676</v>
      </c>
      <c r="C1812" t="b">
        <f t="shared" si="28"/>
        <v>0</v>
      </c>
    </row>
    <row r="1813" spans="1:3" hidden="1" x14ac:dyDescent="0.25">
      <c r="A1813" t="s">
        <v>3143</v>
      </c>
      <c r="B1813">
        <v>675</v>
      </c>
      <c r="C1813" t="b">
        <f t="shared" si="28"/>
        <v>0</v>
      </c>
    </row>
    <row r="1814" spans="1:3" hidden="1" x14ac:dyDescent="0.25">
      <c r="A1814" t="s">
        <v>4989</v>
      </c>
      <c r="B1814">
        <v>2689</v>
      </c>
      <c r="C1814" t="b">
        <f t="shared" si="28"/>
        <v>0</v>
      </c>
    </row>
    <row r="1815" spans="1:3" hidden="1" x14ac:dyDescent="0.25">
      <c r="A1815" t="s">
        <v>3240</v>
      </c>
      <c r="B1815">
        <v>774</v>
      </c>
      <c r="C1815" t="b">
        <f t="shared" si="28"/>
        <v>0</v>
      </c>
    </row>
    <row r="1816" spans="1:3" hidden="1" x14ac:dyDescent="0.25">
      <c r="A1816" t="s">
        <v>3145</v>
      </c>
      <c r="B1816">
        <v>677</v>
      </c>
      <c r="C1816" t="b">
        <f t="shared" si="28"/>
        <v>0</v>
      </c>
    </row>
    <row r="1817" spans="1:3" hidden="1" x14ac:dyDescent="0.25">
      <c r="A1817" t="s">
        <v>2511</v>
      </c>
      <c r="B1817">
        <v>15</v>
      </c>
      <c r="C1817" t="b">
        <f t="shared" si="28"/>
        <v>0</v>
      </c>
    </row>
    <row r="1818" spans="1:3" hidden="1" x14ac:dyDescent="0.25">
      <c r="A1818" t="s">
        <v>2687</v>
      </c>
      <c r="B1818">
        <v>197</v>
      </c>
      <c r="C1818" t="e">
        <f>A1818=#REF!</f>
        <v>#REF!</v>
      </c>
    </row>
    <row r="1819" spans="1:3" hidden="1" x14ac:dyDescent="0.25">
      <c r="A1819" t="s">
        <v>2519</v>
      </c>
      <c r="B1819">
        <v>23</v>
      </c>
      <c r="C1819" t="e">
        <f>A1819=#REF!</f>
        <v>#REF!</v>
      </c>
    </row>
    <row r="1820" spans="1:3" hidden="1" x14ac:dyDescent="0.25">
      <c r="A1820" t="s">
        <v>2521</v>
      </c>
      <c r="B1820">
        <v>25</v>
      </c>
      <c r="C1820" t="b">
        <f t="shared" ref="C1820:C1842" si="29">A1820=A1819</f>
        <v>0</v>
      </c>
    </row>
    <row r="1821" spans="1:3" hidden="1" x14ac:dyDescent="0.25">
      <c r="A1821" t="s">
        <v>2520</v>
      </c>
      <c r="B1821">
        <v>24</v>
      </c>
      <c r="C1821" t="b">
        <f t="shared" si="29"/>
        <v>0</v>
      </c>
    </row>
    <row r="1822" spans="1:3" hidden="1" x14ac:dyDescent="0.25">
      <c r="A1822" t="s">
        <v>2974</v>
      </c>
      <c r="B1822">
        <v>495</v>
      </c>
      <c r="C1822" t="b">
        <f t="shared" si="29"/>
        <v>0</v>
      </c>
    </row>
    <row r="1823" spans="1:3" hidden="1" x14ac:dyDescent="0.25">
      <c r="A1823" t="s">
        <v>4311</v>
      </c>
      <c r="B1823">
        <v>1939</v>
      </c>
      <c r="C1823" t="b">
        <f t="shared" si="29"/>
        <v>0</v>
      </c>
    </row>
    <row r="1824" spans="1:3" hidden="1" x14ac:dyDescent="0.25">
      <c r="A1824" t="s">
        <v>4313</v>
      </c>
      <c r="B1824">
        <v>1941</v>
      </c>
      <c r="C1824" t="b">
        <f t="shared" si="29"/>
        <v>0</v>
      </c>
    </row>
    <row r="1825" spans="1:3" hidden="1" x14ac:dyDescent="0.25">
      <c r="A1825" t="s">
        <v>4314</v>
      </c>
      <c r="B1825">
        <v>1942</v>
      </c>
      <c r="C1825" t="b">
        <f t="shared" si="29"/>
        <v>0</v>
      </c>
    </row>
    <row r="1826" spans="1:3" hidden="1" x14ac:dyDescent="0.25">
      <c r="A1826" t="s">
        <v>4315</v>
      </c>
      <c r="B1826">
        <v>1943</v>
      </c>
      <c r="C1826" t="b">
        <f t="shared" si="29"/>
        <v>0</v>
      </c>
    </row>
    <row r="1827" spans="1:3" hidden="1" x14ac:dyDescent="0.25">
      <c r="A1827" t="s">
        <v>4316</v>
      </c>
      <c r="B1827">
        <v>1944</v>
      </c>
      <c r="C1827" t="b">
        <f t="shared" si="29"/>
        <v>0</v>
      </c>
    </row>
    <row r="1828" spans="1:3" hidden="1" x14ac:dyDescent="0.25">
      <c r="A1828" t="s">
        <v>4312</v>
      </c>
      <c r="B1828">
        <v>1940</v>
      </c>
      <c r="C1828" t="b">
        <f t="shared" si="29"/>
        <v>0</v>
      </c>
    </row>
    <row r="1829" spans="1:3" hidden="1" x14ac:dyDescent="0.25">
      <c r="A1829" t="s">
        <v>4317</v>
      </c>
      <c r="B1829">
        <v>1945</v>
      </c>
      <c r="C1829" t="b">
        <f t="shared" si="29"/>
        <v>0</v>
      </c>
    </row>
    <row r="1830" spans="1:3" hidden="1" x14ac:dyDescent="0.25">
      <c r="A1830" t="s">
        <v>4318</v>
      </c>
      <c r="B1830">
        <v>1946</v>
      </c>
      <c r="C1830" t="b">
        <f t="shared" si="29"/>
        <v>0</v>
      </c>
    </row>
    <row r="1831" spans="1:3" hidden="1" x14ac:dyDescent="0.25">
      <c r="A1831" t="s">
        <v>4319</v>
      </c>
      <c r="B1831">
        <v>1947</v>
      </c>
      <c r="C1831" t="b">
        <f t="shared" si="29"/>
        <v>0</v>
      </c>
    </row>
    <row r="1832" spans="1:3" hidden="1" x14ac:dyDescent="0.25">
      <c r="A1832" t="s">
        <v>4731</v>
      </c>
      <c r="B1832">
        <v>2403</v>
      </c>
      <c r="C1832" t="b">
        <f t="shared" si="29"/>
        <v>0</v>
      </c>
    </row>
    <row r="1833" spans="1:3" hidden="1" x14ac:dyDescent="0.25">
      <c r="A1833" t="s">
        <v>4158</v>
      </c>
      <c r="B1833">
        <v>1772</v>
      </c>
      <c r="C1833" t="b">
        <f t="shared" si="29"/>
        <v>0</v>
      </c>
    </row>
    <row r="1834" spans="1:3" hidden="1" x14ac:dyDescent="0.25">
      <c r="A1834" t="s">
        <v>3094</v>
      </c>
      <c r="B1834">
        <v>624</v>
      </c>
      <c r="C1834" t="b">
        <f t="shared" si="29"/>
        <v>0</v>
      </c>
    </row>
    <row r="1835" spans="1:3" hidden="1" x14ac:dyDescent="0.25">
      <c r="A1835" t="s">
        <v>3095</v>
      </c>
      <c r="B1835">
        <v>625</v>
      </c>
      <c r="C1835" t="b">
        <f t="shared" si="29"/>
        <v>0</v>
      </c>
    </row>
    <row r="1836" spans="1:3" hidden="1" x14ac:dyDescent="0.25">
      <c r="A1836" t="s">
        <v>5099</v>
      </c>
      <c r="B1836">
        <v>2802</v>
      </c>
      <c r="C1836" t="b">
        <f t="shared" si="29"/>
        <v>0</v>
      </c>
    </row>
    <row r="1837" spans="1:3" hidden="1" x14ac:dyDescent="0.25">
      <c r="A1837" t="s">
        <v>3654</v>
      </c>
      <c r="B1837">
        <v>1221</v>
      </c>
      <c r="C1837" t="b">
        <f t="shared" si="29"/>
        <v>0</v>
      </c>
    </row>
    <row r="1838" spans="1:3" hidden="1" x14ac:dyDescent="0.25">
      <c r="A1838" t="s">
        <v>2676</v>
      </c>
      <c r="B1838">
        <v>186</v>
      </c>
      <c r="C1838" t="b">
        <f t="shared" si="29"/>
        <v>0</v>
      </c>
    </row>
    <row r="1839" spans="1:3" hidden="1" x14ac:dyDescent="0.25">
      <c r="A1839" t="s">
        <v>4090</v>
      </c>
      <c r="B1839">
        <v>1690</v>
      </c>
      <c r="C1839" t="b">
        <f t="shared" si="29"/>
        <v>0</v>
      </c>
    </row>
    <row r="1840" spans="1:3" hidden="1" x14ac:dyDescent="0.25">
      <c r="A1840" t="s">
        <v>4092</v>
      </c>
      <c r="B1840">
        <v>1692</v>
      </c>
      <c r="C1840" t="b">
        <f t="shared" si="29"/>
        <v>0</v>
      </c>
    </row>
    <row r="1841" spans="1:3" hidden="1" x14ac:dyDescent="0.25">
      <c r="A1841" t="s">
        <v>4091</v>
      </c>
      <c r="B1841">
        <v>1691</v>
      </c>
      <c r="C1841" t="b">
        <f t="shared" si="29"/>
        <v>0</v>
      </c>
    </row>
    <row r="1842" spans="1:3" hidden="1" x14ac:dyDescent="0.25">
      <c r="A1842" t="s">
        <v>4093</v>
      </c>
      <c r="B1842">
        <v>1693</v>
      </c>
      <c r="C1842" t="b">
        <f t="shared" si="29"/>
        <v>0</v>
      </c>
    </row>
    <row r="1843" spans="1:3" hidden="1" x14ac:dyDescent="0.25">
      <c r="A1843" t="s">
        <v>3790</v>
      </c>
      <c r="B1843">
        <v>1363</v>
      </c>
      <c r="C1843" t="b">
        <f t="shared" ref="C1843:C1906" si="30">A1843=A1842</f>
        <v>0</v>
      </c>
    </row>
    <row r="1844" spans="1:3" hidden="1" x14ac:dyDescent="0.25">
      <c r="A1844" t="s">
        <v>3313</v>
      </c>
      <c r="B1844">
        <v>851</v>
      </c>
      <c r="C1844" t="b">
        <f t="shared" si="30"/>
        <v>0</v>
      </c>
    </row>
    <row r="1845" spans="1:3" hidden="1" x14ac:dyDescent="0.25">
      <c r="A1845" t="s">
        <v>4020</v>
      </c>
      <c r="B1845">
        <v>1614</v>
      </c>
      <c r="C1845" t="b">
        <f t="shared" si="30"/>
        <v>0</v>
      </c>
    </row>
    <row r="1846" spans="1:3" hidden="1" x14ac:dyDescent="0.25">
      <c r="A1846" t="s">
        <v>2793</v>
      </c>
      <c r="B1846">
        <v>305</v>
      </c>
      <c r="C1846" t="b">
        <f t="shared" si="30"/>
        <v>0</v>
      </c>
    </row>
    <row r="1847" spans="1:3" hidden="1" x14ac:dyDescent="0.25">
      <c r="A1847" t="s">
        <v>2795</v>
      </c>
      <c r="B1847">
        <v>307</v>
      </c>
      <c r="C1847" t="b">
        <f t="shared" si="30"/>
        <v>0</v>
      </c>
    </row>
    <row r="1848" spans="1:3" hidden="1" x14ac:dyDescent="0.25">
      <c r="A1848" t="s">
        <v>2794</v>
      </c>
      <c r="B1848">
        <v>306</v>
      </c>
      <c r="C1848" t="b">
        <f t="shared" si="30"/>
        <v>0</v>
      </c>
    </row>
    <row r="1849" spans="1:3" hidden="1" x14ac:dyDescent="0.25">
      <c r="A1849" t="s">
        <v>2796</v>
      </c>
      <c r="B1849">
        <v>308</v>
      </c>
      <c r="C1849" t="b">
        <f t="shared" si="30"/>
        <v>0</v>
      </c>
    </row>
    <row r="1850" spans="1:3" hidden="1" x14ac:dyDescent="0.25">
      <c r="A1850" t="s">
        <v>3341</v>
      </c>
      <c r="B1850">
        <v>881</v>
      </c>
      <c r="C1850" t="b">
        <f t="shared" si="30"/>
        <v>0</v>
      </c>
    </row>
    <row r="1851" spans="1:3" x14ac:dyDescent="0.25">
      <c r="A1851" t="s">
        <v>3341</v>
      </c>
      <c r="B1851">
        <v>2535</v>
      </c>
      <c r="C1851" t="b">
        <f t="shared" si="30"/>
        <v>1</v>
      </c>
    </row>
    <row r="1852" spans="1:3" hidden="1" x14ac:dyDescent="0.25">
      <c r="A1852" t="s">
        <v>4849</v>
      </c>
      <c r="B1852">
        <v>2536</v>
      </c>
      <c r="C1852" t="b">
        <f t="shared" si="30"/>
        <v>0</v>
      </c>
    </row>
    <row r="1853" spans="1:3" hidden="1" x14ac:dyDescent="0.25">
      <c r="A1853" t="s">
        <v>3342</v>
      </c>
      <c r="B1853">
        <v>882</v>
      </c>
      <c r="C1853" t="b">
        <f t="shared" si="30"/>
        <v>0</v>
      </c>
    </row>
    <row r="1854" spans="1:3" hidden="1" x14ac:dyDescent="0.25">
      <c r="A1854" t="s">
        <v>4352</v>
      </c>
      <c r="B1854">
        <v>1984</v>
      </c>
      <c r="C1854" t="b">
        <f t="shared" si="30"/>
        <v>0</v>
      </c>
    </row>
    <row r="1855" spans="1:3" hidden="1" x14ac:dyDescent="0.25">
      <c r="A1855" t="s">
        <v>4354</v>
      </c>
      <c r="B1855">
        <v>1986</v>
      </c>
      <c r="C1855" t="b">
        <f t="shared" si="30"/>
        <v>0</v>
      </c>
    </row>
    <row r="1856" spans="1:3" hidden="1" x14ac:dyDescent="0.25">
      <c r="A1856" t="s">
        <v>4355</v>
      </c>
      <c r="B1856">
        <v>1987</v>
      </c>
      <c r="C1856" t="b">
        <f t="shared" si="30"/>
        <v>0</v>
      </c>
    </row>
    <row r="1857" spans="1:3" hidden="1" x14ac:dyDescent="0.25">
      <c r="A1857" t="s">
        <v>4356</v>
      </c>
      <c r="B1857">
        <v>1988</v>
      </c>
      <c r="C1857" t="b">
        <f t="shared" si="30"/>
        <v>0</v>
      </c>
    </row>
    <row r="1858" spans="1:3" hidden="1" x14ac:dyDescent="0.25">
      <c r="A1858" t="s">
        <v>4353</v>
      </c>
      <c r="B1858">
        <v>1985</v>
      </c>
      <c r="C1858" t="b">
        <f t="shared" si="30"/>
        <v>0</v>
      </c>
    </row>
    <row r="1859" spans="1:3" hidden="1" x14ac:dyDescent="0.25">
      <c r="A1859" t="s">
        <v>4357</v>
      </c>
      <c r="B1859">
        <v>1989</v>
      </c>
      <c r="C1859" t="b">
        <f t="shared" si="30"/>
        <v>0</v>
      </c>
    </row>
    <row r="1860" spans="1:3" hidden="1" x14ac:dyDescent="0.25">
      <c r="A1860" t="s">
        <v>4358</v>
      </c>
      <c r="B1860">
        <v>1990</v>
      </c>
      <c r="C1860" t="b">
        <f t="shared" si="30"/>
        <v>0</v>
      </c>
    </row>
    <row r="1861" spans="1:3" hidden="1" x14ac:dyDescent="0.25">
      <c r="A1861" t="s">
        <v>4359</v>
      </c>
      <c r="B1861">
        <v>1991</v>
      </c>
      <c r="C1861" t="b">
        <f t="shared" si="30"/>
        <v>0</v>
      </c>
    </row>
    <row r="1862" spans="1:3" hidden="1" x14ac:dyDescent="0.25">
      <c r="A1862" t="s">
        <v>2916</v>
      </c>
      <c r="B1862">
        <v>434</v>
      </c>
      <c r="C1862" t="b">
        <f t="shared" si="30"/>
        <v>0</v>
      </c>
    </row>
    <row r="1863" spans="1:3" hidden="1" x14ac:dyDescent="0.25">
      <c r="A1863" t="s">
        <v>3970</v>
      </c>
      <c r="B1863">
        <v>1559</v>
      </c>
      <c r="C1863" t="b">
        <f t="shared" si="30"/>
        <v>0</v>
      </c>
    </row>
    <row r="1864" spans="1:3" hidden="1" x14ac:dyDescent="0.25">
      <c r="A1864" t="s">
        <v>4483</v>
      </c>
      <c r="B1864">
        <v>2120</v>
      </c>
      <c r="C1864" t="b">
        <f t="shared" si="30"/>
        <v>0</v>
      </c>
    </row>
    <row r="1865" spans="1:3" hidden="1" x14ac:dyDescent="0.25">
      <c r="A1865" t="s">
        <v>2886</v>
      </c>
      <c r="B1865">
        <v>401</v>
      </c>
      <c r="C1865" t="b">
        <f t="shared" si="30"/>
        <v>0</v>
      </c>
    </row>
    <row r="1866" spans="1:3" x14ac:dyDescent="0.25">
      <c r="A1866" t="s">
        <v>2886</v>
      </c>
      <c r="B1866">
        <v>1576</v>
      </c>
      <c r="C1866" t="b">
        <f t="shared" si="30"/>
        <v>1</v>
      </c>
    </row>
    <row r="1867" spans="1:3" hidden="1" x14ac:dyDescent="0.25">
      <c r="A1867" t="s">
        <v>2797</v>
      </c>
      <c r="B1867">
        <v>309</v>
      </c>
      <c r="C1867" t="b">
        <f t="shared" si="30"/>
        <v>0</v>
      </c>
    </row>
    <row r="1868" spans="1:3" hidden="1" x14ac:dyDescent="0.25">
      <c r="A1868" t="s">
        <v>2798</v>
      </c>
      <c r="B1868">
        <v>310</v>
      </c>
      <c r="C1868" t="b">
        <f t="shared" si="30"/>
        <v>0</v>
      </c>
    </row>
    <row r="1869" spans="1:3" hidden="1" x14ac:dyDescent="0.25">
      <c r="A1869" t="s">
        <v>2799</v>
      </c>
      <c r="B1869">
        <v>311</v>
      </c>
      <c r="C1869" t="b">
        <f t="shared" si="30"/>
        <v>0</v>
      </c>
    </row>
    <row r="1870" spans="1:3" hidden="1" x14ac:dyDescent="0.25">
      <c r="A1870" t="s">
        <v>2841</v>
      </c>
      <c r="B1870">
        <v>354</v>
      </c>
      <c r="C1870" t="b">
        <f t="shared" si="30"/>
        <v>0</v>
      </c>
    </row>
    <row r="1871" spans="1:3" hidden="1" x14ac:dyDescent="0.25">
      <c r="A1871" t="s">
        <v>3376</v>
      </c>
      <c r="B1871">
        <v>918</v>
      </c>
      <c r="C1871" t="b">
        <f t="shared" si="30"/>
        <v>0</v>
      </c>
    </row>
    <row r="1872" spans="1:3" hidden="1" x14ac:dyDescent="0.25">
      <c r="A1872" t="s">
        <v>4621</v>
      </c>
      <c r="B1872">
        <v>2280</v>
      </c>
      <c r="C1872" t="b">
        <f t="shared" si="30"/>
        <v>0</v>
      </c>
    </row>
    <row r="1873" spans="1:3" hidden="1" x14ac:dyDescent="0.25">
      <c r="A1873" t="s">
        <v>2800</v>
      </c>
      <c r="B1873">
        <v>312</v>
      </c>
      <c r="C1873" t="b">
        <f t="shared" si="30"/>
        <v>0</v>
      </c>
    </row>
    <row r="1874" spans="1:3" hidden="1" x14ac:dyDescent="0.25">
      <c r="A1874" t="s">
        <v>3863</v>
      </c>
      <c r="B1874">
        <v>1443</v>
      </c>
      <c r="C1874" t="b">
        <f t="shared" si="30"/>
        <v>0</v>
      </c>
    </row>
    <row r="1875" spans="1:3" hidden="1" x14ac:dyDescent="0.25">
      <c r="A1875" t="s">
        <v>3864</v>
      </c>
      <c r="B1875">
        <v>1444</v>
      </c>
      <c r="C1875" t="b">
        <f t="shared" si="30"/>
        <v>0</v>
      </c>
    </row>
    <row r="1876" spans="1:3" hidden="1" x14ac:dyDescent="0.25">
      <c r="A1876" t="s">
        <v>3178</v>
      </c>
      <c r="B1876">
        <v>711</v>
      </c>
      <c r="C1876" t="b">
        <f t="shared" si="30"/>
        <v>0</v>
      </c>
    </row>
    <row r="1877" spans="1:3" hidden="1" x14ac:dyDescent="0.25">
      <c r="A1877" t="s">
        <v>3179</v>
      </c>
      <c r="B1877">
        <v>712</v>
      </c>
      <c r="C1877" t="b">
        <f t="shared" si="30"/>
        <v>0</v>
      </c>
    </row>
    <row r="1878" spans="1:3" hidden="1" x14ac:dyDescent="0.25">
      <c r="A1878" t="s">
        <v>3406</v>
      </c>
      <c r="B1878">
        <v>951</v>
      </c>
      <c r="C1878" t="b">
        <f t="shared" si="30"/>
        <v>0</v>
      </c>
    </row>
    <row r="1879" spans="1:3" hidden="1" x14ac:dyDescent="0.25">
      <c r="A1879" t="s">
        <v>3791</v>
      </c>
      <c r="B1879">
        <v>1364</v>
      </c>
      <c r="C1879" t="b">
        <f t="shared" si="30"/>
        <v>0</v>
      </c>
    </row>
    <row r="1880" spans="1:3" hidden="1" x14ac:dyDescent="0.25">
      <c r="A1880" t="s">
        <v>4094</v>
      </c>
      <c r="B1880">
        <v>1694</v>
      </c>
      <c r="C1880" t="b">
        <f t="shared" si="30"/>
        <v>0</v>
      </c>
    </row>
    <row r="1881" spans="1:3" hidden="1" x14ac:dyDescent="0.25">
      <c r="A1881" t="s">
        <v>4320</v>
      </c>
      <c r="B1881">
        <v>1948</v>
      </c>
      <c r="C1881" t="b">
        <f t="shared" si="30"/>
        <v>0</v>
      </c>
    </row>
    <row r="1882" spans="1:3" hidden="1" x14ac:dyDescent="0.25">
      <c r="A1882" t="s">
        <v>4416</v>
      </c>
      <c r="B1882">
        <v>2050</v>
      </c>
      <c r="C1882" t="b">
        <f t="shared" si="30"/>
        <v>0</v>
      </c>
    </row>
    <row r="1883" spans="1:3" hidden="1" x14ac:dyDescent="0.25">
      <c r="A1883" t="s">
        <v>4417</v>
      </c>
      <c r="B1883">
        <v>2051</v>
      </c>
      <c r="C1883" t="b">
        <f t="shared" si="30"/>
        <v>0</v>
      </c>
    </row>
    <row r="1884" spans="1:3" hidden="1" x14ac:dyDescent="0.25">
      <c r="A1884" t="s">
        <v>3343</v>
      </c>
      <c r="B1884">
        <v>883</v>
      </c>
      <c r="C1884" t="b">
        <f t="shared" si="30"/>
        <v>0</v>
      </c>
    </row>
    <row r="1885" spans="1:3" hidden="1" x14ac:dyDescent="0.25">
      <c r="A1885" t="s">
        <v>3344</v>
      </c>
      <c r="B1885">
        <v>884</v>
      </c>
      <c r="C1885" t="b">
        <f t="shared" si="30"/>
        <v>0</v>
      </c>
    </row>
    <row r="1886" spans="1:3" hidden="1" x14ac:dyDescent="0.25">
      <c r="A1886" t="s">
        <v>4095</v>
      </c>
      <c r="B1886">
        <v>1695</v>
      </c>
      <c r="C1886" t="b">
        <f t="shared" si="30"/>
        <v>0</v>
      </c>
    </row>
    <row r="1887" spans="1:3" hidden="1" x14ac:dyDescent="0.25">
      <c r="A1887" t="s">
        <v>3499</v>
      </c>
      <c r="B1887">
        <v>1055</v>
      </c>
      <c r="C1887" t="b">
        <f t="shared" si="30"/>
        <v>0</v>
      </c>
    </row>
    <row r="1888" spans="1:3" hidden="1" x14ac:dyDescent="0.25">
      <c r="A1888" t="s">
        <v>2510</v>
      </c>
      <c r="B1888">
        <v>14</v>
      </c>
      <c r="C1888" t="b">
        <f t="shared" si="30"/>
        <v>0</v>
      </c>
    </row>
    <row r="1889" spans="1:3" hidden="1" x14ac:dyDescent="0.25">
      <c r="A1889" t="s">
        <v>4622</v>
      </c>
      <c r="B1889">
        <v>2281</v>
      </c>
      <c r="C1889" t="b">
        <f t="shared" si="30"/>
        <v>0</v>
      </c>
    </row>
    <row r="1890" spans="1:3" hidden="1" x14ac:dyDescent="0.25">
      <c r="A1890" t="s">
        <v>3314</v>
      </c>
      <c r="B1890">
        <v>852</v>
      </c>
      <c r="C1890" t="b">
        <f t="shared" si="30"/>
        <v>0</v>
      </c>
    </row>
    <row r="1891" spans="1:3" hidden="1" x14ac:dyDescent="0.25">
      <c r="A1891" t="s">
        <v>3180</v>
      </c>
      <c r="B1891">
        <v>713</v>
      </c>
      <c r="C1891" t="b">
        <f t="shared" si="30"/>
        <v>0</v>
      </c>
    </row>
    <row r="1892" spans="1:3" hidden="1" x14ac:dyDescent="0.25">
      <c r="A1892" t="s">
        <v>4990</v>
      </c>
      <c r="B1892">
        <v>2690</v>
      </c>
      <c r="C1892" t="b">
        <f t="shared" si="30"/>
        <v>0</v>
      </c>
    </row>
    <row r="1893" spans="1:3" hidden="1" x14ac:dyDescent="0.25">
      <c r="A1893" t="s">
        <v>4991</v>
      </c>
      <c r="B1893">
        <v>2691</v>
      </c>
      <c r="C1893" t="b">
        <f t="shared" si="30"/>
        <v>0</v>
      </c>
    </row>
    <row r="1894" spans="1:3" hidden="1" x14ac:dyDescent="0.25">
      <c r="A1894" t="s">
        <v>2583</v>
      </c>
      <c r="B1894">
        <v>89</v>
      </c>
      <c r="C1894" t="b">
        <f t="shared" si="30"/>
        <v>0</v>
      </c>
    </row>
    <row r="1895" spans="1:3" hidden="1" x14ac:dyDescent="0.25">
      <c r="A1895" t="s">
        <v>3116</v>
      </c>
      <c r="B1895">
        <v>647</v>
      </c>
      <c r="C1895" t="b">
        <f t="shared" si="30"/>
        <v>0</v>
      </c>
    </row>
    <row r="1896" spans="1:3" hidden="1" x14ac:dyDescent="0.25">
      <c r="A1896" t="s">
        <v>3881</v>
      </c>
      <c r="B1896">
        <v>1463</v>
      </c>
      <c r="C1896" t="b">
        <f t="shared" si="30"/>
        <v>0</v>
      </c>
    </row>
    <row r="1897" spans="1:3" hidden="1" x14ac:dyDescent="0.25">
      <c r="A1897" t="s">
        <v>5100</v>
      </c>
      <c r="B1897">
        <v>2803</v>
      </c>
      <c r="C1897" t="b">
        <f t="shared" si="30"/>
        <v>0</v>
      </c>
    </row>
    <row r="1898" spans="1:3" hidden="1" x14ac:dyDescent="0.25">
      <c r="A1898" t="s">
        <v>5101</v>
      </c>
      <c r="B1898">
        <v>2804</v>
      </c>
      <c r="C1898" t="b">
        <f t="shared" si="30"/>
        <v>0</v>
      </c>
    </row>
    <row r="1899" spans="1:3" hidden="1" x14ac:dyDescent="0.25">
      <c r="A1899" t="s">
        <v>5102</v>
      </c>
      <c r="B1899">
        <v>2805</v>
      </c>
      <c r="C1899" t="b">
        <f t="shared" si="30"/>
        <v>0</v>
      </c>
    </row>
    <row r="1900" spans="1:3" hidden="1" x14ac:dyDescent="0.25">
      <c r="A1900" t="s">
        <v>5103</v>
      </c>
      <c r="B1900">
        <v>2806</v>
      </c>
      <c r="C1900" t="b">
        <f t="shared" si="30"/>
        <v>0</v>
      </c>
    </row>
    <row r="1901" spans="1:3" hidden="1" x14ac:dyDescent="0.25">
      <c r="A1901" t="s">
        <v>5104</v>
      </c>
      <c r="B1901">
        <v>2807</v>
      </c>
      <c r="C1901" t="b">
        <f t="shared" si="30"/>
        <v>0</v>
      </c>
    </row>
    <row r="1902" spans="1:3" hidden="1" x14ac:dyDescent="0.25">
      <c r="A1902" t="s">
        <v>2953</v>
      </c>
      <c r="B1902">
        <v>472</v>
      </c>
      <c r="C1902" t="b">
        <f t="shared" si="30"/>
        <v>0</v>
      </c>
    </row>
    <row r="1903" spans="1:3" hidden="1" x14ac:dyDescent="0.25">
      <c r="A1903" t="s">
        <v>4595</v>
      </c>
      <c r="B1903">
        <v>2252</v>
      </c>
      <c r="C1903" t="b">
        <f t="shared" si="30"/>
        <v>0</v>
      </c>
    </row>
    <row r="1904" spans="1:3" hidden="1" x14ac:dyDescent="0.25">
      <c r="A1904" t="s">
        <v>3315</v>
      </c>
      <c r="B1904">
        <v>853</v>
      </c>
      <c r="C1904" t="b">
        <f t="shared" si="30"/>
        <v>0</v>
      </c>
    </row>
    <row r="1905" spans="1:3" hidden="1" x14ac:dyDescent="0.25">
      <c r="A1905" t="s">
        <v>4684</v>
      </c>
      <c r="B1905">
        <v>2350</v>
      </c>
      <c r="C1905" t="b">
        <f t="shared" si="30"/>
        <v>0</v>
      </c>
    </row>
    <row r="1906" spans="1:3" hidden="1" x14ac:dyDescent="0.25">
      <c r="A1906" t="s">
        <v>3316</v>
      </c>
      <c r="B1906">
        <v>854</v>
      </c>
      <c r="C1906" t="b">
        <f t="shared" si="30"/>
        <v>0</v>
      </c>
    </row>
    <row r="1907" spans="1:3" hidden="1" x14ac:dyDescent="0.25">
      <c r="A1907" t="s">
        <v>3317</v>
      </c>
      <c r="B1907">
        <v>855</v>
      </c>
      <c r="C1907" t="b">
        <f t="shared" ref="C1907:C1970" si="31">A1907=A1906</f>
        <v>0</v>
      </c>
    </row>
    <row r="1908" spans="1:3" hidden="1" x14ac:dyDescent="0.25">
      <c r="A1908" t="s">
        <v>4321</v>
      </c>
      <c r="B1908">
        <v>1949</v>
      </c>
      <c r="C1908" t="b">
        <f t="shared" si="31"/>
        <v>0</v>
      </c>
    </row>
    <row r="1909" spans="1:3" hidden="1" x14ac:dyDescent="0.25">
      <c r="A1909" t="s">
        <v>3655</v>
      </c>
      <c r="B1909">
        <v>1222</v>
      </c>
      <c r="C1909" t="b">
        <f t="shared" si="31"/>
        <v>0</v>
      </c>
    </row>
    <row r="1910" spans="1:3" hidden="1" x14ac:dyDescent="0.25">
      <c r="A1910" t="s">
        <v>3117</v>
      </c>
      <c r="B1910">
        <v>648</v>
      </c>
      <c r="C1910" t="b">
        <f t="shared" si="31"/>
        <v>0</v>
      </c>
    </row>
    <row r="1911" spans="1:3" hidden="1" x14ac:dyDescent="0.25">
      <c r="A1911" t="s">
        <v>3118</v>
      </c>
      <c r="B1911">
        <v>649</v>
      </c>
      <c r="C1911" t="b">
        <f t="shared" si="31"/>
        <v>0</v>
      </c>
    </row>
    <row r="1912" spans="1:3" hidden="1" x14ac:dyDescent="0.25">
      <c r="A1912" t="s">
        <v>4200</v>
      </c>
      <c r="B1912">
        <v>1820</v>
      </c>
      <c r="C1912" t="b">
        <f t="shared" si="31"/>
        <v>0</v>
      </c>
    </row>
    <row r="1913" spans="1:3" hidden="1" x14ac:dyDescent="0.25">
      <c r="A1913" t="s">
        <v>2954</v>
      </c>
      <c r="B1913">
        <v>473</v>
      </c>
      <c r="C1913" t="b">
        <f t="shared" si="31"/>
        <v>0</v>
      </c>
    </row>
    <row r="1914" spans="1:3" hidden="1" x14ac:dyDescent="0.25">
      <c r="A1914" t="s">
        <v>3619</v>
      </c>
      <c r="B1914">
        <v>1184</v>
      </c>
      <c r="C1914" t="b">
        <f t="shared" si="31"/>
        <v>0</v>
      </c>
    </row>
    <row r="1915" spans="1:3" x14ac:dyDescent="0.25">
      <c r="A1915" t="s">
        <v>3619</v>
      </c>
      <c r="B1915">
        <v>2438</v>
      </c>
      <c r="C1915" t="b">
        <f t="shared" si="31"/>
        <v>1</v>
      </c>
    </row>
    <row r="1916" spans="1:3" hidden="1" x14ac:dyDescent="0.25">
      <c r="A1916" t="s">
        <v>4765</v>
      </c>
      <c r="B1916">
        <v>2439</v>
      </c>
      <c r="C1916" t="b">
        <f t="shared" si="31"/>
        <v>0</v>
      </c>
    </row>
    <row r="1917" spans="1:3" hidden="1" x14ac:dyDescent="0.25">
      <c r="A1917" t="s">
        <v>3620</v>
      </c>
      <c r="B1917">
        <v>1185</v>
      </c>
      <c r="C1917" t="b">
        <f t="shared" si="31"/>
        <v>0</v>
      </c>
    </row>
    <row r="1918" spans="1:3" hidden="1" x14ac:dyDescent="0.25">
      <c r="A1918" t="s">
        <v>4893</v>
      </c>
      <c r="B1918">
        <v>2585</v>
      </c>
      <c r="C1918" t="b">
        <f t="shared" si="31"/>
        <v>0</v>
      </c>
    </row>
    <row r="1919" spans="1:3" hidden="1" x14ac:dyDescent="0.25">
      <c r="A1919" t="s">
        <v>4418</v>
      </c>
      <c r="B1919">
        <v>2052</v>
      </c>
      <c r="C1919" t="b">
        <f t="shared" si="31"/>
        <v>0</v>
      </c>
    </row>
    <row r="1920" spans="1:3" hidden="1" x14ac:dyDescent="0.25">
      <c r="A1920" t="s">
        <v>4419</v>
      </c>
      <c r="B1920">
        <v>2053</v>
      </c>
      <c r="C1920" t="b">
        <f t="shared" si="31"/>
        <v>0</v>
      </c>
    </row>
    <row r="1921" spans="1:3" hidden="1" x14ac:dyDescent="0.25">
      <c r="A1921" t="s">
        <v>2975</v>
      </c>
      <c r="B1921">
        <v>496</v>
      </c>
      <c r="C1921" t="b">
        <f t="shared" si="31"/>
        <v>0</v>
      </c>
    </row>
    <row r="1922" spans="1:3" hidden="1" x14ac:dyDescent="0.25">
      <c r="A1922" t="s">
        <v>4420</v>
      </c>
      <c r="B1922">
        <v>2054</v>
      </c>
      <c r="C1922" t="b">
        <f t="shared" si="31"/>
        <v>0</v>
      </c>
    </row>
    <row r="1923" spans="1:3" hidden="1" x14ac:dyDescent="0.25">
      <c r="A1923" t="s">
        <v>3792</v>
      </c>
      <c r="B1923">
        <v>1365</v>
      </c>
      <c r="C1923" t="b">
        <f t="shared" si="31"/>
        <v>0</v>
      </c>
    </row>
    <row r="1924" spans="1:3" hidden="1" x14ac:dyDescent="0.25">
      <c r="A1924" t="s">
        <v>4422</v>
      </c>
      <c r="B1924">
        <v>2056</v>
      </c>
      <c r="C1924" t="b">
        <f t="shared" si="31"/>
        <v>0</v>
      </c>
    </row>
    <row r="1925" spans="1:3" hidden="1" x14ac:dyDescent="0.25">
      <c r="A1925" t="s">
        <v>4423</v>
      </c>
      <c r="B1925">
        <v>2057</v>
      </c>
      <c r="C1925" t="b">
        <f t="shared" si="31"/>
        <v>0</v>
      </c>
    </row>
    <row r="1926" spans="1:3" hidden="1" x14ac:dyDescent="0.25">
      <c r="A1926" t="s">
        <v>4424</v>
      </c>
      <c r="B1926">
        <v>2058</v>
      </c>
      <c r="C1926" t="b">
        <f t="shared" si="31"/>
        <v>0</v>
      </c>
    </row>
    <row r="1927" spans="1:3" hidden="1" x14ac:dyDescent="0.25">
      <c r="A1927" t="s">
        <v>4421</v>
      </c>
      <c r="B1927">
        <v>2055</v>
      </c>
      <c r="C1927" t="b">
        <f t="shared" si="31"/>
        <v>0</v>
      </c>
    </row>
    <row r="1928" spans="1:3" hidden="1" x14ac:dyDescent="0.25">
      <c r="A1928" t="s">
        <v>4425</v>
      </c>
      <c r="B1928">
        <v>2059</v>
      </c>
      <c r="C1928" t="b">
        <f t="shared" si="31"/>
        <v>0</v>
      </c>
    </row>
    <row r="1929" spans="1:3" hidden="1" x14ac:dyDescent="0.25">
      <c r="A1929" t="s">
        <v>4426</v>
      </c>
      <c r="B1929">
        <v>2060</v>
      </c>
      <c r="C1929" t="b">
        <f t="shared" si="31"/>
        <v>0</v>
      </c>
    </row>
    <row r="1930" spans="1:3" hidden="1" x14ac:dyDescent="0.25">
      <c r="A1930" t="s">
        <v>4427</v>
      </c>
      <c r="B1930">
        <v>2061</v>
      </c>
      <c r="C1930" t="b">
        <f t="shared" si="31"/>
        <v>0</v>
      </c>
    </row>
    <row r="1931" spans="1:3" hidden="1" x14ac:dyDescent="0.25">
      <c r="A1931" t="s">
        <v>4428</v>
      </c>
      <c r="B1931">
        <v>2062</v>
      </c>
      <c r="C1931" t="b">
        <f t="shared" si="31"/>
        <v>0</v>
      </c>
    </row>
    <row r="1932" spans="1:3" hidden="1" x14ac:dyDescent="0.25">
      <c r="A1932" t="s">
        <v>4429</v>
      </c>
      <c r="B1932">
        <v>2063</v>
      </c>
      <c r="C1932" t="b">
        <f t="shared" si="31"/>
        <v>0</v>
      </c>
    </row>
    <row r="1933" spans="1:3" hidden="1" x14ac:dyDescent="0.25">
      <c r="A1933" t="s">
        <v>4685</v>
      </c>
      <c r="B1933">
        <v>2351</v>
      </c>
      <c r="C1933" t="b">
        <f t="shared" si="31"/>
        <v>0</v>
      </c>
    </row>
    <row r="1934" spans="1:3" hidden="1" x14ac:dyDescent="0.25">
      <c r="A1934" t="s">
        <v>4484</v>
      </c>
      <c r="B1934">
        <v>2121</v>
      </c>
      <c r="C1934" t="b">
        <f t="shared" si="31"/>
        <v>0</v>
      </c>
    </row>
    <row r="1935" spans="1:3" hidden="1" x14ac:dyDescent="0.25">
      <c r="A1935" t="s">
        <v>4485</v>
      </c>
      <c r="B1935">
        <v>2122</v>
      </c>
      <c r="C1935" t="b">
        <f t="shared" si="31"/>
        <v>0</v>
      </c>
    </row>
    <row r="1936" spans="1:3" hidden="1" x14ac:dyDescent="0.25">
      <c r="A1936" t="s">
        <v>4486</v>
      </c>
      <c r="B1936">
        <v>2123</v>
      </c>
      <c r="C1936" t="b">
        <f t="shared" si="31"/>
        <v>0</v>
      </c>
    </row>
    <row r="1937" spans="1:3" hidden="1" x14ac:dyDescent="0.25">
      <c r="A1937" t="s">
        <v>3956</v>
      </c>
      <c r="B1937">
        <v>1543</v>
      </c>
      <c r="C1937" t="b">
        <f t="shared" si="31"/>
        <v>0</v>
      </c>
    </row>
    <row r="1938" spans="1:3" hidden="1" x14ac:dyDescent="0.25">
      <c r="A1938" t="s">
        <v>3538</v>
      </c>
      <c r="B1938">
        <v>1095</v>
      </c>
      <c r="C1938" t="b">
        <f t="shared" si="31"/>
        <v>0</v>
      </c>
    </row>
    <row r="1939" spans="1:3" hidden="1" x14ac:dyDescent="0.25">
      <c r="A1939" t="s">
        <v>3912</v>
      </c>
      <c r="B1939">
        <v>1497</v>
      </c>
      <c r="C1939" t="b">
        <f t="shared" si="31"/>
        <v>0</v>
      </c>
    </row>
    <row r="1940" spans="1:3" hidden="1" x14ac:dyDescent="0.25">
      <c r="A1940" t="s">
        <v>4505</v>
      </c>
      <c r="B1940">
        <v>2144</v>
      </c>
      <c r="C1940" t="b">
        <f t="shared" si="31"/>
        <v>0</v>
      </c>
    </row>
    <row r="1941" spans="1:3" hidden="1" x14ac:dyDescent="0.25">
      <c r="A1941" t="s">
        <v>4503</v>
      </c>
      <c r="B1941">
        <v>2142</v>
      </c>
      <c r="C1941" t="b">
        <f t="shared" si="31"/>
        <v>0</v>
      </c>
    </row>
    <row r="1942" spans="1:3" hidden="1" x14ac:dyDescent="0.25">
      <c r="A1942" t="s">
        <v>4506</v>
      </c>
      <c r="B1942">
        <v>2145</v>
      </c>
      <c r="C1942" t="b">
        <f t="shared" si="31"/>
        <v>0</v>
      </c>
    </row>
    <row r="1943" spans="1:3" hidden="1" x14ac:dyDescent="0.25">
      <c r="A1943" t="s">
        <v>4507</v>
      </c>
      <c r="B1943">
        <v>2146</v>
      </c>
      <c r="C1943" t="b">
        <f t="shared" si="31"/>
        <v>0</v>
      </c>
    </row>
    <row r="1944" spans="1:3" hidden="1" x14ac:dyDescent="0.25">
      <c r="A1944" t="s">
        <v>4508</v>
      </c>
      <c r="B1944">
        <v>2147</v>
      </c>
      <c r="C1944" t="b">
        <f t="shared" si="31"/>
        <v>0</v>
      </c>
    </row>
    <row r="1945" spans="1:3" hidden="1" x14ac:dyDescent="0.25">
      <c r="A1945" t="s">
        <v>4504</v>
      </c>
      <c r="B1945">
        <v>2143</v>
      </c>
      <c r="C1945" t="b">
        <f t="shared" si="31"/>
        <v>0</v>
      </c>
    </row>
    <row r="1946" spans="1:3" hidden="1" x14ac:dyDescent="0.25">
      <c r="A1946" t="s">
        <v>4596</v>
      </c>
      <c r="B1946">
        <v>2253</v>
      </c>
      <c r="C1946" t="b">
        <f t="shared" si="31"/>
        <v>0</v>
      </c>
    </row>
    <row r="1947" spans="1:3" hidden="1" x14ac:dyDescent="0.25">
      <c r="A1947" t="s">
        <v>3735</v>
      </c>
      <c r="B1947">
        <v>1306</v>
      </c>
      <c r="C1947" t="b">
        <f t="shared" si="31"/>
        <v>0</v>
      </c>
    </row>
    <row r="1948" spans="1:3" hidden="1" x14ac:dyDescent="0.25">
      <c r="A1948" t="s">
        <v>2628</v>
      </c>
      <c r="B1948">
        <v>136</v>
      </c>
      <c r="C1948" t="b">
        <f t="shared" si="31"/>
        <v>0</v>
      </c>
    </row>
    <row r="1949" spans="1:3" hidden="1" x14ac:dyDescent="0.25">
      <c r="A1949" t="s">
        <v>4623</v>
      </c>
      <c r="B1949">
        <v>2282</v>
      </c>
      <c r="C1949" t="b">
        <f t="shared" si="31"/>
        <v>0</v>
      </c>
    </row>
    <row r="1950" spans="1:3" hidden="1" x14ac:dyDescent="0.25">
      <c r="A1950" t="s">
        <v>4624</v>
      </c>
      <c r="B1950">
        <v>2283</v>
      </c>
      <c r="C1950" t="b">
        <f t="shared" si="31"/>
        <v>0</v>
      </c>
    </row>
    <row r="1951" spans="1:3" hidden="1" x14ac:dyDescent="0.25">
      <c r="A1951" t="s">
        <v>3146</v>
      </c>
      <c r="B1951">
        <v>678</v>
      </c>
      <c r="C1951" t="b">
        <f t="shared" si="31"/>
        <v>0</v>
      </c>
    </row>
    <row r="1952" spans="1:3" hidden="1" x14ac:dyDescent="0.25">
      <c r="A1952" t="s">
        <v>4067</v>
      </c>
      <c r="B1952">
        <v>1666</v>
      </c>
      <c r="C1952" t="b">
        <f t="shared" si="31"/>
        <v>0</v>
      </c>
    </row>
    <row r="1953" spans="1:3" hidden="1" x14ac:dyDescent="0.25">
      <c r="A1953" t="s">
        <v>4068</v>
      </c>
      <c r="B1953">
        <v>1667</v>
      </c>
      <c r="C1953" t="b">
        <f t="shared" si="31"/>
        <v>0</v>
      </c>
    </row>
    <row r="1954" spans="1:3" hidden="1" x14ac:dyDescent="0.25">
      <c r="A1954" t="s">
        <v>3500</v>
      </c>
      <c r="B1954">
        <v>1056</v>
      </c>
      <c r="C1954" t="b">
        <f t="shared" si="31"/>
        <v>0</v>
      </c>
    </row>
    <row r="1955" spans="1:3" hidden="1" x14ac:dyDescent="0.25">
      <c r="A1955" t="s">
        <v>3913</v>
      </c>
      <c r="B1955">
        <v>1498</v>
      </c>
      <c r="C1955" t="b">
        <f t="shared" si="31"/>
        <v>0</v>
      </c>
    </row>
    <row r="1956" spans="1:3" hidden="1" x14ac:dyDescent="0.25">
      <c r="A1956" t="s">
        <v>4523</v>
      </c>
      <c r="B1956">
        <v>2167</v>
      </c>
      <c r="C1956" t="b">
        <f t="shared" si="31"/>
        <v>0</v>
      </c>
    </row>
    <row r="1957" spans="1:3" hidden="1" x14ac:dyDescent="0.25">
      <c r="A1957" t="s">
        <v>4524</v>
      </c>
      <c r="B1957">
        <v>2168</v>
      </c>
      <c r="C1957" t="b">
        <f t="shared" si="31"/>
        <v>0</v>
      </c>
    </row>
    <row r="1958" spans="1:3" hidden="1" x14ac:dyDescent="0.25">
      <c r="A1958" t="s">
        <v>4521</v>
      </c>
      <c r="B1958">
        <v>2165</v>
      </c>
      <c r="C1958" t="b">
        <f t="shared" si="31"/>
        <v>0</v>
      </c>
    </row>
    <row r="1959" spans="1:3" hidden="1" x14ac:dyDescent="0.25">
      <c r="A1959" t="s">
        <v>4522</v>
      </c>
      <c r="B1959">
        <v>2166</v>
      </c>
      <c r="C1959" t="b">
        <f t="shared" si="31"/>
        <v>0</v>
      </c>
    </row>
    <row r="1960" spans="1:3" hidden="1" x14ac:dyDescent="0.25">
      <c r="A1960" t="s">
        <v>4525</v>
      </c>
      <c r="B1960">
        <v>2169</v>
      </c>
      <c r="C1960" t="b">
        <f t="shared" si="31"/>
        <v>0</v>
      </c>
    </row>
    <row r="1961" spans="1:3" hidden="1" x14ac:dyDescent="0.25">
      <c r="A1961" t="s">
        <v>2917</v>
      </c>
      <c r="B1961">
        <v>435</v>
      </c>
      <c r="C1961" t="b">
        <f t="shared" si="31"/>
        <v>0</v>
      </c>
    </row>
    <row r="1962" spans="1:3" hidden="1" x14ac:dyDescent="0.25">
      <c r="A1962" t="s">
        <v>2918</v>
      </c>
      <c r="B1962">
        <v>436</v>
      </c>
      <c r="C1962" t="b">
        <f t="shared" si="31"/>
        <v>0</v>
      </c>
    </row>
    <row r="1963" spans="1:3" hidden="1" x14ac:dyDescent="0.25">
      <c r="A1963" t="s">
        <v>3539</v>
      </c>
      <c r="B1963">
        <v>1096</v>
      </c>
      <c r="C1963" t="b">
        <f t="shared" si="31"/>
        <v>0</v>
      </c>
    </row>
    <row r="1964" spans="1:3" x14ac:dyDescent="0.25">
      <c r="A1964" t="s">
        <v>3539</v>
      </c>
      <c r="B1964">
        <v>1307</v>
      </c>
      <c r="C1964" t="b">
        <f t="shared" si="31"/>
        <v>1</v>
      </c>
    </row>
    <row r="1965" spans="1:3" hidden="1" x14ac:dyDescent="0.25">
      <c r="A1965" t="s">
        <v>2677</v>
      </c>
      <c r="B1965">
        <v>187</v>
      </c>
      <c r="C1965" t="b">
        <f t="shared" si="31"/>
        <v>0</v>
      </c>
    </row>
    <row r="1966" spans="1:3" hidden="1" x14ac:dyDescent="0.25">
      <c r="A1966" t="s">
        <v>4430</v>
      </c>
      <c r="B1966">
        <v>2064</v>
      </c>
      <c r="C1966" t="b">
        <f t="shared" si="31"/>
        <v>0</v>
      </c>
    </row>
    <row r="1967" spans="1:3" hidden="1" x14ac:dyDescent="0.25">
      <c r="A1967" t="s">
        <v>3865</v>
      </c>
      <c r="B1967">
        <v>1445</v>
      </c>
      <c r="C1967" t="b">
        <f t="shared" si="31"/>
        <v>0</v>
      </c>
    </row>
    <row r="1968" spans="1:3" hidden="1" x14ac:dyDescent="0.25">
      <c r="A1968" t="s">
        <v>4538</v>
      </c>
      <c r="B1968">
        <v>2185</v>
      </c>
      <c r="C1968" t="b">
        <f t="shared" si="31"/>
        <v>0</v>
      </c>
    </row>
    <row r="1969" spans="1:3" hidden="1" x14ac:dyDescent="0.25">
      <c r="A1969" t="s">
        <v>4431</v>
      </c>
      <c r="B1969">
        <v>2065</v>
      </c>
      <c r="C1969" t="b">
        <f t="shared" si="31"/>
        <v>0</v>
      </c>
    </row>
    <row r="1970" spans="1:3" hidden="1" x14ac:dyDescent="0.25">
      <c r="A1970" t="s">
        <v>4432</v>
      </c>
      <c r="B1970">
        <v>2066</v>
      </c>
      <c r="C1970" t="b">
        <f t="shared" si="31"/>
        <v>0</v>
      </c>
    </row>
    <row r="1971" spans="1:3" hidden="1" x14ac:dyDescent="0.25">
      <c r="A1971" t="s">
        <v>3540</v>
      </c>
      <c r="B1971">
        <v>1097</v>
      </c>
      <c r="C1971" t="b">
        <f t="shared" ref="C1971:C2034" si="32">A1971=A1970</f>
        <v>0</v>
      </c>
    </row>
    <row r="1972" spans="1:3" hidden="1" x14ac:dyDescent="0.25">
      <c r="A1972" t="s">
        <v>2801</v>
      </c>
      <c r="B1972">
        <v>313</v>
      </c>
      <c r="C1972" t="b">
        <f t="shared" si="32"/>
        <v>0</v>
      </c>
    </row>
    <row r="1973" spans="1:3" hidden="1" x14ac:dyDescent="0.25">
      <c r="A1973" t="s">
        <v>4433</v>
      </c>
      <c r="B1973">
        <v>2067</v>
      </c>
      <c r="C1973" t="b">
        <f t="shared" si="32"/>
        <v>0</v>
      </c>
    </row>
    <row r="1974" spans="1:3" hidden="1" x14ac:dyDescent="0.25">
      <c r="A1974" t="s">
        <v>4540</v>
      </c>
      <c r="B1974">
        <v>2188</v>
      </c>
      <c r="C1974" t="b">
        <f t="shared" si="32"/>
        <v>0</v>
      </c>
    </row>
    <row r="1975" spans="1:3" hidden="1" x14ac:dyDescent="0.25">
      <c r="A1975" t="s">
        <v>4539</v>
      </c>
      <c r="B1975">
        <v>2186</v>
      </c>
      <c r="C1975" t="b">
        <f t="shared" si="32"/>
        <v>0</v>
      </c>
    </row>
    <row r="1976" spans="1:3" hidden="1" x14ac:dyDescent="0.25">
      <c r="A1976" t="s">
        <v>3407</v>
      </c>
      <c r="B1976">
        <v>952</v>
      </c>
      <c r="C1976" t="b">
        <f t="shared" si="32"/>
        <v>0</v>
      </c>
    </row>
    <row r="1977" spans="1:3" x14ac:dyDescent="0.25">
      <c r="A1977" t="s">
        <v>3407</v>
      </c>
      <c r="B1977">
        <v>2187</v>
      </c>
      <c r="C1977" t="b">
        <f t="shared" si="32"/>
        <v>1</v>
      </c>
    </row>
    <row r="1978" spans="1:3" hidden="1" x14ac:dyDescent="0.25">
      <c r="A1978" t="s">
        <v>3566</v>
      </c>
      <c r="B1978">
        <v>1125</v>
      </c>
      <c r="C1978" t="b">
        <f t="shared" si="32"/>
        <v>0</v>
      </c>
    </row>
    <row r="1979" spans="1:3" hidden="1" x14ac:dyDescent="0.25">
      <c r="A1979" t="s">
        <v>4552</v>
      </c>
      <c r="B1979">
        <v>2204</v>
      </c>
      <c r="C1979" t="b">
        <f t="shared" si="32"/>
        <v>0</v>
      </c>
    </row>
    <row r="1980" spans="1:3" hidden="1" x14ac:dyDescent="0.25">
      <c r="A1980" t="s">
        <v>4553</v>
      </c>
      <c r="B1980">
        <v>2205</v>
      </c>
      <c r="C1980" t="b">
        <f t="shared" si="32"/>
        <v>0</v>
      </c>
    </row>
    <row r="1981" spans="1:3" hidden="1" x14ac:dyDescent="0.25">
      <c r="A1981" t="s">
        <v>3567</v>
      </c>
      <c r="B1981">
        <v>1126</v>
      </c>
      <c r="C1981" t="b">
        <f t="shared" si="32"/>
        <v>0</v>
      </c>
    </row>
    <row r="1982" spans="1:3" hidden="1" x14ac:dyDescent="0.25">
      <c r="A1982" t="s">
        <v>3568</v>
      </c>
      <c r="B1982">
        <v>1127</v>
      </c>
      <c r="C1982" t="b">
        <f t="shared" si="32"/>
        <v>0</v>
      </c>
    </row>
    <row r="1983" spans="1:3" hidden="1" x14ac:dyDescent="0.25">
      <c r="A1983" t="s">
        <v>3702</v>
      </c>
      <c r="B1983">
        <v>1270</v>
      </c>
      <c r="C1983" t="b">
        <f t="shared" si="32"/>
        <v>0</v>
      </c>
    </row>
    <row r="1984" spans="1:3" hidden="1" x14ac:dyDescent="0.25">
      <c r="A1984" t="s">
        <v>3541</v>
      </c>
      <c r="B1984">
        <v>1098</v>
      </c>
      <c r="C1984" t="b">
        <f t="shared" si="32"/>
        <v>0</v>
      </c>
    </row>
    <row r="1985" spans="1:3" hidden="1" x14ac:dyDescent="0.25">
      <c r="A1985" t="s">
        <v>3241</v>
      </c>
      <c r="B1985">
        <v>775</v>
      </c>
      <c r="C1985" t="b">
        <f t="shared" si="32"/>
        <v>0</v>
      </c>
    </row>
    <row r="1986" spans="1:3" hidden="1" x14ac:dyDescent="0.25">
      <c r="A1986" t="s">
        <v>2561</v>
      </c>
      <c r="B1986">
        <v>66</v>
      </c>
      <c r="C1986" t="b">
        <f t="shared" si="32"/>
        <v>0</v>
      </c>
    </row>
    <row r="1987" spans="1:3" hidden="1" x14ac:dyDescent="0.25">
      <c r="A1987" t="s">
        <v>4562</v>
      </c>
      <c r="B1987">
        <v>2218</v>
      </c>
      <c r="C1987" t="b">
        <f t="shared" si="32"/>
        <v>0</v>
      </c>
    </row>
    <row r="1988" spans="1:3" hidden="1" x14ac:dyDescent="0.25">
      <c r="A1988" t="s">
        <v>4563</v>
      </c>
      <c r="B1988">
        <v>2219</v>
      </c>
      <c r="C1988" t="b">
        <f t="shared" si="32"/>
        <v>0</v>
      </c>
    </row>
    <row r="1989" spans="1:3" hidden="1" x14ac:dyDescent="0.25">
      <c r="A1989" t="s">
        <v>4564</v>
      </c>
      <c r="B1989">
        <v>2220</v>
      </c>
      <c r="C1989" t="b">
        <f t="shared" si="32"/>
        <v>0</v>
      </c>
    </row>
    <row r="1990" spans="1:3" hidden="1" x14ac:dyDescent="0.25">
      <c r="A1990" t="s">
        <v>4565</v>
      </c>
      <c r="B1990">
        <v>2221</v>
      </c>
      <c r="C1990" t="b">
        <f t="shared" si="32"/>
        <v>0</v>
      </c>
    </row>
    <row r="1991" spans="1:3" hidden="1" x14ac:dyDescent="0.25">
      <c r="A1991" t="s">
        <v>2563</v>
      </c>
      <c r="B1991">
        <v>68</v>
      </c>
      <c r="C1991" t="b">
        <f t="shared" si="32"/>
        <v>0</v>
      </c>
    </row>
    <row r="1992" spans="1:3" hidden="1" x14ac:dyDescent="0.25">
      <c r="A1992" t="s">
        <v>4566</v>
      </c>
      <c r="B1992">
        <v>2222</v>
      </c>
      <c r="C1992" t="b">
        <f t="shared" si="32"/>
        <v>0</v>
      </c>
    </row>
    <row r="1993" spans="1:3" hidden="1" x14ac:dyDescent="0.25">
      <c r="A1993" t="s">
        <v>2562</v>
      </c>
      <c r="B1993">
        <v>67</v>
      </c>
      <c r="C1993" t="b">
        <f t="shared" si="32"/>
        <v>0</v>
      </c>
    </row>
    <row r="1994" spans="1:3" hidden="1" x14ac:dyDescent="0.25">
      <c r="A1994" t="s">
        <v>4598</v>
      </c>
      <c r="B1994">
        <v>2255</v>
      </c>
      <c r="C1994" t="b">
        <f t="shared" si="32"/>
        <v>0</v>
      </c>
    </row>
    <row r="1995" spans="1:3" hidden="1" x14ac:dyDescent="0.25">
      <c r="A1995" t="s">
        <v>4597</v>
      </c>
      <c r="B1995">
        <v>2254</v>
      </c>
      <c r="C1995" t="b">
        <f t="shared" si="32"/>
        <v>0</v>
      </c>
    </row>
    <row r="1996" spans="1:3" hidden="1" x14ac:dyDescent="0.25">
      <c r="A1996" t="s">
        <v>4599</v>
      </c>
      <c r="B1996">
        <v>2256</v>
      </c>
      <c r="C1996" t="b">
        <f t="shared" si="32"/>
        <v>0</v>
      </c>
    </row>
    <row r="1997" spans="1:3" hidden="1" x14ac:dyDescent="0.25">
      <c r="A1997" t="s">
        <v>4600</v>
      </c>
      <c r="B1997">
        <v>2257</v>
      </c>
      <c r="C1997" t="b">
        <f t="shared" si="32"/>
        <v>0</v>
      </c>
    </row>
    <row r="1998" spans="1:3" hidden="1" x14ac:dyDescent="0.25">
      <c r="A1998" t="s">
        <v>4601</v>
      </c>
      <c r="B1998">
        <v>2258</v>
      </c>
      <c r="C1998" t="b">
        <f t="shared" si="32"/>
        <v>0</v>
      </c>
    </row>
    <row r="1999" spans="1:3" hidden="1" x14ac:dyDescent="0.25">
      <c r="A1999" t="s">
        <v>4487</v>
      </c>
      <c r="B1999">
        <v>2124</v>
      </c>
      <c r="C1999" t="b">
        <f t="shared" si="32"/>
        <v>0</v>
      </c>
    </row>
    <row r="2000" spans="1:3" hidden="1" x14ac:dyDescent="0.25">
      <c r="A2000" t="s">
        <v>2564</v>
      </c>
      <c r="B2000">
        <v>69</v>
      </c>
      <c r="C2000" t="b">
        <f t="shared" si="32"/>
        <v>0</v>
      </c>
    </row>
    <row r="2001" spans="1:3" hidden="1" x14ac:dyDescent="0.25">
      <c r="A2001" t="s">
        <v>3054</v>
      </c>
      <c r="B2001">
        <v>581</v>
      </c>
      <c r="C2001" t="b">
        <f t="shared" si="32"/>
        <v>0</v>
      </c>
    </row>
    <row r="2002" spans="1:3" hidden="1" x14ac:dyDescent="0.25">
      <c r="A2002" t="s">
        <v>3055</v>
      </c>
      <c r="B2002">
        <v>583</v>
      </c>
      <c r="C2002" t="b">
        <f t="shared" si="32"/>
        <v>0</v>
      </c>
    </row>
    <row r="2003" spans="1:3" hidden="1" x14ac:dyDescent="0.25">
      <c r="A2003" t="s">
        <v>2842</v>
      </c>
      <c r="B2003">
        <v>355</v>
      </c>
      <c r="C2003" t="b">
        <f t="shared" si="32"/>
        <v>0</v>
      </c>
    </row>
    <row r="2004" spans="1:3" x14ac:dyDescent="0.25">
      <c r="A2004" t="s">
        <v>2842</v>
      </c>
      <c r="B2004">
        <v>582</v>
      </c>
      <c r="C2004" t="b">
        <f t="shared" si="32"/>
        <v>1</v>
      </c>
    </row>
    <row r="2005" spans="1:3" hidden="1" x14ac:dyDescent="0.25">
      <c r="A2005" t="s">
        <v>3056</v>
      </c>
      <c r="B2005">
        <v>584</v>
      </c>
      <c r="C2005" t="b">
        <f t="shared" si="32"/>
        <v>0</v>
      </c>
    </row>
    <row r="2006" spans="1:3" hidden="1" x14ac:dyDescent="0.25">
      <c r="A2006" t="s">
        <v>4850</v>
      </c>
      <c r="B2006">
        <v>2537</v>
      </c>
      <c r="C2006" t="b">
        <f t="shared" si="32"/>
        <v>0</v>
      </c>
    </row>
    <row r="2007" spans="1:3" hidden="1" x14ac:dyDescent="0.25">
      <c r="A2007" t="s">
        <v>4851</v>
      </c>
      <c r="B2007">
        <v>2538</v>
      </c>
      <c r="C2007" t="b">
        <f t="shared" si="32"/>
        <v>0</v>
      </c>
    </row>
    <row r="2008" spans="1:3" hidden="1" x14ac:dyDescent="0.25">
      <c r="A2008" t="s">
        <v>4852</v>
      </c>
      <c r="B2008">
        <v>2539</v>
      </c>
      <c r="C2008" t="b">
        <f t="shared" si="32"/>
        <v>0</v>
      </c>
    </row>
    <row r="2009" spans="1:3" hidden="1" x14ac:dyDescent="0.25">
      <c r="A2009" t="s">
        <v>4853</v>
      </c>
      <c r="B2009">
        <v>2540</v>
      </c>
      <c r="C2009" t="b">
        <f t="shared" si="32"/>
        <v>0</v>
      </c>
    </row>
    <row r="2010" spans="1:3" hidden="1" x14ac:dyDescent="0.25">
      <c r="A2010" t="s">
        <v>4435</v>
      </c>
      <c r="B2010">
        <v>2069</v>
      </c>
      <c r="C2010" t="b">
        <f t="shared" si="32"/>
        <v>0</v>
      </c>
    </row>
    <row r="2011" spans="1:3" hidden="1" x14ac:dyDescent="0.25">
      <c r="A2011" t="s">
        <v>4436</v>
      </c>
      <c r="B2011">
        <v>2070</v>
      </c>
      <c r="C2011" t="b">
        <f t="shared" si="32"/>
        <v>0</v>
      </c>
    </row>
    <row r="2012" spans="1:3" hidden="1" x14ac:dyDescent="0.25">
      <c r="A2012" t="s">
        <v>4434</v>
      </c>
      <c r="B2012">
        <v>2068</v>
      </c>
      <c r="C2012" t="b">
        <f t="shared" si="32"/>
        <v>0</v>
      </c>
    </row>
    <row r="2013" spans="1:3" hidden="1" x14ac:dyDescent="0.25">
      <c r="A2013" t="s">
        <v>4437</v>
      </c>
      <c r="B2013">
        <v>2071</v>
      </c>
      <c r="C2013" t="b">
        <f t="shared" si="32"/>
        <v>0</v>
      </c>
    </row>
    <row r="2014" spans="1:3" hidden="1" x14ac:dyDescent="0.25">
      <c r="A2014" t="s">
        <v>3914</v>
      </c>
      <c r="B2014">
        <v>1499</v>
      </c>
      <c r="C2014" t="b">
        <f t="shared" si="32"/>
        <v>0</v>
      </c>
    </row>
    <row r="2015" spans="1:3" hidden="1" x14ac:dyDescent="0.25">
      <c r="A2015" t="s">
        <v>3181</v>
      </c>
      <c r="B2015">
        <v>714</v>
      </c>
      <c r="C2015" t="b">
        <f t="shared" si="32"/>
        <v>0</v>
      </c>
    </row>
    <row r="2016" spans="1:3" hidden="1" x14ac:dyDescent="0.25">
      <c r="A2016" t="s">
        <v>3318</v>
      </c>
      <c r="B2016">
        <v>856</v>
      </c>
      <c r="C2016" t="b">
        <f t="shared" si="32"/>
        <v>0</v>
      </c>
    </row>
    <row r="2017" spans="1:3" hidden="1" x14ac:dyDescent="0.25">
      <c r="A2017" t="s">
        <v>3703</v>
      </c>
      <c r="B2017">
        <v>1271</v>
      </c>
      <c r="C2017" t="b">
        <f t="shared" si="32"/>
        <v>0</v>
      </c>
    </row>
    <row r="2018" spans="1:3" hidden="1" x14ac:dyDescent="0.25">
      <c r="A2018" t="s">
        <v>3704</v>
      </c>
      <c r="B2018">
        <v>1272</v>
      </c>
      <c r="C2018" t="b">
        <f t="shared" si="32"/>
        <v>0</v>
      </c>
    </row>
    <row r="2019" spans="1:3" hidden="1" x14ac:dyDescent="0.25">
      <c r="A2019" t="s">
        <v>3445</v>
      </c>
      <c r="B2019">
        <v>997</v>
      </c>
      <c r="C2019" t="b">
        <f t="shared" si="32"/>
        <v>0</v>
      </c>
    </row>
    <row r="2020" spans="1:3" hidden="1" x14ac:dyDescent="0.25">
      <c r="A2020" t="s">
        <v>4602</v>
      </c>
      <c r="B2020">
        <v>2259</v>
      </c>
      <c r="C2020" t="b">
        <f t="shared" si="32"/>
        <v>0</v>
      </c>
    </row>
    <row r="2021" spans="1:3" hidden="1" x14ac:dyDescent="0.25">
      <c r="A2021" t="s">
        <v>4603</v>
      </c>
      <c r="B2021">
        <v>2260</v>
      </c>
      <c r="C2021" t="b">
        <f t="shared" si="32"/>
        <v>0</v>
      </c>
    </row>
    <row r="2022" spans="1:3" hidden="1" x14ac:dyDescent="0.25">
      <c r="A2022" t="s">
        <v>3656</v>
      </c>
      <c r="B2022">
        <v>1223</v>
      </c>
      <c r="C2022" t="b">
        <f t="shared" si="32"/>
        <v>0</v>
      </c>
    </row>
    <row r="2023" spans="1:3" hidden="1" x14ac:dyDescent="0.25">
      <c r="A2023" t="s">
        <v>3657</v>
      </c>
      <c r="B2023">
        <v>1224</v>
      </c>
      <c r="C2023" t="b">
        <f t="shared" si="32"/>
        <v>0</v>
      </c>
    </row>
    <row r="2024" spans="1:3" hidden="1" x14ac:dyDescent="0.25">
      <c r="A2024" t="s">
        <v>4096</v>
      </c>
      <c r="B2024">
        <v>1696</v>
      </c>
      <c r="C2024" t="b">
        <f t="shared" si="32"/>
        <v>0</v>
      </c>
    </row>
    <row r="2025" spans="1:3" hidden="1" x14ac:dyDescent="0.25">
      <c r="A2025" t="s">
        <v>3705</v>
      </c>
      <c r="B2025">
        <v>1273</v>
      </c>
      <c r="C2025" t="b">
        <f t="shared" si="32"/>
        <v>0</v>
      </c>
    </row>
    <row r="2026" spans="1:3" hidden="1" x14ac:dyDescent="0.25">
      <c r="A2026" t="s">
        <v>4938</v>
      </c>
      <c r="B2026">
        <v>2636</v>
      </c>
      <c r="C2026" t="b">
        <f t="shared" si="32"/>
        <v>0</v>
      </c>
    </row>
    <row r="2027" spans="1:3" hidden="1" x14ac:dyDescent="0.25">
      <c r="A2027" t="s">
        <v>4939</v>
      </c>
      <c r="B2027">
        <v>2637</v>
      </c>
      <c r="C2027" t="b">
        <f t="shared" si="32"/>
        <v>0</v>
      </c>
    </row>
    <row r="2028" spans="1:3" hidden="1" x14ac:dyDescent="0.25">
      <c r="A2028" t="s">
        <v>4940</v>
      </c>
      <c r="B2028">
        <v>2638</v>
      </c>
      <c r="C2028" t="b">
        <f t="shared" si="32"/>
        <v>0</v>
      </c>
    </row>
    <row r="2029" spans="1:3" hidden="1" x14ac:dyDescent="0.25">
      <c r="A2029" t="s">
        <v>4936</v>
      </c>
      <c r="B2029">
        <v>2634</v>
      </c>
      <c r="C2029" t="b">
        <f t="shared" si="32"/>
        <v>0</v>
      </c>
    </row>
    <row r="2030" spans="1:3" hidden="1" x14ac:dyDescent="0.25">
      <c r="A2030" t="s">
        <v>4937</v>
      </c>
      <c r="B2030">
        <v>2635</v>
      </c>
      <c r="C2030" t="b">
        <f t="shared" si="32"/>
        <v>0</v>
      </c>
    </row>
    <row r="2031" spans="1:3" hidden="1" x14ac:dyDescent="0.25">
      <c r="A2031" t="s">
        <v>3823</v>
      </c>
      <c r="B2031">
        <v>1400</v>
      </c>
      <c r="C2031" t="b">
        <f t="shared" si="32"/>
        <v>0</v>
      </c>
    </row>
    <row r="2032" spans="1:3" hidden="1" x14ac:dyDescent="0.25">
      <c r="A2032" t="s">
        <v>2955</v>
      </c>
      <c r="B2032">
        <v>474</v>
      </c>
      <c r="C2032" t="b">
        <f t="shared" si="32"/>
        <v>0</v>
      </c>
    </row>
    <row r="2033" spans="1:3" hidden="1" x14ac:dyDescent="0.25">
      <c r="A2033" t="s">
        <v>4808</v>
      </c>
      <c r="B2033">
        <v>2489</v>
      </c>
      <c r="C2033" t="b">
        <f t="shared" si="32"/>
        <v>0</v>
      </c>
    </row>
    <row r="2034" spans="1:3" hidden="1" x14ac:dyDescent="0.25">
      <c r="A2034" t="s">
        <v>3182</v>
      </c>
      <c r="B2034">
        <v>715</v>
      </c>
      <c r="C2034" t="b">
        <f t="shared" si="32"/>
        <v>0</v>
      </c>
    </row>
    <row r="2035" spans="1:3" hidden="1" x14ac:dyDescent="0.25">
      <c r="A2035" t="s">
        <v>3320</v>
      </c>
      <c r="B2035">
        <v>858</v>
      </c>
      <c r="C2035" t="b">
        <f t="shared" ref="C2035:C2098" si="33">A2035=A2034</f>
        <v>0</v>
      </c>
    </row>
    <row r="2036" spans="1:3" hidden="1" x14ac:dyDescent="0.25">
      <c r="A2036" t="s">
        <v>3319</v>
      </c>
      <c r="B2036">
        <v>857</v>
      </c>
      <c r="C2036" t="b">
        <f t="shared" si="33"/>
        <v>0</v>
      </c>
    </row>
    <row r="2037" spans="1:3" hidden="1" x14ac:dyDescent="0.25">
      <c r="A2037" t="s">
        <v>2887</v>
      </c>
      <c r="B2037">
        <v>402</v>
      </c>
      <c r="C2037" t="b">
        <f t="shared" si="33"/>
        <v>0</v>
      </c>
    </row>
    <row r="2038" spans="1:3" hidden="1" x14ac:dyDescent="0.25">
      <c r="A2038" t="s">
        <v>3971</v>
      </c>
      <c r="B2038">
        <v>1560</v>
      </c>
      <c r="C2038" t="b">
        <f t="shared" si="33"/>
        <v>0</v>
      </c>
    </row>
    <row r="2039" spans="1:3" hidden="1" x14ac:dyDescent="0.25">
      <c r="A2039" t="s">
        <v>4488</v>
      </c>
      <c r="B2039">
        <v>2125</v>
      </c>
      <c r="C2039" t="b">
        <f t="shared" si="33"/>
        <v>0</v>
      </c>
    </row>
    <row r="2040" spans="1:3" hidden="1" x14ac:dyDescent="0.25">
      <c r="A2040" t="s">
        <v>4489</v>
      </c>
      <c r="B2040">
        <v>2126</v>
      </c>
      <c r="C2040" t="b">
        <f t="shared" si="33"/>
        <v>0</v>
      </c>
    </row>
    <row r="2041" spans="1:3" hidden="1" x14ac:dyDescent="0.25">
      <c r="A2041" t="s">
        <v>4119</v>
      </c>
      <c r="B2041">
        <v>1726</v>
      </c>
      <c r="C2041" t="b">
        <f t="shared" si="33"/>
        <v>0</v>
      </c>
    </row>
    <row r="2042" spans="1:3" hidden="1" x14ac:dyDescent="0.25">
      <c r="A2042" t="s">
        <v>3021</v>
      </c>
      <c r="B2042">
        <v>546</v>
      </c>
      <c r="C2042" t="b">
        <f t="shared" si="33"/>
        <v>0</v>
      </c>
    </row>
    <row r="2043" spans="1:3" hidden="1" x14ac:dyDescent="0.25">
      <c r="A2043" t="s">
        <v>3345</v>
      </c>
      <c r="B2043">
        <v>885</v>
      </c>
      <c r="C2043" t="b">
        <f t="shared" si="33"/>
        <v>0</v>
      </c>
    </row>
    <row r="2044" spans="1:3" hidden="1" x14ac:dyDescent="0.25">
      <c r="A2044" t="s">
        <v>4854</v>
      </c>
      <c r="B2044">
        <v>2541</v>
      </c>
      <c r="C2044" t="b">
        <f t="shared" si="33"/>
        <v>0</v>
      </c>
    </row>
    <row r="2045" spans="1:3" hidden="1" x14ac:dyDescent="0.25">
      <c r="A2045" t="s">
        <v>4856</v>
      </c>
      <c r="B2045">
        <v>2543</v>
      </c>
      <c r="C2045" t="b">
        <f t="shared" si="33"/>
        <v>0</v>
      </c>
    </row>
    <row r="2046" spans="1:3" hidden="1" x14ac:dyDescent="0.25">
      <c r="A2046" t="s">
        <v>4855</v>
      </c>
      <c r="B2046">
        <v>2542</v>
      </c>
      <c r="C2046" t="b">
        <f t="shared" si="33"/>
        <v>0</v>
      </c>
    </row>
    <row r="2047" spans="1:3" hidden="1" x14ac:dyDescent="0.25">
      <c r="A2047" t="s">
        <v>4097</v>
      </c>
      <c r="B2047">
        <v>1697</v>
      </c>
      <c r="C2047" t="b">
        <f t="shared" si="33"/>
        <v>0</v>
      </c>
    </row>
    <row r="2048" spans="1:3" hidden="1" x14ac:dyDescent="0.25">
      <c r="A2048" t="s">
        <v>4241</v>
      </c>
      <c r="B2048">
        <v>1863</v>
      </c>
      <c r="C2048" t="b">
        <f t="shared" si="33"/>
        <v>0</v>
      </c>
    </row>
    <row r="2049" spans="1:3" hidden="1" x14ac:dyDescent="0.25">
      <c r="A2049" t="s">
        <v>3183</v>
      </c>
      <c r="B2049">
        <v>716</v>
      </c>
      <c r="C2049" t="b">
        <f t="shared" si="33"/>
        <v>0</v>
      </c>
    </row>
    <row r="2050" spans="1:3" hidden="1" x14ac:dyDescent="0.25">
      <c r="A2050" t="s">
        <v>3542</v>
      </c>
      <c r="B2050">
        <v>1099</v>
      </c>
      <c r="C2050" t="b">
        <f t="shared" si="33"/>
        <v>0</v>
      </c>
    </row>
    <row r="2051" spans="1:3" hidden="1" x14ac:dyDescent="0.25">
      <c r="A2051" t="s">
        <v>2995</v>
      </c>
      <c r="B2051">
        <v>517</v>
      </c>
      <c r="C2051" t="b">
        <f t="shared" si="33"/>
        <v>0</v>
      </c>
    </row>
    <row r="2052" spans="1:3" hidden="1" x14ac:dyDescent="0.25">
      <c r="A2052" t="s">
        <v>4272</v>
      </c>
      <c r="B2052">
        <v>1896</v>
      </c>
      <c r="C2052" t="b">
        <f t="shared" si="33"/>
        <v>0</v>
      </c>
    </row>
    <row r="2053" spans="1:3" hidden="1" x14ac:dyDescent="0.25">
      <c r="A2053" t="s">
        <v>3447</v>
      </c>
      <c r="B2053">
        <v>999</v>
      </c>
      <c r="C2053" t="b">
        <f t="shared" si="33"/>
        <v>0</v>
      </c>
    </row>
    <row r="2054" spans="1:3" hidden="1" x14ac:dyDescent="0.25">
      <c r="A2054" t="s">
        <v>3446</v>
      </c>
      <c r="B2054">
        <v>998</v>
      </c>
      <c r="C2054" t="b">
        <f t="shared" si="33"/>
        <v>0</v>
      </c>
    </row>
    <row r="2055" spans="1:3" hidden="1" x14ac:dyDescent="0.25">
      <c r="A2055" t="s">
        <v>3958</v>
      </c>
      <c r="B2055">
        <v>1545</v>
      </c>
      <c r="C2055" t="b">
        <f t="shared" si="33"/>
        <v>0</v>
      </c>
    </row>
    <row r="2056" spans="1:3" hidden="1" x14ac:dyDescent="0.25">
      <c r="A2056" t="s">
        <v>3957</v>
      </c>
      <c r="B2056">
        <v>1544</v>
      </c>
      <c r="C2056" t="b">
        <f t="shared" si="33"/>
        <v>0</v>
      </c>
    </row>
    <row r="2057" spans="1:3" hidden="1" x14ac:dyDescent="0.25">
      <c r="A2057" t="s">
        <v>2717</v>
      </c>
      <c r="B2057">
        <v>227</v>
      </c>
      <c r="C2057" t="b">
        <f t="shared" si="33"/>
        <v>0</v>
      </c>
    </row>
    <row r="2058" spans="1:3" hidden="1" x14ac:dyDescent="0.25">
      <c r="A2058" t="s">
        <v>2718</v>
      </c>
      <c r="B2058">
        <v>228</v>
      </c>
      <c r="C2058" t="b">
        <f t="shared" si="33"/>
        <v>0</v>
      </c>
    </row>
    <row r="2059" spans="1:3" hidden="1" x14ac:dyDescent="0.25">
      <c r="A2059" t="s">
        <v>2719</v>
      </c>
      <c r="B2059">
        <v>229</v>
      </c>
      <c r="C2059" t="b">
        <f t="shared" si="33"/>
        <v>0</v>
      </c>
    </row>
    <row r="2060" spans="1:3" hidden="1" x14ac:dyDescent="0.25">
      <c r="A2060" t="s">
        <v>4941</v>
      </c>
      <c r="B2060">
        <v>2639</v>
      </c>
      <c r="C2060" t="b">
        <f t="shared" si="33"/>
        <v>0</v>
      </c>
    </row>
    <row r="2061" spans="1:3" hidden="1" x14ac:dyDescent="0.25">
      <c r="A2061" t="s">
        <v>4273</v>
      </c>
      <c r="B2061">
        <v>1897</v>
      </c>
      <c r="C2061" t="b">
        <f t="shared" si="33"/>
        <v>0</v>
      </c>
    </row>
    <row r="2062" spans="1:3" hidden="1" x14ac:dyDescent="0.25">
      <c r="A2062" t="s">
        <v>4159</v>
      </c>
      <c r="B2062">
        <v>1773</v>
      </c>
      <c r="C2062" t="b">
        <f t="shared" si="33"/>
        <v>0</v>
      </c>
    </row>
    <row r="2063" spans="1:3" hidden="1" x14ac:dyDescent="0.25">
      <c r="A2063" t="s">
        <v>3824</v>
      </c>
      <c r="B2063">
        <v>1401</v>
      </c>
      <c r="C2063" t="b">
        <f t="shared" si="33"/>
        <v>0</v>
      </c>
    </row>
    <row r="2064" spans="1:3" hidden="1" x14ac:dyDescent="0.25">
      <c r="A2064" t="s">
        <v>4201</v>
      </c>
      <c r="B2064">
        <v>1821</v>
      </c>
      <c r="C2064" t="b">
        <f t="shared" si="33"/>
        <v>0</v>
      </c>
    </row>
    <row r="2065" spans="1:3" hidden="1" x14ac:dyDescent="0.25">
      <c r="A2065" t="s">
        <v>2802</v>
      </c>
      <c r="B2065">
        <v>314</v>
      </c>
      <c r="C2065" t="b">
        <f t="shared" si="33"/>
        <v>0</v>
      </c>
    </row>
    <row r="2066" spans="1:3" hidden="1" x14ac:dyDescent="0.25">
      <c r="A2066" t="s">
        <v>4992</v>
      </c>
      <c r="B2066">
        <v>2692</v>
      </c>
      <c r="C2066" t="b">
        <f t="shared" si="33"/>
        <v>0</v>
      </c>
    </row>
    <row r="2067" spans="1:3" hidden="1" x14ac:dyDescent="0.25">
      <c r="A2067" t="s">
        <v>3377</v>
      </c>
      <c r="B2067">
        <v>919</v>
      </c>
      <c r="C2067" t="b">
        <f t="shared" si="33"/>
        <v>0</v>
      </c>
    </row>
    <row r="2068" spans="1:3" hidden="1" x14ac:dyDescent="0.25">
      <c r="A2068" t="s">
        <v>3793</v>
      </c>
      <c r="B2068">
        <v>1366</v>
      </c>
      <c r="C2068" t="b">
        <f t="shared" si="33"/>
        <v>0</v>
      </c>
    </row>
    <row r="2069" spans="1:3" hidden="1" x14ac:dyDescent="0.25">
      <c r="A2069" t="s">
        <v>3569</v>
      </c>
      <c r="B2069">
        <v>1128</v>
      </c>
      <c r="C2069" t="b">
        <f t="shared" si="33"/>
        <v>0</v>
      </c>
    </row>
    <row r="2070" spans="1:3" hidden="1" x14ac:dyDescent="0.25">
      <c r="A2070" t="s">
        <v>2565</v>
      </c>
      <c r="B2070">
        <v>70</v>
      </c>
      <c r="C2070" t="b">
        <f t="shared" si="33"/>
        <v>0</v>
      </c>
    </row>
    <row r="2071" spans="1:3" hidden="1" x14ac:dyDescent="0.25">
      <c r="A2071" t="s">
        <v>2746</v>
      </c>
      <c r="B2071">
        <v>257</v>
      </c>
      <c r="C2071" t="b">
        <f t="shared" si="33"/>
        <v>0</v>
      </c>
    </row>
    <row r="2072" spans="1:3" hidden="1" x14ac:dyDescent="0.25">
      <c r="A2072" t="s">
        <v>3825</v>
      </c>
      <c r="B2072">
        <v>1402</v>
      </c>
      <c r="C2072" t="b">
        <f t="shared" si="33"/>
        <v>0</v>
      </c>
    </row>
    <row r="2073" spans="1:3" hidden="1" x14ac:dyDescent="0.25">
      <c r="A2073" t="s">
        <v>4438</v>
      </c>
      <c r="B2073">
        <v>2072</v>
      </c>
      <c r="C2073" t="b">
        <f t="shared" si="33"/>
        <v>0</v>
      </c>
    </row>
    <row r="2074" spans="1:3" hidden="1" x14ac:dyDescent="0.25">
      <c r="A2074" t="s">
        <v>3184</v>
      </c>
      <c r="B2074">
        <v>717</v>
      </c>
      <c r="C2074" t="b">
        <f t="shared" si="33"/>
        <v>0</v>
      </c>
    </row>
    <row r="2075" spans="1:3" hidden="1" x14ac:dyDescent="0.25">
      <c r="A2075" t="s">
        <v>5105</v>
      </c>
      <c r="B2075">
        <v>2808</v>
      </c>
      <c r="C2075" t="b">
        <f t="shared" si="33"/>
        <v>0</v>
      </c>
    </row>
    <row r="2076" spans="1:3" hidden="1" x14ac:dyDescent="0.25">
      <c r="A2076" t="s">
        <v>5106</v>
      </c>
      <c r="B2076">
        <v>2809</v>
      </c>
      <c r="C2076" t="b">
        <f t="shared" si="33"/>
        <v>0</v>
      </c>
    </row>
    <row r="2077" spans="1:3" hidden="1" x14ac:dyDescent="0.25">
      <c r="A2077" t="s">
        <v>5107</v>
      </c>
      <c r="B2077">
        <v>2810</v>
      </c>
      <c r="C2077" t="b">
        <f t="shared" si="33"/>
        <v>0</v>
      </c>
    </row>
    <row r="2078" spans="1:3" hidden="1" x14ac:dyDescent="0.25">
      <c r="A2078" t="s">
        <v>2919</v>
      </c>
      <c r="B2078">
        <v>437</v>
      </c>
      <c r="C2078" t="b">
        <f t="shared" si="33"/>
        <v>0</v>
      </c>
    </row>
    <row r="2079" spans="1:3" hidden="1" x14ac:dyDescent="0.25">
      <c r="A2079" t="s">
        <v>4604</v>
      </c>
      <c r="B2079">
        <v>2261</v>
      </c>
      <c r="C2079" t="b">
        <f t="shared" si="33"/>
        <v>0</v>
      </c>
    </row>
    <row r="2080" spans="1:3" hidden="1" x14ac:dyDescent="0.25">
      <c r="A2080" t="s">
        <v>4439</v>
      </c>
      <c r="B2080">
        <v>2073</v>
      </c>
      <c r="C2080" t="b">
        <f t="shared" si="33"/>
        <v>0</v>
      </c>
    </row>
    <row r="2081" spans="1:3" hidden="1" x14ac:dyDescent="0.25">
      <c r="A2081" t="s">
        <v>4440</v>
      </c>
      <c r="B2081">
        <v>2074</v>
      </c>
      <c r="C2081" t="b">
        <f t="shared" si="33"/>
        <v>0</v>
      </c>
    </row>
    <row r="2082" spans="1:3" hidden="1" x14ac:dyDescent="0.25">
      <c r="A2082" t="s">
        <v>4441</v>
      </c>
      <c r="B2082">
        <v>2075</v>
      </c>
      <c r="C2082" t="b">
        <f t="shared" si="33"/>
        <v>0</v>
      </c>
    </row>
    <row r="2083" spans="1:3" hidden="1" x14ac:dyDescent="0.25">
      <c r="A2083" t="s">
        <v>4442</v>
      </c>
      <c r="B2083">
        <v>2076</v>
      </c>
      <c r="C2083" t="b">
        <f t="shared" si="33"/>
        <v>0</v>
      </c>
    </row>
    <row r="2084" spans="1:3" hidden="1" x14ac:dyDescent="0.25">
      <c r="A2084" t="s">
        <v>3449</v>
      </c>
      <c r="B2084">
        <v>1001</v>
      </c>
      <c r="C2084" t="b">
        <f t="shared" si="33"/>
        <v>0</v>
      </c>
    </row>
    <row r="2085" spans="1:3" hidden="1" x14ac:dyDescent="0.25">
      <c r="A2085" t="s">
        <v>3448</v>
      </c>
      <c r="B2085">
        <v>1000</v>
      </c>
      <c r="C2085" t="b">
        <f t="shared" si="33"/>
        <v>0</v>
      </c>
    </row>
    <row r="2086" spans="1:3" hidden="1" x14ac:dyDescent="0.25">
      <c r="A2086" t="s">
        <v>3450</v>
      </c>
      <c r="B2086">
        <v>1002</v>
      </c>
      <c r="C2086" t="b">
        <f t="shared" si="33"/>
        <v>0</v>
      </c>
    </row>
    <row r="2087" spans="1:3" hidden="1" x14ac:dyDescent="0.25">
      <c r="A2087" t="s">
        <v>3451</v>
      </c>
      <c r="B2087">
        <v>1003</v>
      </c>
      <c r="C2087" t="b">
        <f t="shared" si="33"/>
        <v>0</v>
      </c>
    </row>
    <row r="2088" spans="1:3" hidden="1" x14ac:dyDescent="0.25">
      <c r="A2088" t="s">
        <v>4732</v>
      </c>
      <c r="B2088">
        <v>2404</v>
      </c>
      <c r="C2088" t="b">
        <f t="shared" si="33"/>
        <v>0</v>
      </c>
    </row>
    <row r="2089" spans="1:3" hidden="1" x14ac:dyDescent="0.25">
      <c r="A2089" t="s">
        <v>4733</v>
      </c>
      <c r="B2089">
        <v>2405</v>
      </c>
      <c r="C2089" t="b">
        <f t="shared" si="33"/>
        <v>0</v>
      </c>
    </row>
    <row r="2090" spans="1:3" hidden="1" x14ac:dyDescent="0.25">
      <c r="A2090" t="s">
        <v>4734</v>
      </c>
      <c r="B2090">
        <v>2406</v>
      </c>
      <c r="C2090" t="b">
        <f t="shared" si="33"/>
        <v>0</v>
      </c>
    </row>
    <row r="2091" spans="1:3" hidden="1" x14ac:dyDescent="0.25">
      <c r="A2091" t="s">
        <v>4242</v>
      </c>
      <c r="B2091">
        <v>1864</v>
      </c>
      <c r="C2091" t="b">
        <f t="shared" si="33"/>
        <v>0</v>
      </c>
    </row>
    <row r="2092" spans="1:3" hidden="1" x14ac:dyDescent="0.25">
      <c r="A2092" t="s">
        <v>4809</v>
      </c>
      <c r="B2092">
        <v>2490</v>
      </c>
      <c r="C2092" t="b">
        <f t="shared" si="33"/>
        <v>0</v>
      </c>
    </row>
    <row r="2093" spans="1:3" hidden="1" x14ac:dyDescent="0.25">
      <c r="A2093" t="s">
        <v>4605</v>
      </c>
      <c r="B2093">
        <v>2262</v>
      </c>
      <c r="C2093" t="b">
        <f t="shared" si="33"/>
        <v>0</v>
      </c>
    </row>
    <row r="2094" spans="1:3" hidden="1" x14ac:dyDescent="0.25">
      <c r="A2094" t="s">
        <v>3706</v>
      </c>
      <c r="B2094">
        <v>1274</v>
      </c>
      <c r="C2094" t="b">
        <f t="shared" si="33"/>
        <v>0</v>
      </c>
    </row>
    <row r="2095" spans="1:3" hidden="1" x14ac:dyDescent="0.25">
      <c r="A2095" t="s">
        <v>3408</v>
      </c>
      <c r="B2095">
        <v>953</v>
      </c>
      <c r="C2095" t="b">
        <f t="shared" si="33"/>
        <v>0</v>
      </c>
    </row>
    <row r="2096" spans="1:3" hidden="1" x14ac:dyDescent="0.25">
      <c r="A2096" t="s">
        <v>3707</v>
      </c>
      <c r="B2096">
        <v>1275</v>
      </c>
      <c r="C2096" t="b">
        <f t="shared" si="33"/>
        <v>0</v>
      </c>
    </row>
    <row r="2097" spans="1:3" hidden="1" x14ac:dyDescent="0.25">
      <c r="A2097" t="s">
        <v>3409</v>
      </c>
      <c r="B2097">
        <v>954</v>
      </c>
      <c r="C2097" t="b">
        <f t="shared" si="33"/>
        <v>0</v>
      </c>
    </row>
    <row r="2098" spans="1:3" hidden="1" x14ac:dyDescent="0.25">
      <c r="A2098" t="s">
        <v>3410</v>
      </c>
      <c r="B2098">
        <v>955</v>
      </c>
      <c r="C2098" t="b">
        <f t="shared" si="33"/>
        <v>0</v>
      </c>
    </row>
    <row r="2099" spans="1:3" hidden="1" x14ac:dyDescent="0.25">
      <c r="A2099" t="s">
        <v>3984</v>
      </c>
      <c r="B2099">
        <v>1577</v>
      </c>
      <c r="C2099" t="b">
        <f t="shared" ref="C2099:C2162" si="34">A2099=A2098</f>
        <v>0</v>
      </c>
    </row>
    <row r="2100" spans="1:3" hidden="1" x14ac:dyDescent="0.25">
      <c r="A2100" t="s">
        <v>4993</v>
      </c>
      <c r="B2100">
        <v>2693</v>
      </c>
      <c r="C2100" t="b">
        <f t="shared" si="34"/>
        <v>0</v>
      </c>
    </row>
    <row r="2101" spans="1:3" hidden="1" x14ac:dyDescent="0.25">
      <c r="A2101" t="s">
        <v>2920</v>
      </c>
      <c r="B2101">
        <v>438</v>
      </c>
      <c r="C2101" t="b">
        <f t="shared" si="34"/>
        <v>0</v>
      </c>
    </row>
    <row r="2102" spans="1:3" x14ac:dyDescent="0.25">
      <c r="A2102" t="s">
        <v>2920</v>
      </c>
      <c r="B2102">
        <v>1801</v>
      </c>
      <c r="C2102" t="b">
        <f t="shared" si="34"/>
        <v>1</v>
      </c>
    </row>
    <row r="2103" spans="1:3" hidden="1" x14ac:dyDescent="0.25">
      <c r="A2103" t="s">
        <v>3543</v>
      </c>
      <c r="B2103">
        <v>1100</v>
      </c>
      <c r="C2103" t="b">
        <f t="shared" si="34"/>
        <v>0</v>
      </c>
    </row>
    <row r="2104" spans="1:3" hidden="1" x14ac:dyDescent="0.25">
      <c r="A2104" t="s">
        <v>3545</v>
      </c>
      <c r="B2104">
        <v>1102</v>
      </c>
      <c r="C2104" t="b">
        <f t="shared" si="34"/>
        <v>0</v>
      </c>
    </row>
    <row r="2105" spans="1:3" hidden="1" x14ac:dyDescent="0.25">
      <c r="A2105" t="s">
        <v>3546</v>
      </c>
      <c r="B2105">
        <v>1103</v>
      </c>
      <c r="C2105" t="b">
        <f t="shared" si="34"/>
        <v>0</v>
      </c>
    </row>
    <row r="2106" spans="1:3" hidden="1" x14ac:dyDescent="0.25">
      <c r="A2106" t="s">
        <v>3547</v>
      </c>
      <c r="B2106">
        <v>1104</v>
      </c>
      <c r="C2106" t="b">
        <f t="shared" si="34"/>
        <v>0</v>
      </c>
    </row>
    <row r="2107" spans="1:3" hidden="1" x14ac:dyDescent="0.25">
      <c r="A2107" t="s">
        <v>3544</v>
      </c>
      <c r="B2107">
        <v>1101</v>
      </c>
      <c r="C2107" t="b">
        <f t="shared" si="34"/>
        <v>0</v>
      </c>
    </row>
    <row r="2108" spans="1:3" hidden="1" x14ac:dyDescent="0.25">
      <c r="A2108" t="s">
        <v>2720</v>
      </c>
      <c r="B2108">
        <v>230</v>
      </c>
      <c r="C2108" t="b">
        <f t="shared" si="34"/>
        <v>0</v>
      </c>
    </row>
    <row r="2109" spans="1:3" hidden="1" x14ac:dyDescent="0.25">
      <c r="A2109" t="s">
        <v>4627</v>
      </c>
      <c r="B2109">
        <v>2286</v>
      </c>
      <c r="C2109" t="b">
        <f t="shared" si="34"/>
        <v>0</v>
      </c>
    </row>
    <row r="2110" spans="1:3" hidden="1" x14ac:dyDescent="0.25">
      <c r="A2110" t="s">
        <v>4625</v>
      </c>
      <c r="B2110">
        <v>2284</v>
      </c>
      <c r="C2110" t="b">
        <f t="shared" si="34"/>
        <v>0</v>
      </c>
    </row>
    <row r="2111" spans="1:3" hidden="1" x14ac:dyDescent="0.25">
      <c r="A2111" t="s">
        <v>4626</v>
      </c>
      <c r="B2111">
        <v>2285</v>
      </c>
      <c r="C2111" t="b">
        <f t="shared" si="34"/>
        <v>0</v>
      </c>
    </row>
    <row r="2112" spans="1:3" hidden="1" x14ac:dyDescent="0.25">
      <c r="A2112" t="s">
        <v>3147</v>
      </c>
      <c r="B2112">
        <v>679</v>
      </c>
      <c r="C2112" t="b">
        <f t="shared" si="34"/>
        <v>0</v>
      </c>
    </row>
    <row r="2113" spans="1:3" hidden="1" x14ac:dyDescent="0.25">
      <c r="A2113" t="s">
        <v>3148</v>
      </c>
      <c r="B2113">
        <v>680</v>
      </c>
      <c r="C2113" t="b">
        <f t="shared" si="34"/>
        <v>0</v>
      </c>
    </row>
    <row r="2114" spans="1:3" hidden="1" x14ac:dyDescent="0.25">
      <c r="A2114" t="s">
        <v>3149</v>
      </c>
      <c r="B2114">
        <v>681</v>
      </c>
      <c r="C2114" t="b">
        <f t="shared" si="34"/>
        <v>0</v>
      </c>
    </row>
    <row r="2115" spans="1:3" hidden="1" x14ac:dyDescent="0.25">
      <c r="A2115" t="s">
        <v>3286</v>
      </c>
      <c r="B2115">
        <v>822</v>
      </c>
      <c r="C2115" t="b">
        <f t="shared" si="34"/>
        <v>0</v>
      </c>
    </row>
    <row r="2116" spans="1:3" hidden="1" x14ac:dyDescent="0.25">
      <c r="A2116" t="s">
        <v>4098</v>
      </c>
      <c r="B2116">
        <v>1698</v>
      </c>
      <c r="C2116" t="b">
        <f t="shared" si="34"/>
        <v>0</v>
      </c>
    </row>
    <row r="2117" spans="1:3" hidden="1" x14ac:dyDescent="0.25">
      <c r="A2117" t="s">
        <v>4160</v>
      </c>
      <c r="B2117">
        <v>1774</v>
      </c>
      <c r="C2117" t="b">
        <f t="shared" si="34"/>
        <v>0</v>
      </c>
    </row>
    <row r="2118" spans="1:3" hidden="1" x14ac:dyDescent="0.25">
      <c r="A2118" t="s">
        <v>4161</v>
      </c>
      <c r="B2118">
        <v>1775</v>
      </c>
      <c r="C2118" t="b">
        <f t="shared" si="34"/>
        <v>0</v>
      </c>
    </row>
    <row r="2119" spans="1:3" hidden="1" x14ac:dyDescent="0.25">
      <c r="A2119" t="s">
        <v>2678</v>
      </c>
      <c r="B2119">
        <v>188</v>
      </c>
      <c r="C2119" t="b">
        <f t="shared" si="34"/>
        <v>0</v>
      </c>
    </row>
    <row r="2120" spans="1:3" hidden="1" x14ac:dyDescent="0.25">
      <c r="A2120" t="s">
        <v>4509</v>
      </c>
      <c r="B2120">
        <v>2148</v>
      </c>
      <c r="C2120" t="b">
        <f t="shared" si="34"/>
        <v>0</v>
      </c>
    </row>
    <row r="2121" spans="1:3" hidden="1" x14ac:dyDescent="0.25">
      <c r="A2121" t="s">
        <v>4628</v>
      </c>
      <c r="B2121">
        <v>2287</v>
      </c>
      <c r="C2121" t="b">
        <f t="shared" si="34"/>
        <v>0</v>
      </c>
    </row>
    <row r="2122" spans="1:3" hidden="1" x14ac:dyDescent="0.25">
      <c r="A2122" t="s">
        <v>4630</v>
      </c>
      <c r="B2122">
        <v>2289</v>
      </c>
      <c r="C2122" t="b">
        <f t="shared" si="34"/>
        <v>0</v>
      </c>
    </row>
    <row r="2123" spans="1:3" hidden="1" x14ac:dyDescent="0.25">
      <c r="A2123" t="s">
        <v>4631</v>
      </c>
      <c r="B2123">
        <v>2290</v>
      </c>
      <c r="C2123" t="b">
        <f t="shared" si="34"/>
        <v>0</v>
      </c>
    </row>
    <row r="2124" spans="1:3" hidden="1" x14ac:dyDescent="0.25">
      <c r="A2124" t="s">
        <v>4629</v>
      </c>
      <c r="B2124">
        <v>2288</v>
      </c>
      <c r="C2124" t="b">
        <f t="shared" si="34"/>
        <v>0</v>
      </c>
    </row>
    <row r="2125" spans="1:3" hidden="1" x14ac:dyDescent="0.25">
      <c r="A2125" t="s">
        <v>3096</v>
      </c>
      <c r="B2125">
        <v>626</v>
      </c>
      <c r="C2125" t="b">
        <f t="shared" si="34"/>
        <v>0</v>
      </c>
    </row>
    <row r="2126" spans="1:3" hidden="1" x14ac:dyDescent="0.25">
      <c r="A2126" t="s">
        <v>4686</v>
      </c>
      <c r="B2126">
        <v>2352</v>
      </c>
      <c r="C2126" t="b">
        <f t="shared" si="34"/>
        <v>0</v>
      </c>
    </row>
    <row r="2127" spans="1:3" hidden="1" x14ac:dyDescent="0.25">
      <c r="A2127" t="s">
        <v>5108</v>
      </c>
      <c r="B2127">
        <v>2811</v>
      </c>
      <c r="C2127" t="b">
        <f t="shared" si="34"/>
        <v>0</v>
      </c>
    </row>
    <row r="2128" spans="1:3" hidden="1" x14ac:dyDescent="0.25">
      <c r="A2128" t="s">
        <v>3658</v>
      </c>
      <c r="B2128">
        <v>1225</v>
      </c>
      <c r="C2128" t="b">
        <f t="shared" si="34"/>
        <v>0</v>
      </c>
    </row>
    <row r="2129" spans="1:3" hidden="1" x14ac:dyDescent="0.25">
      <c r="A2129" t="s">
        <v>4632</v>
      </c>
      <c r="B2129">
        <v>2291</v>
      </c>
      <c r="C2129" t="b">
        <f t="shared" si="34"/>
        <v>0</v>
      </c>
    </row>
    <row r="2130" spans="1:3" hidden="1" x14ac:dyDescent="0.25">
      <c r="A2130" t="s">
        <v>2679</v>
      </c>
      <c r="B2130">
        <v>189</v>
      </c>
      <c r="C2130" t="b">
        <f t="shared" si="34"/>
        <v>0</v>
      </c>
    </row>
    <row r="2131" spans="1:3" hidden="1" x14ac:dyDescent="0.25">
      <c r="A2131" t="s">
        <v>3959</v>
      </c>
      <c r="B2131">
        <v>1546</v>
      </c>
      <c r="C2131" t="b">
        <f t="shared" si="34"/>
        <v>0</v>
      </c>
    </row>
    <row r="2132" spans="1:3" hidden="1" x14ac:dyDescent="0.25">
      <c r="A2132" t="s">
        <v>2845</v>
      </c>
      <c r="B2132">
        <v>358</v>
      </c>
      <c r="C2132" t="b">
        <f t="shared" si="34"/>
        <v>0</v>
      </c>
    </row>
    <row r="2133" spans="1:3" hidden="1" x14ac:dyDescent="0.25">
      <c r="A2133" t="s">
        <v>2843</v>
      </c>
      <c r="B2133">
        <v>356</v>
      </c>
      <c r="C2133" t="b">
        <f t="shared" si="34"/>
        <v>0</v>
      </c>
    </row>
    <row r="2134" spans="1:3" x14ac:dyDescent="0.25">
      <c r="A2134" t="s">
        <v>2843</v>
      </c>
      <c r="B2134">
        <v>956</v>
      </c>
      <c r="C2134" t="b">
        <f t="shared" si="34"/>
        <v>1</v>
      </c>
    </row>
    <row r="2135" spans="1:3" hidden="1" x14ac:dyDescent="0.25">
      <c r="A2135" t="s">
        <v>2844</v>
      </c>
      <c r="B2135">
        <v>357</v>
      </c>
      <c r="C2135" t="b">
        <f t="shared" si="34"/>
        <v>0</v>
      </c>
    </row>
    <row r="2136" spans="1:3" hidden="1" x14ac:dyDescent="0.25">
      <c r="A2136" t="s">
        <v>2996</v>
      </c>
      <c r="B2136">
        <v>518</v>
      </c>
      <c r="C2136" t="b">
        <f t="shared" si="34"/>
        <v>0</v>
      </c>
    </row>
    <row r="2137" spans="1:3" hidden="1" x14ac:dyDescent="0.25">
      <c r="A2137" t="s">
        <v>3915</v>
      </c>
      <c r="B2137">
        <v>1500</v>
      </c>
      <c r="C2137" t="b">
        <f t="shared" si="34"/>
        <v>0</v>
      </c>
    </row>
    <row r="2138" spans="1:3" hidden="1" x14ac:dyDescent="0.25">
      <c r="A2138" t="s">
        <v>4243</v>
      </c>
      <c r="B2138">
        <v>1865</v>
      </c>
      <c r="C2138" t="b">
        <f t="shared" si="34"/>
        <v>0</v>
      </c>
    </row>
    <row r="2139" spans="1:3" hidden="1" x14ac:dyDescent="0.25">
      <c r="A2139" t="s">
        <v>3378</v>
      </c>
      <c r="B2139">
        <v>920</v>
      </c>
      <c r="C2139" t="b">
        <f t="shared" si="34"/>
        <v>0</v>
      </c>
    </row>
    <row r="2140" spans="1:3" hidden="1" x14ac:dyDescent="0.25">
      <c r="A2140" t="s">
        <v>3097</v>
      </c>
      <c r="B2140">
        <v>627</v>
      </c>
      <c r="C2140" t="b">
        <f t="shared" si="34"/>
        <v>0</v>
      </c>
    </row>
    <row r="2141" spans="1:3" hidden="1" x14ac:dyDescent="0.25">
      <c r="A2141" t="s">
        <v>4322</v>
      </c>
      <c r="B2141">
        <v>1950</v>
      </c>
      <c r="C2141" t="b">
        <f t="shared" si="34"/>
        <v>0</v>
      </c>
    </row>
    <row r="2142" spans="1:3" hidden="1" x14ac:dyDescent="0.25">
      <c r="A2142" t="s">
        <v>4323</v>
      </c>
      <c r="B2142">
        <v>1951</v>
      </c>
      <c r="C2142" t="b">
        <f t="shared" si="34"/>
        <v>0</v>
      </c>
    </row>
    <row r="2143" spans="1:3" hidden="1" x14ac:dyDescent="0.25">
      <c r="A2143" t="s">
        <v>4894</v>
      </c>
      <c r="B2143">
        <v>2586</v>
      </c>
      <c r="C2143" t="b">
        <f t="shared" si="34"/>
        <v>0</v>
      </c>
    </row>
    <row r="2144" spans="1:3" hidden="1" x14ac:dyDescent="0.25">
      <c r="A2144" t="s">
        <v>4021</v>
      </c>
      <c r="B2144">
        <v>1615</v>
      </c>
      <c r="C2144" t="b">
        <f t="shared" si="34"/>
        <v>0</v>
      </c>
    </row>
    <row r="2145" spans="1:3" hidden="1" x14ac:dyDescent="0.25">
      <c r="A2145" t="s">
        <v>4022</v>
      </c>
      <c r="B2145">
        <v>1616</v>
      </c>
      <c r="C2145" t="b">
        <f t="shared" si="34"/>
        <v>0</v>
      </c>
    </row>
    <row r="2146" spans="1:3" hidden="1" x14ac:dyDescent="0.25">
      <c r="A2146" t="s">
        <v>3379</v>
      </c>
      <c r="B2146">
        <v>921</v>
      </c>
      <c r="C2146" t="b">
        <f t="shared" si="34"/>
        <v>0</v>
      </c>
    </row>
    <row r="2147" spans="1:3" hidden="1" x14ac:dyDescent="0.25">
      <c r="A2147" t="s">
        <v>3381</v>
      </c>
      <c r="B2147">
        <v>923</v>
      </c>
      <c r="C2147" t="b">
        <f t="shared" si="34"/>
        <v>0</v>
      </c>
    </row>
    <row r="2148" spans="1:3" hidden="1" x14ac:dyDescent="0.25">
      <c r="A2148" t="s">
        <v>3380</v>
      </c>
      <c r="B2148">
        <v>922</v>
      </c>
      <c r="C2148" t="b">
        <f t="shared" si="34"/>
        <v>0</v>
      </c>
    </row>
    <row r="2149" spans="1:3" hidden="1" x14ac:dyDescent="0.25">
      <c r="A2149" t="s">
        <v>3185</v>
      </c>
      <c r="B2149">
        <v>718</v>
      </c>
      <c r="C2149" t="b">
        <f t="shared" si="34"/>
        <v>0</v>
      </c>
    </row>
    <row r="2150" spans="1:3" hidden="1" x14ac:dyDescent="0.25">
      <c r="A2150" t="s">
        <v>4023</v>
      </c>
      <c r="B2150">
        <v>1617</v>
      </c>
      <c r="C2150" t="b">
        <f t="shared" si="34"/>
        <v>0</v>
      </c>
    </row>
    <row r="2151" spans="1:3" hidden="1" x14ac:dyDescent="0.25">
      <c r="A2151" t="s">
        <v>3022</v>
      </c>
      <c r="B2151">
        <v>547</v>
      </c>
      <c r="C2151" t="b">
        <f t="shared" si="34"/>
        <v>0</v>
      </c>
    </row>
    <row r="2152" spans="1:3" hidden="1" x14ac:dyDescent="0.25">
      <c r="A2152" t="s">
        <v>5109</v>
      </c>
      <c r="B2152">
        <v>2812</v>
      </c>
      <c r="C2152" t="b">
        <f t="shared" si="34"/>
        <v>0</v>
      </c>
    </row>
    <row r="2153" spans="1:3" hidden="1" x14ac:dyDescent="0.25">
      <c r="A2153" t="s">
        <v>5110</v>
      </c>
      <c r="B2153">
        <v>2813</v>
      </c>
      <c r="C2153" t="b">
        <f t="shared" si="34"/>
        <v>0</v>
      </c>
    </row>
    <row r="2154" spans="1:3" hidden="1" x14ac:dyDescent="0.25">
      <c r="A2154" t="s">
        <v>4541</v>
      </c>
      <c r="B2154">
        <v>2189</v>
      </c>
      <c r="C2154" t="b">
        <f t="shared" si="34"/>
        <v>0</v>
      </c>
    </row>
    <row r="2155" spans="1:3" hidden="1" x14ac:dyDescent="0.25">
      <c r="A2155" t="s">
        <v>4542</v>
      </c>
      <c r="B2155">
        <v>2190</v>
      </c>
      <c r="C2155" t="b">
        <f t="shared" si="34"/>
        <v>0</v>
      </c>
    </row>
    <row r="2156" spans="1:3" hidden="1" x14ac:dyDescent="0.25">
      <c r="A2156" t="s">
        <v>4543</v>
      </c>
      <c r="B2156">
        <v>2191</v>
      </c>
      <c r="C2156" t="b">
        <f t="shared" si="34"/>
        <v>0</v>
      </c>
    </row>
    <row r="2157" spans="1:3" hidden="1" x14ac:dyDescent="0.25">
      <c r="A2157" t="s">
        <v>4202</v>
      </c>
      <c r="B2157">
        <v>1822</v>
      </c>
      <c r="C2157" t="b">
        <f t="shared" si="34"/>
        <v>0</v>
      </c>
    </row>
    <row r="2158" spans="1:3" hidden="1" x14ac:dyDescent="0.25">
      <c r="A2158" t="s">
        <v>4896</v>
      </c>
      <c r="B2158">
        <v>2588</v>
      </c>
      <c r="C2158" t="b">
        <f t="shared" si="34"/>
        <v>0</v>
      </c>
    </row>
    <row r="2159" spans="1:3" hidden="1" x14ac:dyDescent="0.25">
      <c r="A2159" t="s">
        <v>4895</v>
      </c>
      <c r="B2159">
        <v>2587</v>
      </c>
      <c r="C2159" t="b">
        <f t="shared" si="34"/>
        <v>0</v>
      </c>
    </row>
    <row r="2160" spans="1:3" hidden="1" x14ac:dyDescent="0.25">
      <c r="A2160" t="s">
        <v>4735</v>
      </c>
      <c r="B2160">
        <v>2407</v>
      </c>
      <c r="C2160" t="b">
        <f t="shared" si="34"/>
        <v>0</v>
      </c>
    </row>
    <row r="2161" spans="1:3" hidden="1" x14ac:dyDescent="0.25">
      <c r="A2161" t="s">
        <v>3659</v>
      </c>
      <c r="B2161">
        <v>1226</v>
      </c>
      <c r="C2161" t="b">
        <f t="shared" si="34"/>
        <v>0</v>
      </c>
    </row>
    <row r="2162" spans="1:3" hidden="1" x14ac:dyDescent="0.25">
      <c r="A2162" t="s">
        <v>5111</v>
      </c>
      <c r="B2162">
        <v>2814</v>
      </c>
      <c r="C2162" t="b">
        <f t="shared" si="34"/>
        <v>0</v>
      </c>
    </row>
    <row r="2163" spans="1:3" hidden="1" x14ac:dyDescent="0.25">
      <c r="A2163" t="s">
        <v>3570</v>
      </c>
      <c r="B2163">
        <v>1129</v>
      </c>
      <c r="C2163" t="b">
        <f t="shared" ref="C2163:C2226" si="35">A2163=A2162</f>
        <v>0</v>
      </c>
    </row>
    <row r="2164" spans="1:3" hidden="1" x14ac:dyDescent="0.25">
      <c r="A2164" t="s">
        <v>4099</v>
      </c>
      <c r="B2164">
        <v>1699</v>
      </c>
      <c r="C2164" t="b">
        <f t="shared" si="35"/>
        <v>0</v>
      </c>
    </row>
    <row r="2165" spans="1:3" hidden="1" x14ac:dyDescent="0.25">
      <c r="A2165" t="s">
        <v>3186</v>
      </c>
      <c r="B2165">
        <v>719</v>
      </c>
      <c r="C2165" t="b">
        <f t="shared" si="35"/>
        <v>0</v>
      </c>
    </row>
    <row r="2166" spans="1:3" hidden="1" x14ac:dyDescent="0.25">
      <c r="A2166" t="s">
        <v>4443</v>
      </c>
      <c r="B2166">
        <v>2077</v>
      </c>
      <c r="C2166" t="b">
        <f t="shared" si="35"/>
        <v>0</v>
      </c>
    </row>
    <row r="2167" spans="1:3" hidden="1" x14ac:dyDescent="0.25">
      <c r="A2167" t="s">
        <v>4274</v>
      </c>
      <c r="B2167">
        <v>1898</v>
      </c>
      <c r="C2167" t="b">
        <f t="shared" si="35"/>
        <v>0</v>
      </c>
    </row>
    <row r="2168" spans="1:3" hidden="1" x14ac:dyDescent="0.25">
      <c r="A2168" t="s">
        <v>3866</v>
      </c>
      <c r="B2168">
        <v>1446</v>
      </c>
      <c r="C2168" t="b">
        <f t="shared" si="35"/>
        <v>0</v>
      </c>
    </row>
    <row r="2169" spans="1:3" hidden="1" x14ac:dyDescent="0.25">
      <c r="A2169" t="s">
        <v>3242</v>
      </c>
      <c r="B2169">
        <v>776</v>
      </c>
      <c r="C2169" t="b">
        <f t="shared" si="35"/>
        <v>0</v>
      </c>
    </row>
    <row r="2170" spans="1:3" x14ac:dyDescent="0.25">
      <c r="A2170" t="s">
        <v>3242</v>
      </c>
      <c r="B2170">
        <v>2310</v>
      </c>
      <c r="C2170" t="b">
        <f t="shared" si="35"/>
        <v>1</v>
      </c>
    </row>
    <row r="2171" spans="1:3" hidden="1" x14ac:dyDescent="0.25">
      <c r="A2171" t="s">
        <v>3710</v>
      </c>
      <c r="B2171">
        <v>1278</v>
      </c>
      <c r="C2171" t="b">
        <f t="shared" si="35"/>
        <v>0</v>
      </c>
    </row>
    <row r="2172" spans="1:3" hidden="1" x14ac:dyDescent="0.25">
      <c r="A2172" t="s">
        <v>3708</v>
      </c>
      <c r="B2172">
        <v>1276</v>
      </c>
      <c r="C2172" t="b">
        <f t="shared" si="35"/>
        <v>0</v>
      </c>
    </row>
    <row r="2173" spans="1:3" x14ac:dyDescent="0.25">
      <c r="A2173" t="s">
        <v>3708</v>
      </c>
      <c r="B2173">
        <v>1823</v>
      </c>
      <c r="C2173" t="b">
        <f t="shared" si="35"/>
        <v>1</v>
      </c>
    </row>
    <row r="2174" spans="1:3" x14ac:dyDescent="0.25">
      <c r="A2174" t="s">
        <v>3708</v>
      </c>
      <c r="B2174">
        <v>1899</v>
      </c>
      <c r="C2174" t="b">
        <f t="shared" si="35"/>
        <v>1</v>
      </c>
    </row>
    <row r="2175" spans="1:3" x14ac:dyDescent="0.25">
      <c r="A2175" t="s">
        <v>3708</v>
      </c>
      <c r="B2175">
        <v>2149</v>
      </c>
      <c r="C2175" t="b">
        <f t="shared" si="35"/>
        <v>1</v>
      </c>
    </row>
    <row r="2176" spans="1:3" x14ac:dyDescent="0.25">
      <c r="A2176" t="s">
        <v>3708</v>
      </c>
      <c r="B2176">
        <v>2353</v>
      </c>
      <c r="C2176" t="b">
        <f t="shared" si="35"/>
        <v>1</v>
      </c>
    </row>
    <row r="2177" spans="1:3" hidden="1" x14ac:dyDescent="0.25">
      <c r="A2177" t="s">
        <v>3709</v>
      </c>
      <c r="B2177">
        <v>1277</v>
      </c>
      <c r="C2177" t="b">
        <f t="shared" si="35"/>
        <v>0</v>
      </c>
    </row>
    <row r="2178" spans="1:3" hidden="1" x14ac:dyDescent="0.25">
      <c r="A2178" t="s">
        <v>4510</v>
      </c>
      <c r="B2178">
        <v>2150</v>
      </c>
      <c r="C2178" t="b">
        <f t="shared" si="35"/>
        <v>0</v>
      </c>
    </row>
    <row r="2179" spans="1:3" hidden="1" x14ac:dyDescent="0.25">
      <c r="A2179" t="s">
        <v>4024</v>
      </c>
      <c r="B2179">
        <v>1618</v>
      </c>
      <c r="C2179" t="b">
        <f t="shared" si="35"/>
        <v>0</v>
      </c>
    </row>
    <row r="2180" spans="1:3" hidden="1" x14ac:dyDescent="0.25">
      <c r="A2180" t="s">
        <v>4025</v>
      </c>
      <c r="B2180">
        <v>1619</v>
      </c>
      <c r="C2180" t="b">
        <f t="shared" si="35"/>
        <v>0</v>
      </c>
    </row>
    <row r="2181" spans="1:3" x14ac:dyDescent="0.25">
      <c r="A2181" t="s">
        <v>4025</v>
      </c>
      <c r="B2181">
        <v>1700</v>
      </c>
      <c r="C2181" t="b">
        <f t="shared" si="35"/>
        <v>1</v>
      </c>
    </row>
    <row r="2182" spans="1:3" hidden="1" x14ac:dyDescent="0.25">
      <c r="A2182" t="s">
        <v>4026</v>
      </c>
      <c r="B2182">
        <v>1620</v>
      </c>
      <c r="C2182" t="b">
        <f t="shared" si="35"/>
        <v>0</v>
      </c>
    </row>
    <row r="2183" spans="1:3" hidden="1" x14ac:dyDescent="0.25">
      <c r="A2183" t="s">
        <v>3916</v>
      </c>
      <c r="B2183">
        <v>1501</v>
      </c>
      <c r="C2183" t="b">
        <f t="shared" si="35"/>
        <v>0</v>
      </c>
    </row>
    <row r="2184" spans="1:3" hidden="1" x14ac:dyDescent="0.25">
      <c r="A2184" t="s">
        <v>4736</v>
      </c>
      <c r="B2184">
        <v>2408</v>
      </c>
      <c r="C2184" t="b">
        <f t="shared" si="35"/>
        <v>0</v>
      </c>
    </row>
    <row r="2185" spans="1:3" hidden="1" x14ac:dyDescent="0.25">
      <c r="A2185" t="s">
        <v>4766</v>
      </c>
      <c r="B2185">
        <v>2440</v>
      </c>
      <c r="C2185" t="b">
        <f t="shared" si="35"/>
        <v>0</v>
      </c>
    </row>
    <row r="2186" spans="1:3" hidden="1" x14ac:dyDescent="0.25">
      <c r="A2186" t="s">
        <v>4687</v>
      </c>
      <c r="B2186">
        <v>2354</v>
      </c>
      <c r="C2186" t="b">
        <f t="shared" si="35"/>
        <v>0</v>
      </c>
    </row>
    <row r="2187" spans="1:3" hidden="1" x14ac:dyDescent="0.25">
      <c r="A2187" t="s">
        <v>5112</v>
      </c>
      <c r="B2187">
        <v>2815</v>
      </c>
      <c r="C2187" t="b">
        <f t="shared" si="35"/>
        <v>0</v>
      </c>
    </row>
    <row r="2188" spans="1:3" hidden="1" x14ac:dyDescent="0.25">
      <c r="A2188" t="s">
        <v>5113</v>
      </c>
      <c r="B2188">
        <v>2816</v>
      </c>
      <c r="C2188" t="b">
        <f t="shared" si="35"/>
        <v>0</v>
      </c>
    </row>
    <row r="2189" spans="1:3" hidden="1" x14ac:dyDescent="0.25">
      <c r="A2189" t="s">
        <v>4203</v>
      </c>
      <c r="B2189">
        <v>1824</v>
      </c>
      <c r="C2189" t="b">
        <f t="shared" si="35"/>
        <v>0</v>
      </c>
    </row>
    <row r="2190" spans="1:3" hidden="1" x14ac:dyDescent="0.25">
      <c r="A2190" t="s">
        <v>4120</v>
      </c>
      <c r="B2190">
        <v>1727</v>
      </c>
      <c r="C2190" t="b">
        <f t="shared" si="35"/>
        <v>0</v>
      </c>
    </row>
    <row r="2191" spans="1:3" hidden="1" x14ac:dyDescent="0.25">
      <c r="A2191" t="s">
        <v>5114</v>
      </c>
      <c r="B2191">
        <v>2817</v>
      </c>
      <c r="C2191" t="b">
        <f t="shared" si="35"/>
        <v>0</v>
      </c>
    </row>
    <row r="2192" spans="1:3" hidden="1" x14ac:dyDescent="0.25">
      <c r="A2192" t="s">
        <v>3660</v>
      </c>
      <c r="B2192">
        <v>1227</v>
      </c>
      <c r="C2192" t="b">
        <f t="shared" si="35"/>
        <v>0</v>
      </c>
    </row>
    <row r="2193" spans="1:3" hidden="1" x14ac:dyDescent="0.25">
      <c r="A2193" t="s">
        <v>4606</v>
      </c>
      <c r="B2193">
        <v>2263</v>
      </c>
      <c r="C2193" t="b">
        <f t="shared" si="35"/>
        <v>0</v>
      </c>
    </row>
    <row r="2194" spans="1:3" hidden="1" x14ac:dyDescent="0.25">
      <c r="A2194" t="s">
        <v>4444</v>
      </c>
      <c r="B2194">
        <v>2078</v>
      </c>
      <c r="C2194" t="b">
        <f t="shared" si="35"/>
        <v>0</v>
      </c>
    </row>
    <row r="2195" spans="1:3" hidden="1" x14ac:dyDescent="0.25">
      <c r="A2195" t="s">
        <v>4445</v>
      </c>
      <c r="B2195">
        <v>2079</v>
      </c>
      <c r="C2195" t="b">
        <f t="shared" si="35"/>
        <v>0</v>
      </c>
    </row>
    <row r="2196" spans="1:3" hidden="1" x14ac:dyDescent="0.25">
      <c r="A2196" t="s">
        <v>4446</v>
      </c>
      <c r="B2196">
        <v>2080</v>
      </c>
      <c r="C2196" t="b">
        <f t="shared" si="35"/>
        <v>0</v>
      </c>
    </row>
    <row r="2197" spans="1:3" hidden="1" x14ac:dyDescent="0.25">
      <c r="A2197" t="s">
        <v>4447</v>
      </c>
      <c r="B2197">
        <v>2081</v>
      </c>
      <c r="C2197" t="b">
        <f t="shared" si="35"/>
        <v>0</v>
      </c>
    </row>
    <row r="2198" spans="1:3" hidden="1" x14ac:dyDescent="0.25">
      <c r="A2198" t="s">
        <v>4448</v>
      </c>
      <c r="B2198">
        <v>2082</v>
      </c>
      <c r="C2198" t="b">
        <f t="shared" si="35"/>
        <v>0</v>
      </c>
    </row>
    <row r="2199" spans="1:3" hidden="1" x14ac:dyDescent="0.25">
      <c r="A2199" t="s">
        <v>2522</v>
      </c>
      <c r="B2199">
        <v>26</v>
      </c>
      <c r="C2199" t="b">
        <f t="shared" si="35"/>
        <v>0</v>
      </c>
    </row>
    <row r="2200" spans="1:3" hidden="1" x14ac:dyDescent="0.25">
      <c r="A2200" t="s">
        <v>3794</v>
      </c>
      <c r="B2200">
        <v>1367</v>
      </c>
      <c r="C2200" t="b">
        <f t="shared" si="35"/>
        <v>0</v>
      </c>
    </row>
    <row r="2201" spans="1:3" hidden="1" x14ac:dyDescent="0.25">
      <c r="A2201" t="s">
        <v>3795</v>
      </c>
      <c r="B2201">
        <v>1368</v>
      </c>
      <c r="C2201" t="b">
        <f t="shared" si="35"/>
        <v>0</v>
      </c>
    </row>
    <row r="2202" spans="1:3" hidden="1" x14ac:dyDescent="0.25">
      <c r="A2202" t="s">
        <v>4526</v>
      </c>
      <c r="B2202">
        <v>2170</v>
      </c>
      <c r="C2202" t="b">
        <f t="shared" si="35"/>
        <v>0</v>
      </c>
    </row>
    <row r="2203" spans="1:3" hidden="1" x14ac:dyDescent="0.25">
      <c r="A2203" t="s">
        <v>5115</v>
      </c>
      <c r="B2203">
        <v>2818</v>
      </c>
      <c r="C2203" t="b">
        <f t="shared" si="35"/>
        <v>0</v>
      </c>
    </row>
    <row r="2204" spans="1:3" hidden="1" x14ac:dyDescent="0.25">
      <c r="A2204" t="s">
        <v>5116</v>
      </c>
      <c r="B2204">
        <v>2819</v>
      </c>
      <c r="C2204" t="b">
        <f t="shared" si="35"/>
        <v>0</v>
      </c>
    </row>
    <row r="2205" spans="1:3" hidden="1" x14ac:dyDescent="0.25">
      <c r="A2205" t="s">
        <v>4634</v>
      </c>
      <c r="B2205">
        <v>2293</v>
      </c>
      <c r="C2205" t="b">
        <f t="shared" si="35"/>
        <v>0</v>
      </c>
    </row>
    <row r="2206" spans="1:3" hidden="1" x14ac:dyDescent="0.25">
      <c r="A2206" t="s">
        <v>4635</v>
      </c>
      <c r="B2206">
        <v>2294</v>
      </c>
      <c r="C2206" t="b">
        <f t="shared" si="35"/>
        <v>0</v>
      </c>
    </row>
    <row r="2207" spans="1:3" hidden="1" x14ac:dyDescent="0.25">
      <c r="A2207" t="s">
        <v>4636</v>
      </c>
      <c r="B2207">
        <v>2295</v>
      </c>
      <c r="C2207" t="b">
        <f t="shared" si="35"/>
        <v>0</v>
      </c>
    </row>
    <row r="2208" spans="1:3" hidden="1" x14ac:dyDescent="0.25">
      <c r="A2208" t="s">
        <v>4637</v>
      </c>
      <c r="B2208">
        <v>2296</v>
      </c>
      <c r="C2208" t="b">
        <f t="shared" si="35"/>
        <v>0</v>
      </c>
    </row>
    <row r="2209" spans="1:3" hidden="1" x14ac:dyDescent="0.25">
      <c r="A2209" t="s">
        <v>4633</v>
      </c>
      <c r="B2209">
        <v>2292</v>
      </c>
      <c r="C2209" t="b">
        <f t="shared" si="35"/>
        <v>0</v>
      </c>
    </row>
    <row r="2210" spans="1:3" hidden="1" x14ac:dyDescent="0.25">
      <c r="A2210" t="s">
        <v>3621</v>
      </c>
      <c r="B2210">
        <v>1186</v>
      </c>
      <c r="C2210" t="b">
        <f t="shared" si="35"/>
        <v>0</v>
      </c>
    </row>
    <row r="2211" spans="1:3" hidden="1" x14ac:dyDescent="0.25">
      <c r="A2211" t="s">
        <v>3917</v>
      </c>
      <c r="B2211">
        <v>1502</v>
      </c>
      <c r="C2211" t="b">
        <f t="shared" si="35"/>
        <v>0</v>
      </c>
    </row>
    <row r="2212" spans="1:3" hidden="1" x14ac:dyDescent="0.25">
      <c r="A2212" t="s">
        <v>3918</v>
      </c>
      <c r="B2212">
        <v>1503</v>
      </c>
      <c r="C2212" t="b">
        <f t="shared" si="35"/>
        <v>0</v>
      </c>
    </row>
    <row r="2213" spans="1:3" hidden="1" x14ac:dyDescent="0.25">
      <c r="A2213" t="s">
        <v>4028</v>
      </c>
      <c r="B2213">
        <v>1622</v>
      </c>
      <c r="C2213" t="b">
        <f t="shared" si="35"/>
        <v>0</v>
      </c>
    </row>
    <row r="2214" spans="1:3" hidden="1" x14ac:dyDescent="0.25">
      <c r="A2214" t="s">
        <v>4027</v>
      </c>
      <c r="B2214">
        <v>1621</v>
      </c>
      <c r="C2214" t="b">
        <f t="shared" si="35"/>
        <v>0</v>
      </c>
    </row>
    <row r="2215" spans="1:3" hidden="1" x14ac:dyDescent="0.25">
      <c r="A2215" t="s">
        <v>4029</v>
      </c>
      <c r="B2215">
        <v>1623</v>
      </c>
      <c r="C2215" t="b">
        <f t="shared" si="35"/>
        <v>0</v>
      </c>
    </row>
    <row r="2216" spans="1:3" hidden="1" x14ac:dyDescent="0.25">
      <c r="A2216" t="s">
        <v>5117</v>
      </c>
      <c r="B2216">
        <v>2820</v>
      </c>
      <c r="C2216" t="b">
        <f t="shared" si="35"/>
        <v>0</v>
      </c>
    </row>
    <row r="2217" spans="1:3" hidden="1" x14ac:dyDescent="0.25">
      <c r="A2217" t="s">
        <v>5118</v>
      </c>
      <c r="B2217">
        <v>2821</v>
      </c>
      <c r="C2217" t="b">
        <f t="shared" si="35"/>
        <v>0</v>
      </c>
    </row>
    <row r="2218" spans="1:3" hidden="1" x14ac:dyDescent="0.25">
      <c r="A2218" t="s">
        <v>3548</v>
      </c>
      <c r="B2218">
        <v>1105</v>
      </c>
      <c r="C2218" t="b">
        <f t="shared" si="35"/>
        <v>0</v>
      </c>
    </row>
    <row r="2219" spans="1:3" hidden="1" x14ac:dyDescent="0.25">
      <c r="A2219" t="s">
        <v>4324</v>
      </c>
      <c r="B2219">
        <v>1952</v>
      </c>
      <c r="C2219" t="b">
        <f t="shared" si="35"/>
        <v>0</v>
      </c>
    </row>
    <row r="2220" spans="1:3" hidden="1" x14ac:dyDescent="0.25">
      <c r="A2220" t="s">
        <v>4653</v>
      </c>
      <c r="B2220">
        <v>2314</v>
      </c>
      <c r="C2220" t="b">
        <f t="shared" si="35"/>
        <v>0</v>
      </c>
    </row>
    <row r="2221" spans="1:3" hidden="1" x14ac:dyDescent="0.25">
      <c r="A2221" t="s">
        <v>4650</v>
      </c>
      <c r="B2221">
        <v>2311</v>
      </c>
      <c r="C2221" t="b">
        <f t="shared" si="35"/>
        <v>0</v>
      </c>
    </row>
    <row r="2222" spans="1:3" hidden="1" x14ac:dyDescent="0.25">
      <c r="A2222" t="s">
        <v>4654</v>
      </c>
      <c r="B2222">
        <v>2315</v>
      </c>
      <c r="C2222" t="b">
        <f t="shared" si="35"/>
        <v>0</v>
      </c>
    </row>
    <row r="2223" spans="1:3" hidden="1" x14ac:dyDescent="0.25">
      <c r="A2223" t="s">
        <v>4655</v>
      </c>
      <c r="B2223">
        <v>2316</v>
      </c>
      <c r="C2223" t="b">
        <f t="shared" si="35"/>
        <v>0</v>
      </c>
    </row>
    <row r="2224" spans="1:3" hidden="1" x14ac:dyDescent="0.25">
      <c r="A2224" t="s">
        <v>4651</v>
      </c>
      <c r="B2224">
        <v>2312</v>
      </c>
      <c r="C2224" t="b">
        <f t="shared" si="35"/>
        <v>0</v>
      </c>
    </row>
    <row r="2225" spans="1:3" hidden="1" x14ac:dyDescent="0.25">
      <c r="A2225" t="s">
        <v>4652</v>
      </c>
      <c r="B2225">
        <v>2313</v>
      </c>
      <c r="C2225" t="b">
        <f t="shared" si="35"/>
        <v>0</v>
      </c>
    </row>
    <row r="2226" spans="1:3" hidden="1" x14ac:dyDescent="0.25">
      <c r="A2226" t="s">
        <v>4511</v>
      </c>
      <c r="B2226">
        <v>2151</v>
      </c>
      <c r="C2226" t="b">
        <f t="shared" si="35"/>
        <v>0</v>
      </c>
    </row>
    <row r="2227" spans="1:3" hidden="1" x14ac:dyDescent="0.25">
      <c r="A2227" t="s">
        <v>4512</v>
      </c>
      <c r="B2227">
        <v>2152</v>
      </c>
      <c r="C2227" t="b">
        <f t="shared" ref="C2227:C2290" si="36">A2227=A2226</f>
        <v>0</v>
      </c>
    </row>
    <row r="2228" spans="1:3" hidden="1" x14ac:dyDescent="0.25">
      <c r="A2228" t="s">
        <v>4544</v>
      </c>
      <c r="B2228">
        <v>2192</v>
      </c>
      <c r="C2228" t="b">
        <f t="shared" si="36"/>
        <v>0</v>
      </c>
    </row>
    <row r="2229" spans="1:3" hidden="1" x14ac:dyDescent="0.25">
      <c r="A2229" t="s">
        <v>4449</v>
      </c>
      <c r="B2229">
        <v>2083</v>
      </c>
      <c r="C2229" t="b">
        <f t="shared" si="36"/>
        <v>0</v>
      </c>
    </row>
    <row r="2230" spans="1:3" hidden="1" x14ac:dyDescent="0.25">
      <c r="A2230" t="s">
        <v>3622</v>
      </c>
      <c r="B2230">
        <v>1187</v>
      </c>
      <c r="C2230" t="b">
        <f t="shared" si="36"/>
        <v>0</v>
      </c>
    </row>
    <row r="2231" spans="1:3" hidden="1" x14ac:dyDescent="0.25">
      <c r="A2231" t="s">
        <v>4030</v>
      </c>
      <c r="B2231">
        <v>1624</v>
      </c>
      <c r="C2231" t="b">
        <f t="shared" si="36"/>
        <v>0</v>
      </c>
    </row>
    <row r="2232" spans="1:3" hidden="1" x14ac:dyDescent="0.25">
      <c r="A2232" t="s">
        <v>4031</v>
      </c>
      <c r="B2232">
        <v>1625</v>
      </c>
      <c r="C2232" t="b">
        <f t="shared" si="36"/>
        <v>0</v>
      </c>
    </row>
    <row r="2233" spans="1:3" hidden="1" x14ac:dyDescent="0.25">
      <c r="A2233" t="s">
        <v>3711</v>
      </c>
      <c r="B2233">
        <v>1279</v>
      </c>
      <c r="C2233" t="b">
        <f t="shared" si="36"/>
        <v>0</v>
      </c>
    </row>
    <row r="2234" spans="1:3" hidden="1" x14ac:dyDescent="0.25">
      <c r="A2234" t="s">
        <v>3661</v>
      </c>
      <c r="B2234">
        <v>1228</v>
      </c>
      <c r="C2234" t="b">
        <f t="shared" si="36"/>
        <v>0</v>
      </c>
    </row>
    <row r="2235" spans="1:3" hidden="1" x14ac:dyDescent="0.25">
      <c r="A2235" t="s">
        <v>3150</v>
      </c>
      <c r="B2235">
        <v>682</v>
      </c>
      <c r="C2235" t="b">
        <f t="shared" si="36"/>
        <v>0</v>
      </c>
    </row>
    <row r="2236" spans="1:3" hidden="1" x14ac:dyDescent="0.25">
      <c r="A2236" t="s">
        <v>4450</v>
      </c>
      <c r="B2236">
        <v>2084</v>
      </c>
      <c r="C2236" t="b">
        <f t="shared" si="36"/>
        <v>0</v>
      </c>
    </row>
    <row r="2237" spans="1:3" hidden="1" x14ac:dyDescent="0.25">
      <c r="A2237" t="s">
        <v>4451</v>
      </c>
      <c r="B2237">
        <v>2085</v>
      </c>
      <c r="C2237" t="b">
        <f t="shared" si="36"/>
        <v>0</v>
      </c>
    </row>
    <row r="2238" spans="1:3" hidden="1" x14ac:dyDescent="0.25">
      <c r="A2238" t="s">
        <v>2803</v>
      </c>
      <c r="B2238">
        <v>315</v>
      </c>
      <c r="C2238" t="b">
        <f t="shared" si="36"/>
        <v>0</v>
      </c>
    </row>
    <row r="2239" spans="1:3" hidden="1" x14ac:dyDescent="0.25">
      <c r="A2239" t="s">
        <v>3452</v>
      </c>
      <c r="B2239">
        <v>1004</v>
      </c>
      <c r="C2239" t="b">
        <f t="shared" si="36"/>
        <v>0</v>
      </c>
    </row>
    <row r="2240" spans="1:3" hidden="1" x14ac:dyDescent="0.25">
      <c r="A2240" t="s">
        <v>4857</v>
      </c>
      <c r="B2240">
        <v>2544</v>
      </c>
      <c r="C2240" t="b">
        <f t="shared" si="36"/>
        <v>0</v>
      </c>
    </row>
    <row r="2241" spans="1:3" hidden="1" x14ac:dyDescent="0.25">
      <c r="A2241" t="s">
        <v>3867</v>
      </c>
      <c r="B2241">
        <v>1447</v>
      </c>
      <c r="C2241" t="b">
        <f t="shared" si="36"/>
        <v>0</v>
      </c>
    </row>
    <row r="2242" spans="1:3" hidden="1" x14ac:dyDescent="0.25">
      <c r="A2242" t="s">
        <v>2680</v>
      </c>
      <c r="B2242">
        <v>190</v>
      </c>
      <c r="C2242" t="b">
        <f t="shared" si="36"/>
        <v>0</v>
      </c>
    </row>
    <row r="2243" spans="1:3" hidden="1" x14ac:dyDescent="0.25">
      <c r="A2243" t="s">
        <v>3267</v>
      </c>
      <c r="B2243">
        <v>802</v>
      </c>
      <c r="C2243" t="b">
        <f t="shared" si="36"/>
        <v>0</v>
      </c>
    </row>
    <row r="2244" spans="1:3" hidden="1" x14ac:dyDescent="0.25">
      <c r="A2244" t="s">
        <v>4688</v>
      </c>
      <c r="B2244">
        <v>2355</v>
      </c>
      <c r="C2244" t="b">
        <f t="shared" si="36"/>
        <v>0</v>
      </c>
    </row>
    <row r="2245" spans="1:3" hidden="1" x14ac:dyDescent="0.25">
      <c r="A2245" t="s">
        <v>4690</v>
      </c>
      <c r="B2245">
        <v>2357</v>
      </c>
      <c r="C2245" t="b">
        <f t="shared" si="36"/>
        <v>0</v>
      </c>
    </row>
    <row r="2246" spans="1:3" hidden="1" x14ac:dyDescent="0.25">
      <c r="A2246" t="s">
        <v>4691</v>
      </c>
      <c r="B2246">
        <v>2358</v>
      </c>
      <c r="C2246" t="b">
        <f t="shared" si="36"/>
        <v>0</v>
      </c>
    </row>
    <row r="2247" spans="1:3" hidden="1" x14ac:dyDescent="0.25">
      <c r="A2247" t="s">
        <v>4692</v>
      </c>
      <c r="B2247">
        <v>2359</v>
      </c>
      <c r="C2247" t="b">
        <f t="shared" si="36"/>
        <v>0</v>
      </c>
    </row>
    <row r="2248" spans="1:3" hidden="1" x14ac:dyDescent="0.25">
      <c r="A2248" t="s">
        <v>4693</v>
      </c>
      <c r="B2248">
        <v>2360</v>
      </c>
      <c r="C2248" t="b">
        <f t="shared" si="36"/>
        <v>0</v>
      </c>
    </row>
    <row r="2249" spans="1:3" hidden="1" x14ac:dyDescent="0.25">
      <c r="A2249" t="s">
        <v>4689</v>
      </c>
      <c r="B2249">
        <v>2356</v>
      </c>
      <c r="C2249" t="b">
        <f t="shared" si="36"/>
        <v>0</v>
      </c>
    </row>
    <row r="2250" spans="1:3" hidden="1" x14ac:dyDescent="0.25">
      <c r="A2250" t="s">
        <v>4694</v>
      </c>
      <c r="B2250">
        <v>2361</v>
      </c>
      <c r="C2250" t="b">
        <f t="shared" si="36"/>
        <v>0</v>
      </c>
    </row>
    <row r="2251" spans="1:3" hidden="1" x14ac:dyDescent="0.25">
      <c r="A2251" t="s">
        <v>4695</v>
      </c>
      <c r="B2251">
        <v>2362</v>
      </c>
      <c r="C2251" t="b">
        <f t="shared" si="36"/>
        <v>0</v>
      </c>
    </row>
    <row r="2252" spans="1:3" hidden="1" x14ac:dyDescent="0.25">
      <c r="A2252" t="s">
        <v>4696</v>
      </c>
      <c r="B2252">
        <v>2363</v>
      </c>
      <c r="C2252" t="b">
        <f t="shared" si="36"/>
        <v>0</v>
      </c>
    </row>
    <row r="2253" spans="1:3" hidden="1" x14ac:dyDescent="0.25">
      <c r="A2253" t="s">
        <v>4697</v>
      </c>
      <c r="B2253">
        <v>2364</v>
      </c>
      <c r="C2253" t="b">
        <f t="shared" si="36"/>
        <v>0</v>
      </c>
    </row>
    <row r="2254" spans="1:3" hidden="1" x14ac:dyDescent="0.25">
      <c r="A2254" t="s">
        <v>4698</v>
      </c>
      <c r="B2254">
        <v>2365</v>
      </c>
      <c r="C2254" t="b">
        <f t="shared" si="36"/>
        <v>0</v>
      </c>
    </row>
    <row r="2255" spans="1:3" hidden="1" x14ac:dyDescent="0.25">
      <c r="A2255" t="s">
        <v>3119</v>
      </c>
      <c r="B2255">
        <v>650</v>
      </c>
      <c r="C2255" t="b">
        <f t="shared" si="36"/>
        <v>0</v>
      </c>
    </row>
    <row r="2256" spans="1:3" hidden="1" x14ac:dyDescent="0.25">
      <c r="A2256" t="s">
        <v>2566</v>
      </c>
      <c r="B2256">
        <v>71</v>
      </c>
      <c r="C2256" t="b">
        <f t="shared" si="36"/>
        <v>0</v>
      </c>
    </row>
    <row r="2257" spans="1:3" x14ac:dyDescent="0.25">
      <c r="A2257" t="s">
        <v>2566</v>
      </c>
      <c r="B2257">
        <v>2694</v>
      </c>
      <c r="C2257" t="b">
        <f t="shared" si="36"/>
        <v>1</v>
      </c>
    </row>
    <row r="2258" spans="1:3" hidden="1" x14ac:dyDescent="0.25">
      <c r="A2258" t="s">
        <v>4452</v>
      </c>
      <c r="B2258">
        <v>2086</v>
      </c>
      <c r="C2258" t="b">
        <f t="shared" si="36"/>
        <v>0</v>
      </c>
    </row>
    <row r="2259" spans="1:3" hidden="1" x14ac:dyDescent="0.25">
      <c r="A2259" t="s">
        <v>4994</v>
      </c>
      <c r="B2259">
        <v>2695</v>
      </c>
      <c r="C2259" t="b">
        <f t="shared" si="36"/>
        <v>0</v>
      </c>
    </row>
    <row r="2260" spans="1:3" hidden="1" x14ac:dyDescent="0.25">
      <c r="A2260" t="s">
        <v>4996</v>
      </c>
      <c r="B2260">
        <v>2697</v>
      </c>
      <c r="C2260" t="b">
        <f t="shared" si="36"/>
        <v>0</v>
      </c>
    </row>
    <row r="2261" spans="1:3" hidden="1" x14ac:dyDescent="0.25">
      <c r="A2261" t="s">
        <v>4997</v>
      </c>
      <c r="B2261">
        <v>2698</v>
      </c>
      <c r="C2261" t="b">
        <f t="shared" si="36"/>
        <v>0</v>
      </c>
    </row>
    <row r="2262" spans="1:3" hidden="1" x14ac:dyDescent="0.25">
      <c r="A2262" t="s">
        <v>4995</v>
      </c>
      <c r="B2262">
        <v>2696</v>
      </c>
      <c r="C2262" t="b">
        <f t="shared" si="36"/>
        <v>0</v>
      </c>
    </row>
    <row r="2263" spans="1:3" hidden="1" x14ac:dyDescent="0.25">
      <c r="A2263" t="s">
        <v>2584</v>
      </c>
      <c r="B2263">
        <v>90</v>
      </c>
      <c r="C2263" t="b">
        <f t="shared" si="36"/>
        <v>0</v>
      </c>
    </row>
    <row r="2264" spans="1:3" hidden="1" x14ac:dyDescent="0.25">
      <c r="A2264" t="s">
        <v>3453</v>
      </c>
      <c r="B2264">
        <v>1005</v>
      </c>
      <c r="C2264" t="b">
        <f t="shared" si="36"/>
        <v>0</v>
      </c>
    </row>
    <row r="2265" spans="1:3" hidden="1" x14ac:dyDescent="0.25">
      <c r="A2265" t="s">
        <v>3796</v>
      </c>
      <c r="B2265">
        <v>1369</v>
      </c>
      <c r="C2265" t="b">
        <f t="shared" si="36"/>
        <v>0</v>
      </c>
    </row>
    <row r="2266" spans="1:3" hidden="1" x14ac:dyDescent="0.25">
      <c r="A2266" t="s">
        <v>4100</v>
      </c>
      <c r="B2266">
        <v>1701</v>
      </c>
      <c r="C2266" t="b">
        <f t="shared" si="36"/>
        <v>0</v>
      </c>
    </row>
    <row r="2267" spans="1:3" hidden="1" x14ac:dyDescent="0.25">
      <c r="A2267" t="s">
        <v>3662</v>
      </c>
      <c r="B2267">
        <v>1229</v>
      </c>
      <c r="C2267" t="b">
        <f t="shared" si="36"/>
        <v>0</v>
      </c>
    </row>
    <row r="2268" spans="1:3" hidden="1" x14ac:dyDescent="0.25">
      <c r="A2268" t="s">
        <v>4810</v>
      </c>
      <c r="B2268">
        <v>2491</v>
      </c>
      <c r="C2268" t="b">
        <f t="shared" si="36"/>
        <v>0</v>
      </c>
    </row>
    <row r="2269" spans="1:3" hidden="1" x14ac:dyDescent="0.25">
      <c r="A2269" t="s">
        <v>4811</v>
      </c>
      <c r="B2269">
        <v>2492</v>
      </c>
      <c r="C2269" t="b">
        <f t="shared" si="36"/>
        <v>0</v>
      </c>
    </row>
    <row r="2270" spans="1:3" hidden="1" x14ac:dyDescent="0.25">
      <c r="A2270" t="s">
        <v>4812</v>
      </c>
      <c r="B2270">
        <v>2493</v>
      </c>
      <c r="C2270" t="b">
        <f t="shared" si="36"/>
        <v>0</v>
      </c>
    </row>
    <row r="2271" spans="1:3" hidden="1" x14ac:dyDescent="0.25">
      <c r="A2271" t="s">
        <v>4184</v>
      </c>
      <c r="B2271">
        <v>1802</v>
      </c>
      <c r="C2271" t="b">
        <f t="shared" si="36"/>
        <v>0</v>
      </c>
    </row>
    <row r="2272" spans="1:3" hidden="1" x14ac:dyDescent="0.25">
      <c r="A2272" t="s">
        <v>4814</v>
      </c>
      <c r="B2272">
        <v>2495</v>
      </c>
      <c r="C2272" t="b">
        <f t="shared" si="36"/>
        <v>0</v>
      </c>
    </row>
    <row r="2273" spans="1:3" hidden="1" x14ac:dyDescent="0.25">
      <c r="A2273" t="s">
        <v>4815</v>
      </c>
      <c r="B2273">
        <v>2496</v>
      </c>
      <c r="C2273" t="b">
        <f t="shared" si="36"/>
        <v>0</v>
      </c>
    </row>
    <row r="2274" spans="1:3" hidden="1" x14ac:dyDescent="0.25">
      <c r="A2274" t="s">
        <v>4813</v>
      </c>
      <c r="B2274">
        <v>2494</v>
      </c>
      <c r="C2274" t="b">
        <f t="shared" si="36"/>
        <v>0</v>
      </c>
    </row>
    <row r="2275" spans="1:3" hidden="1" x14ac:dyDescent="0.25">
      <c r="A2275" t="s">
        <v>4816</v>
      </c>
      <c r="B2275">
        <v>2497</v>
      </c>
      <c r="C2275" t="b">
        <f t="shared" si="36"/>
        <v>0</v>
      </c>
    </row>
    <row r="2276" spans="1:3" hidden="1" x14ac:dyDescent="0.25">
      <c r="A2276" t="s">
        <v>4817</v>
      </c>
      <c r="B2276">
        <v>2498</v>
      </c>
      <c r="C2276" t="b">
        <f t="shared" si="36"/>
        <v>0</v>
      </c>
    </row>
    <row r="2277" spans="1:3" hidden="1" x14ac:dyDescent="0.25">
      <c r="A2277" t="s">
        <v>3550</v>
      </c>
      <c r="B2277">
        <v>1107</v>
      </c>
      <c r="C2277" t="b">
        <f t="shared" si="36"/>
        <v>0</v>
      </c>
    </row>
    <row r="2278" spans="1:3" hidden="1" x14ac:dyDescent="0.25">
      <c r="A2278" t="s">
        <v>3549</v>
      </c>
      <c r="B2278">
        <v>1106</v>
      </c>
      <c r="C2278" t="b">
        <f t="shared" si="36"/>
        <v>0</v>
      </c>
    </row>
    <row r="2279" spans="1:3" hidden="1" x14ac:dyDescent="0.25">
      <c r="A2279" t="s">
        <v>3551</v>
      </c>
      <c r="B2279">
        <v>1108</v>
      </c>
      <c r="C2279" t="b">
        <f t="shared" si="36"/>
        <v>0</v>
      </c>
    </row>
    <row r="2280" spans="1:3" hidden="1" x14ac:dyDescent="0.25">
      <c r="A2280" t="s">
        <v>2567</v>
      </c>
      <c r="B2280">
        <v>72</v>
      </c>
      <c r="C2280" t="b">
        <f t="shared" si="36"/>
        <v>0</v>
      </c>
    </row>
    <row r="2281" spans="1:3" hidden="1" x14ac:dyDescent="0.25">
      <c r="A2281" t="s">
        <v>2568</v>
      </c>
      <c r="B2281">
        <v>73</v>
      </c>
      <c r="C2281" t="b">
        <f t="shared" si="36"/>
        <v>0</v>
      </c>
    </row>
    <row r="2282" spans="1:3" hidden="1" x14ac:dyDescent="0.25">
      <c r="A2282" t="s">
        <v>2569</v>
      </c>
      <c r="B2282">
        <v>74</v>
      </c>
      <c r="C2282" t="b">
        <f t="shared" si="36"/>
        <v>0</v>
      </c>
    </row>
    <row r="2283" spans="1:3" hidden="1" x14ac:dyDescent="0.25">
      <c r="A2283" t="s">
        <v>2570</v>
      </c>
      <c r="B2283">
        <v>75</v>
      </c>
      <c r="C2283" t="b">
        <f t="shared" si="36"/>
        <v>0</v>
      </c>
    </row>
    <row r="2284" spans="1:3" hidden="1" x14ac:dyDescent="0.25">
      <c r="A2284" t="s">
        <v>2997</v>
      </c>
      <c r="B2284">
        <v>519</v>
      </c>
      <c r="C2284" t="b">
        <f t="shared" si="36"/>
        <v>0</v>
      </c>
    </row>
    <row r="2285" spans="1:3" hidden="1" x14ac:dyDescent="0.25">
      <c r="A2285" t="s">
        <v>2998</v>
      </c>
      <c r="B2285">
        <v>520</v>
      </c>
      <c r="C2285" t="b">
        <f t="shared" si="36"/>
        <v>0</v>
      </c>
    </row>
    <row r="2286" spans="1:3" hidden="1" x14ac:dyDescent="0.25">
      <c r="A2286" t="s">
        <v>2999</v>
      </c>
      <c r="B2286">
        <v>521</v>
      </c>
      <c r="C2286" t="b">
        <f t="shared" si="36"/>
        <v>0</v>
      </c>
    </row>
    <row r="2287" spans="1:3" hidden="1" x14ac:dyDescent="0.25">
      <c r="A2287" t="s">
        <v>5119</v>
      </c>
      <c r="B2287">
        <v>2822</v>
      </c>
      <c r="C2287" t="b">
        <f t="shared" si="36"/>
        <v>0</v>
      </c>
    </row>
    <row r="2288" spans="1:3" hidden="1" x14ac:dyDescent="0.25">
      <c r="A2288" t="s">
        <v>4830</v>
      </c>
      <c r="B2288">
        <v>2514</v>
      </c>
      <c r="C2288" t="b">
        <f t="shared" si="36"/>
        <v>0</v>
      </c>
    </row>
    <row r="2289" spans="1:3" hidden="1" x14ac:dyDescent="0.25">
      <c r="A2289" t="s">
        <v>4831</v>
      </c>
      <c r="B2289">
        <v>2515</v>
      </c>
      <c r="C2289" t="b">
        <f t="shared" si="36"/>
        <v>0</v>
      </c>
    </row>
    <row r="2290" spans="1:3" hidden="1" x14ac:dyDescent="0.25">
      <c r="A2290" t="s">
        <v>4832</v>
      </c>
      <c r="B2290">
        <v>2516</v>
      </c>
      <c r="C2290" t="b">
        <f t="shared" si="36"/>
        <v>0</v>
      </c>
    </row>
    <row r="2291" spans="1:3" hidden="1" x14ac:dyDescent="0.25">
      <c r="A2291" t="s">
        <v>4833</v>
      </c>
      <c r="B2291">
        <v>2517</v>
      </c>
      <c r="C2291" t="b">
        <f t="shared" ref="C2291:C2354" si="37">A2291=A2290</f>
        <v>0</v>
      </c>
    </row>
    <row r="2292" spans="1:3" hidden="1" x14ac:dyDescent="0.25">
      <c r="A2292" t="s">
        <v>4834</v>
      </c>
      <c r="B2292">
        <v>2518</v>
      </c>
      <c r="C2292" t="b">
        <f t="shared" si="37"/>
        <v>0</v>
      </c>
    </row>
    <row r="2293" spans="1:3" hidden="1" x14ac:dyDescent="0.25">
      <c r="A2293" t="s">
        <v>3411</v>
      </c>
      <c r="B2293">
        <v>957</v>
      </c>
      <c r="C2293" t="b">
        <f t="shared" si="37"/>
        <v>0</v>
      </c>
    </row>
    <row r="2294" spans="1:3" x14ac:dyDescent="0.25">
      <c r="A2294" t="s">
        <v>3411</v>
      </c>
      <c r="B2294">
        <v>1280</v>
      </c>
      <c r="C2294" t="b">
        <f t="shared" si="37"/>
        <v>1</v>
      </c>
    </row>
    <row r="2295" spans="1:3" hidden="1" x14ac:dyDescent="0.25">
      <c r="A2295" t="s">
        <v>3712</v>
      </c>
      <c r="B2295">
        <v>1281</v>
      </c>
      <c r="C2295" t="b">
        <f t="shared" si="37"/>
        <v>0</v>
      </c>
    </row>
    <row r="2296" spans="1:3" hidden="1" x14ac:dyDescent="0.25">
      <c r="A2296" t="s">
        <v>4998</v>
      </c>
      <c r="B2296">
        <v>2699</v>
      </c>
      <c r="C2296" t="b">
        <f t="shared" si="37"/>
        <v>0</v>
      </c>
    </row>
    <row r="2297" spans="1:3" hidden="1" x14ac:dyDescent="0.25">
      <c r="A2297" t="s">
        <v>4858</v>
      </c>
      <c r="B2297">
        <v>2545</v>
      </c>
      <c r="C2297" t="b">
        <f t="shared" si="37"/>
        <v>0</v>
      </c>
    </row>
    <row r="2298" spans="1:3" hidden="1" x14ac:dyDescent="0.25">
      <c r="A2298" t="s">
        <v>4121</v>
      </c>
      <c r="B2298">
        <v>1728</v>
      </c>
      <c r="C2298" t="b">
        <f t="shared" si="37"/>
        <v>0</v>
      </c>
    </row>
    <row r="2299" spans="1:3" hidden="1" x14ac:dyDescent="0.25">
      <c r="A2299" t="s">
        <v>2804</v>
      </c>
      <c r="B2299">
        <v>316</v>
      </c>
      <c r="C2299" t="b">
        <f t="shared" si="37"/>
        <v>0</v>
      </c>
    </row>
    <row r="2300" spans="1:3" hidden="1" x14ac:dyDescent="0.25">
      <c r="A2300" t="s">
        <v>3552</v>
      </c>
      <c r="B2300">
        <v>1109</v>
      </c>
      <c r="C2300" t="b">
        <f t="shared" si="37"/>
        <v>0</v>
      </c>
    </row>
    <row r="2301" spans="1:3" hidden="1" x14ac:dyDescent="0.25">
      <c r="A2301" t="s">
        <v>3456</v>
      </c>
      <c r="B2301">
        <v>1008</v>
      </c>
      <c r="C2301" t="b">
        <f t="shared" si="37"/>
        <v>0</v>
      </c>
    </row>
    <row r="2302" spans="1:3" hidden="1" x14ac:dyDescent="0.25">
      <c r="A2302" t="s">
        <v>3457</v>
      </c>
      <c r="B2302">
        <v>1009</v>
      </c>
      <c r="C2302" t="b">
        <f t="shared" si="37"/>
        <v>0</v>
      </c>
    </row>
    <row r="2303" spans="1:3" hidden="1" x14ac:dyDescent="0.25">
      <c r="A2303" t="s">
        <v>3454</v>
      </c>
      <c r="B2303">
        <v>1006</v>
      </c>
      <c r="C2303" t="b">
        <f t="shared" si="37"/>
        <v>0</v>
      </c>
    </row>
    <row r="2304" spans="1:3" hidden="1" x14ac:dyDescent="0.25">
      <c r="A2304" t="s">
        <v>3455</v>
      </c>
      <c r="B2304">
        <v>1007</v>
      </c>
      <c r="C2304" t="b">
        <f t="shared" si="37"/>
        <v>0</v>
      </c>
    </row>
    <row r="2305" spans="1:3" hidden="1" x14ac:dyDescent="0.25">
      <c r="A2305" t="s">
        <v>3268</v>
      </c>
      <c r="B2305">
        <v>803</v>
      </c>
      <c r="C2305" t="b">
        <f t="shared" si="37"/>
        <v>0</v>
      </c>
    </row>
    <row r="2306" spans="1:3" hidden="1" x14ac:dyDescent="0.25">
      <c r="A2306" t="s">
        <v>3287</v>
      </c>
      <c r="B2306">
        <v>823</v>
      </c>
      <c r="C2306" t="b">
        <f t="shared" si="37"/>
        <v>0</v>
      </c>
    </row>
    <row r="2307" spans="1:3" hidden="1" x14ac:dyDescent="0.25">
      <c r="A2307" t="s">
        <v>5164</v>
      </c>
      <c r="B2307">
        <v>2871</v>
      </c>
      <c r="C2307" t="b">
        <f t="shared" si="37"/>
        <v>0</v>
      </c>
    </row>
    <row r="2308" spans="1:3" hidden="1" x14ac:dyDescent="0.25">
      <c r="A2308" t="s">
        <v>3919</v>
      </c>
      <c r="B2308">
        <v>1504</v>
      </c>
      <c r="C2308" t="b">
        <f t="shared" si="37"/>
        <v>0</v>
      </c>
    </row>
    <row r="2309" spans="1:3" hidden="1" x14ac:dyDescent="0.25">
      <c r="A2309" t="s">
        <v>3346</v>
      </c>
      <c r="B2309">
        <v>886</v>
      </c>
      <c r="C2309" t="b">
        <f t="shared" si="37"/>
        <v>0</v>
      </c>
    </row>
    <row r="2310" spans="1:3" hidden="1" x14ac:dyDescent="0.25">
      <c r="A2310" t="s">
        <v>4999</v>
      </c>
      <c r="B2310">
        <v>2700</v>
      </c>
      <c r="C2310" t="b">
        <f t="shared" si="37"/>
        <v>0</v>
      </c>
    </row>
    <row r="2311" spans="1:3" hidden="1" x14ac:dyDescent="0.25">
      <c r="A2311" t="s">
        <v>4492</v>
      </c>
      <c r="B2311">
        <v>2129</v>
      </c>
      <c r="C2311" t="b">
        <f t="shared" si="37"/>
        <v>0</v>
      </c>
    </row>
    <row r="2312" spans="1:3" hidden="1" x14ac:dyDescent="0.25">
      <c r="A2312" t="s">
        <v>4032</v>
      </c>
      <c r="B2312">
        <v>1626</v>
      </c>
      <c r="C2312" t="b">
        <f t="shared" si="37"/>
        <v>0</v>
      </c>
    </row>
    <row r="2313" spans="1:3" hidden="1" x14ac:dyDescent="0.25">
      <c r="A2313" t="s">
        <v>4490</v>
      </c>
      <c r="B2313">
        <v>2127</v>
      </c>
      <c r="C2313" t="b">
        <f t="shared" si="37"/>
        <v>0</v>
      </c>
    </row>
    <row r="2314" spans="1:3" hidden="1" x14ac:dyDescent="0.25">
      <c r="A2314" t="s">
        <v>4491</v>
      </c>
      <c r="B2314">
        <v>2128</v>
      </c>
      <c r="C2314" t="b">
        <f t="shared" si="37"/>
        <v>0</v>
      </c>
    </row>
    <row r="2315" spans="1:3" hidden="1" x14ac:dyDescent="0.25">
      <c r="A2315" t="s">
        <v>4493</v>
      </c>
      <c r="B2315">
        <v>2130</v>
      </c>
      <c r="C2315" t="b">
        <f t="shared" si="37"/>
        <v>0</v>
      </c>
    </row>
    <row r="2316" spans="1:3" hidden="1" x14ac:dyDescent="0.25">
      <c r="A2316" t="s">
        <v>3624</v>
      </c>
      <c r="B2316">
        <v>1189</v>
      </c>
      <c r="C2316" t="b">
        <f t="shared" si="37"/>
        <v>0</v>
      </c>
    </row>
    <row r="2317" spans="1:3" hidden="1" x14ac:dyDescent="0.25">
      <c r="A2317" t="s">
        <v>3623</v>
      </c>
      <c r="B2317">
        <v>1188</v>
      </c>
      <c r="C2317" t="b">
        <f t="shared" si="37"/>
        <v>0</v>
      </c>
    </row>
    <row r="2318" spans="1:3" hidden="1" x14ac:dyDescent="0.25">
      <c r="A2318" t="s">
        <v>4360</v>
      </c>
      <c r="B2318">
        <v>1992</v>
      </c>
      <c r="C2318" t="b">
        <f t="shared" si="37"/>
        <v>0</v>
      </c>
    </row>
    <row r="2319" spans="1:3" hidden="1" x14ac:dyDescent="0.25">
      <c r="A2319" t="s">
        <v>2888</v>
      </c>
      <c r="B2319">
        <v>403</v>
      </c>
      <c r="C2319" t="b">
        <f t="shared" si="37"/>
        <v>0</v>
      </c>
    </row>
    <row r="2320" spans="1:3" x14ac:dyDescent="0.25">
      <c r="A2320" t="s">
        <v>2888</v>
      </c>
      <c r="B2320">
        <v>548</v>
      </c>
      <c r="C2320" t="b">
        <f t="shared" si="37"/>
        <v>1</v>
      </c>
    </row>
    <row r="2321" spans="1:3" x14ac:dyDescent="0.25">
      <c r="A2321" t="s">
        <v>2888</v>
      </c>
      <c r="B2321">
        <v>1010</v>
      </c>
      <c r="C2321" t="b">
        <f t="shared" si="37"/>
        <v>1</v>
      </c>
    </row>
    <row r="2322" spans="1:3" x14ac:dyDescent="0.25">
      <c r="A2322" t="s">
        <v>2888</v>
      </c>
      <c r="B2322">
        <v>1754</v>
      </c>
      <c r="C2322" t="b">
        <f t="shared" si="37"/>
        <v>1</v>
      </c>
    </row>
    <row r="2323" spans="1:3" hidden="1" x14ac:dyDescent="0.25">
      <c r="A2323" t="s">
        <v>4275</v>
      </c>
      <c r="B2323">
        <v>1900</v>
      </c>
      <c r="C2323" t="b">
        <f t="shared" si="37"/>
        <v>0</v>
      </c>
    </row>
    <row r="2324" spans="1:3" hidden="1" x14ac:dyDescent="0.25">
      <c r="A2324" t="s">
        <v>3269</v>
      </c>
      <c r="B2324">
        <v>804</v>
      </c>
      <c r="C2324" t="b">
        <f t="shared" si="37"/>
        <v>0</v>
      </c>
    </row>
    <row r="2325" spans="1:3" x14ac:dyDescent="0.25">
      <c r="A2325" t="s">
        <v>3269</v>
      </c>
      <c r="B2325">
        <v>1011</v>
      </c>
      <c r="C2325" t="b">
        <f t="shared" si="37"/>
        <v>1</v>
      </c>
    </row>
    <row r="2326" spans="1:3" x14ac:dyDescent="0.25">
      <c r="A2326" t="s">
        <v>3269</v>
      </c>
      <c r="B2326">
        <v>1130</v>
      </c>
      <c r="C2326" t="b">
        <f t="shared" si="37"/>
        <v>1</v>
      </c>
    </row>
    <row r="2327" spans="1:3" x14ac:dyDescent="0.25">
      <c r="A2327" t="s">
        <v>3269</v>
      </c>
      <c r="B2327">
        <v>1190</v>
      </c>
      <c r="C2327" t="b">
        <f t="shared" si="37"/>
        <v>1</v>
      </c>
    </row>
    <row r="2328" spans="1:3" x14ac:dyDescent="0.25">
      <c r="A2328" t="s">
        <v>3269</v>
      </c>
      <c r="B2328">
        <v>1729</v>
      </c>
      <c r="C2328" t="b">
        <f t="shared" si="37"/>
        <v>1</v>
      </c>
    </row>
    <row r="2329" spans="1:3" x14ac:dyDescent="0.25">
      <c r="A2329" t="s">
        <v>3269</v>
      </c>
      <c r="B2329">
        <v>1993</v>
      </c>
      <c r="C2329" t="b">
        <f t="shared" si="37"/>
        <v>1</v>
      </c>
    </row>
    <row r="2330" spans="1:3" hidden="1" x14ac:dyDescent="0.25">
      <c r="A2330" t="s">
        <v>2846</v>
      </c>
      <c r="B2330">
        <v>359</v>
      </c>
      <c r="C2330" t="b">
        <f t="shared" si="37"/>
        <v>0</v>
      </c>
    </row>
    <row r="2331" spans="1:3" hidden="1" x14ac:dyDescent="0.25">
      <c r="A2331" t="s">
        <v>4861</v>
      </c>
      <c r="B2331">
        <v>2548</v>
      </c>
      <c r="C2331" t="b">
        <f t="shared" si="37"/>
        <v>0</v>
      </c>
    </row>
    <row r="2332" spans="1:3" hidden="1" x14ac:dyDescent="0.25">
      <c r="A2332" t="s">
        <v>4862</v>
      </c>
      <c r="B2332">
        <v>2549</v>
      </c>
      <c r="C2332" t="b">
        <f t="shared" si="37"/>
        <v>0</v>
      </c>
    </row>
    <row r="2333" spans="1:3" hidden="1" x14ac:dyDescent="0.25">
      <c r="A2333" t="s">
        <v>4863</v>
      </c>
      <c r="B2333">
        <v>2550</v>
      </c>
      <c r="C2333" t="b">
        <f t="shared" si="37"/>
        <v>0</v>
      </c>
    </row>
    <row r="2334" spans="1:3" hidden="1" x14ac:dyDescent="0.25">
      <c r="A2334" t="s">
        <v>4859</v>
      </c>
      <c r="B2334">
        <v>2546</v>
      </c>
      <c r="C2334" t="b">
        <f t="shared" si="37"/>
        <v>0</v>
      </c>
    </row>
    <row r="2335" spans="1:3" hidden="1" x14ac:dyDescent="0.25">
      <c r="A2335" t="s">
        <v>4864</v>
      </c>
      <c r="B2335">
        <v>2551</v>
      </c>
      <c r="C2335" t="b">
        <f t="shared" si="37"/>
        <v>0</v>
      </c>
    </row>
    <row r="2336" spans="1:3" hidden="1" x14ac:dyDescent="0.25">
      <c r="A2336" t="s">
        <v>4860</v>
      </c>
      <c r="B2336">
        <v>2547</v>
      </c>
      <c r="C2336" t="b">
        <f t="shared" si="37"/>
        <v>0</v>
      </c>
    </row>
    <row r="2337" spans="1:3" hidden="1" x14ac:dyDescent="0.25">
      <c r="A2337" t="s">
        <v>2805</v>
      </c>
      <c r="B2337">
        <v>317</v>
      </c>
      <c r="C2337" t="b">
        <f t="shared" si="37"/>
        <v>0</v>
      </c>
    </row>
    <row r="2338" spans="1:3" hidden="1" x14ac:dyDescent="0.25">
      <c r="A2338" t="s">
        <v>4276</v>
      </c>
      <c r="B2338">
        <v>1901</v>
      </c>
      <c r="C2338" t="b">
        <f t="shared" si="37"/>
        <v>0</v>
      </c>
    </row>
    <row r="2339" spans="1:3" hidden="1" x14ac:dyDescent="0.25">
      <c r="A2339" t="s">
        <v>3458</v>
      </c>
      <c r="B2339">
        <v>1012</v>
      </c>
      <c r="C2339" t="b">
        <f t="shared" si="37"/>
        <v>0</v>
      </c>
    </row>
    <row r="2340" spans="1:3" hidden="1" x14ac:dyDescent="0.25">
      <c r="A2340" t="s">
        <v>2921</v>
      </c>
      <c r="B2340">
        <v>439</v>
      </c>
      <c r="C2340" t="b">
        <f t="shared" si="37"/>
        <v>0</v>
      </c>
    </row>
    <row r="2341" spans="1:3" hidden="1" x14ac:dyDescent="0.25">
      <c r="A2341" t="s">
        <v>2629</v>
      </c>
      <c r="B2341">
        <v>137</v>
      </c>
      <c r="C2341" t="b">
        <f t="shared" si="37"/>
        <v>0</v>
      </c>
    </row>
    <row r="2342" spans="1:3" hidden="1" x14ac:dyDescent="0.25">
      <c r="A2342" t="s">
        <v>2630</v>
      </c>
      <c r="B2342">
        <v>138</v>
      </c>
      <c r="C2342" t="b">
        <f t="shared" si="37"/>
        <v>0</v>
      </c>
    </row>
    <row r="2343" spans="1:3" hidden="1" x14ac:dyDescent="0.25">
      <c r="A2343" t="s">
        <v>2922</v>
      </c>
      <c r="B2343">
        <v>440</v>
      </c>
      <c r="C2343" t="b">
        <f t="shared" si="37"/>
        <v>0</v>
      </c>
    </row>
    <row r="2344" spans="1:3" hidden="1" x14ac:dyDescent="0.25">
      <c r="A2344" t="s">
        <v>4102</v>
      </c>
      <c r="B2344">
        <v>1703</v>
      </c>
      <c r="C2344" t="b">
        <f t="shared" si="37"/>
        <v>0</v>
      </c>
    </row>
    <row r="2345" spans="1:3" hidden="1" x14ac:dyDescent="0.25">
      <c r="A2345" t="s">
        <v>4101</v>
      </c>
      <c r="B2345">
        <v>1702</v>
      </c>
      <c r="C2345" t="b">
        <f t="shared" si="37"/>
        <v>0</v>
      </c>
    </row>
    <row r="2346" spans="1:3" hidden="1" x14ac:dyDescent="0.25">
      <c r="A2346" t="s">
        <v>5165</v>
      </c>
      <c r="B2346">
        <v>2872</v>
      </c>
      <c r="C2346" t="b">
        <f t="shared" si="37"/>
        <v>0</v>
      </c>
    </row>
    <row r="2347" spans="1:3" hidden="1" x14ac:dyDescent="0.25">
      <c r="A2347" t="s">
        <v>2806</v>
      </c>
      <c r="B2347">
        <v>318</v>
      </c>
      <c r="C2347" t="b">
        <f t="shared" si="37"/>
        <v>0</v>
      </c>
    </row>
    <row r="2348" spans="1:3" hidden="1" x14ac:dyDescent="0.25">
      <c r="A2348" t="s">
        <v>3797</v>
      </c>
      <c r="B2348">
        <v>1370</v>
      </c>
      <c r="C2348" t="b">
        <f t="shared" si="37"/>
        <v>0</v>
      </c>
    </row>
    <row r="2349" spans="1:3" x14ac:dyDescent="0.25">
      <c r="A2349" t="s">
        <v>3797</v>
      </c>
      <c r="B2349">
        <v>1464</v>
      </c>
      <c r="C2349" t="b">
        <f t="shared" si="37"/>
        <v>1</v>
      </c>
    </row>
    <row r="2350" spans="1:3" hidden="1" x14ac:dyDescent="0.25">
      <c r="A2350" t="s">
        <v>3882</v>
      </c>
      <c r="B2350">
        <v>1465</v>
      </c>
      <c r="C2350" t="b">
        <f t="shared" si="37"/>
        <v>0</v>
      </c>
    </row>
    <row r="2351" spans="1:3" hidden="1" x14ac:dyDescent="0.25">
      <c r="A2351" t="s">
        <v>3382</v>
      </c>
      <c r="B2351">
        <v>924</v>
      </c>
      <c r="C2351" t="b">
        <f t="shared" si="37"/>
        <v>0</v>
      </c>
    </row>
    <row r="2352" spans="1:3" hidden="1" x14ac:dyDescent="0.25">
      <c r="A2352" t="s">
        <v>3000</v>
      </c>
      <c r="B2352">
        <v>522</v>
      </c>
      <c r="C2352" t="b">
        <f t="shared" si="37"/>
        <v>0</v>
      </c>
    </row>
    <row r="2353" spans="1:3" hidden="1" x14ac:dyDescent="0.25">
      <c r="A2353" t="s">
        <v>2956</v>
      </c>
      <c r="B2353">
        <v>475</v>
      </c>
      <c r="C2353" t="b">
        <f t="shared" si="37"/>
        <v>0</v>
      </c>
    </row>
    <row r="2354" spans="1:3" hidden="1" x14ac:dyDescent="0.25">
      <c r="A2354" t="s">
        <v>3074</v>
      </c>
      <c r="B2354">
        <v>603</v>
      </c>
      <c r="C2354" t="b">
        <f t="shared" si="37"/>
        <v>0</v>
      </c>
    </row>
    <row r="2355" spans="1:3" x14ac:dyDescent="0.25">
      <c r="A2355" t="s">
        <v>3074</v>
      </c>
      <c r="B2355">
        <v>2873</v>
      </c>
      <c r="C2355" t="b">
        <f t="shared" ref="C2355:C2418" si="38">A2355=A2354</f>
        <v>1</v>
      </c>
    </row>
    <row r="2356" spans="1:3" hidden="1" x14ac:dyDescent="0.25">
      <c r="A2356" t="s">
        <v>2889</v>
      </c>
      <c r="B2356">
        <v>404</v>
      </c>
      <c r="C2356" t="b">
        <f t="shared" si="38"/>
        <v>0</v>
      </c>
    </row>
    <row r="2357" spans="1:3" hidden="1" x14ac:dyDescent="0.25">
      <c r="A2357" t="s">
        <v>3713</v>
      </c>
      <c r="B2357">
        <v>1282</v>
      </c>
      <c r="C2357" t="b">
        <f t="shared" si="38"/>
        <v>0</v>
      </c>
    </row>
    <row r="2358" spans="1:3" hidden="1" x14ac:dyDescent="0.25">
      <c r="A2358" t="s">
        <v>4033</v>
      </c>
      <c r="B2358">
        <v>1627</v>
      </c>
      <c r="C2358" t="b">
        <f t="shared" si="38"/>
        <v>0</v>
      </c>
    </row>
    <row r="2359" spans="1:3" hidden="1" x14ac:dyDescent="0.25">
      <c r="A2359" t="s">
        <v>4942</v>
      </c>
      <c r="B2359">
        <v>2640</v>
      </c>
      <c r="C2359" t="b">
        <f t="shared" si="38"/>
        <v>0</v>
      </c>
    </row>
    <row r="2360" spans="1:3" hidden="1" x14ac:dyDescent="0.25">
      <c r="A2360" t="s">
        <v>2571</v>
      </c>
      <c r="B2360">
        <v>76</v>
      </c>
      <c r="C2360" t="b">
        <f t="shared" si="38"/>
        <v>0</v>
      </c>
    </row>
    <row r="2361" spans="1:3" hidden="1" x14ac:dyDescent="0.25">
      <c r="A2361" t="s">
        <v>4943</v>
      </c>
      <c r="B2361">
        <v>2641</v>
      </c>
      <c r="C2361" t="b">
        <f t="shared" si="38"/>
        <v>0</v>
      </c>
    </row>
    <row r="2362" spans="1:3" hidden="1" x14ac:dyDescent="0.25">
      <c r="A2362" t="s">
        <v>4944</v>
      </c>
      <c r="B2362">
        <v>2642</v>
      </c>
      <c r="C2362" t="b">
        <f t="shared" si="38"/>
        <v>0</v>
      </c>
    </row>
    <row r="2363" spans="1:3" hidden="1" x14ac:dyDescent="0.25">
      <c r="A2363" t="s">
        <v>4945</v>
      </c>
      <c r="B2363">
        <v>2643</v>
      </c>
      <c r="C2363" t="b">
        <f t="shared" si="38"/>
        <v>0</v>
      </c>
    </row>
    <row r="2364" spans="1:3" hidden="1" x14ac:dyDescent="0.25">
      <c r="A2364" t="s">
        <v>4946</v>
      </c>
      <c r="B2364">
        <v>2644</v>
      </c>
      <c r="C2364" t="b">
        <f t="shared" si="38"/>
        <v>0</v>
      </c>
    </row>
    <row r="2365" spans="1:3" hidden="1" x14ac:dyDescent="0.25">
      <c r="A2365" t="s">
        <v>4947</v>
      </c>
      <c r="B2365">
        <v>2645</v>
      </c>
      <c r="C2365" t="b">
        <f t="shared" si="38"/>
        <v>0</v>
      </c>
    </row>
    <row r="2366" spans="1:3" hidden="1" x14ac:dyDescent="0.25">
      <c r="A2366" t="s">
        <v>4948</v>
      </c>
      <c r="B2366">
        <v>2646</v>
      </c>
      <c r="C2366" t="b">
        <f t="shared" si="38"/>
        <v>0</v>
      </c>
    </row>
    <row r="2367" spans="1:3" hidden="1" x14ac:dyDescent="0.25">
      <c r="A2367" t="s">
        <v>4949</v>
      </c>
      <c r="B2367">
        <v>2647</v>
      </c>
      <c r="C2367" t="b">
        <f t="shared" si="38"/>
        <v>0</v>
      </c>
    </row>
    <row r="2368" spans="1:3" hidden="1" x14ac:dyDescent="0.25">
      <c r="A2368" t="s">
        <v>5120</v>
      </c>
      <c r="B2368">
        <v>2823</v>
      </c>
      <c r="C2368" t="b">
        <f t="shared" si="38"/>
        <v>0</v>
      </c>
    </row>
    <row r="2369" spans="1:3" hidden="1" x14ac:dyDescent="0.25">
      <c r="A2369" t="s">
        <v>3714</v>
      </c>
      <c r="B2369">
        <v>1283</v>
      </c>
      <c r="C2369" t="b">
        <f t="shared" si="38"/>
        <v>0</v>
      </c>
    </row>
    <row r="2370" spans="1:3" hidden="1" x14ac:dyDescent="0.25">
      <c r="A2370" t="s">
        <v>4453</v>
      </c>
      <c r="B2370">
        <v>2087</v>
      </c>
      <c r="C2370" t="b">
        <f t="shared" si="38"/>
        <v>0</v>
      </c>
    </row>
    <row r="2371" spans="1:3" hidden="1" x14ac:dyDescent="0.25">
      <c r="A2371" t="s">
        <v>4454</v>
      </c>
      <c r="B2371">
        <v>2088</v>
      </c>
      <c r="C2371" t="b">
        <f t="shared" si="38"/>
        <v>0</v>
      </c>
    </row>
    <row r="2372" spans="1:3" hidden="1" x14ac:dyDescent="0.25">
      <c r="A2372" t="s">
        <v>4034</v>
      </c>
      <c r="B2372">
        <v>1628</v>
      </c>
      <c r="C2372" t="b">
        <f t="shared" si="38"/>
        <v>0</v>
      </c>
    </row>
    <row r="2373" spans="1:3" hidden="1" x14ac:dyDescent="0.25">
      <c r="A2373" t="s">
        <v>4035</v>
      </c>
      <c r="B2373">
        <v>1629</v>
      </c>
      <c r="C2373" t="b">
        <f t="shared" si="38"/>
        <v>0</v>
      </c>
    </row>
    <row r="2374" spans="1:3" hidden="1" x14ac:dyDescent="0.25">
      <c r="A2374" t="s">
        <v>3412</v>
      </c>
      <c r="B2374">
        <v>958</v>
      </c>
      <c r="C2374" t="b">
        <f t="shared" si="38"/>
        <v>0</v>
      </c>
    </row>
    <row r="2375" spans="1:3" hidden="1" x14ac:dyDescent="0.25">
      <c r="A2375" t="s">
        <v>4244</v>
      </c>
      <c r="B2375">
        <v>1866</v>
      </c>
      <c r="C2375" t="b">
        <f t="shared" si="38"/>
        <v>0</v>
      </c>
    </row>
    <row r="2376" spans="1:3" hidden="1" x14ac:dyDescent="0.25">
      <c r="A2376" t="s">
        <v>4036</v>
      </c>
      <c r="B2376">
        <v>1630</v>
      </c>
      <c r="C2376" t="b">
        <f t="shared" si="38"/>
        <v>0</v>
      </c>
    </row>
    <row r="2377" spans="1:3" hidden="1" x14ac:dyDescent="0.25">
      <c r="A2377" t="s">
        <v>5121</v>
      </c>
      <c r="B2377">
        <v>2824</v>
      </c>
      <c r="C2377" t="b">
        <f t="shared" si="38"/>
        <v>0</v>
      </c>
    </row>
    <row r="2378" spans="1:3" hidden="1" x14ac:dyDescent="0.25">
      <c r="A2378" t="s">
        <v>2923</v>
      </c>
      <c r="B2378">
        <v>441</v>
      </c>
      <c r="C2378" t="b">
        <f t="shared" si="38"/>
        <v>0</v>
      </c>
    </row>
    <row r="2379" spans="1:3" hidden="1" x14ac:dyDescent="0.25">
      <c r="A2379" t="s">
        <v>3960</v>
      </c>
      <c r="B2379">
        <v>1547</v>
      </c>
      <c r="C2379" t="b">
        <f t="shared" si="38"/>
        <v>0</v>
      </c>
    </row>
    <row r="2380" spans="1:3" hidden="1" x14ac:dyDescent="0.25">
      <c r="A2380" t="s">
        <v>4455</v>
      </c>
      <c r="B2380">
        <v>2089</v>
      </c>
      <c r="C2380" t="b">
        <f t="shared" si="38"/>
        <v>0</v>
      </c>
    </row>
    <row r="2381" spans="1:3" hidden="1" x14ac:dyDescent="0.25">
      <c r="A2381" t="s">
        <v>4456</v>
      </c>
      <c r="B2381">
        <v>2090</v>
      </c>
      <c r="C2381" t="b">
        <f t="shared" si="38"/>
        <v>0</v>
      </c>
    </row>
    <row r="2382" spans="1:3" hidden="1" x14ac:dyDescent="0.25">
      <c r="A2382" t="s">
        <v>3057</v>
      </c>
      <c r="B2382">
        <v>585</v>
      </c>
      <c r="C2382" t="b">
        <f t="shared" si="38"/>
        <v>0</v>
      </c>
    </row>
    <row r="2383" spans="1:3" hidden="1" x14ac:dyDescent="0.25">
      <c r="A2383" t="s">
        <v>3243</v>
      </c>
      <c r="B2383">
        <v>777</v>
      </c>
      <c r="C2383" t="b">
        <f t="shared" si="38"/>
        <v>0</v>
      </c>
    </row>
    <row r="2384" spans="1:3" hidden="1" x14ac:dyDescent="0.25">
      <c r="A2384" t="s">
        <v>4897</v>
      </c>
      <c r="B2384">
        <v>2589</v>
      </c>
      <c r="C2384" t="b">
        <f t="shared" si="38"/>
        <v>0</v>
      </c>
    </row>
    <row r="2385" spans="1:3" hidden="1" x14ac:dyDescent="0.25">
      <c r="A2385" t="s">
        <v>4457</v>
      </c>
      <c r="B2385">
        <v>2091</v>
      </c>
      <c r="C2385" t="b">
        <f t="shared" si="38"/>
        <v>0</v>
      </c>
    </row>
    <row r="2386" spans="1:3" hidden="1" x14ac:dyDescent="0.25">
      <c r="A2386" t="s">
        <v>4458</v>
      </c>
      <c r="B2386">
        <v>2092</v>
      </c>
      <c r="C2386" t="b">
        <f t="shared" si="38"/>
        <v>0</v>
      </c>
    </row>
    <row r="2387" spans="1:3" hidden="1" x14ac:dyDescent="0.25">
      <c r="A2387" t="s">
        <v>5122</v>
      </c>
      <c r="B2387">
        <v>2825</v>
      </c>
      <c r="C2387" t="b">
        <f t="shared" si="38"/>
        <v>0</v>
      </c>
    </row>
    <row r="2388" spans="1:3" hidden="1" x14ac:dyDescent="0.25">
      <c r="A2388" t="s">
        <v>2681</v>
      </c>
      <c r="B2388">
        <v>191</v>
      </c>
      <c r="C2388" t="b">
        <f t="shared" si="38"/>
        <v>0</v>
      </c>
    </row>
    <row r="2389" spans="1:3" hidden="1" x14ac:dyDescent="0.25">
      <c r="A2389" t="s">
        <v>3715</v>
      </c>
      <c r="B2389">
        <v>1284</v>
      </c>
      <c r="C2389" t="b">
        <f t="shared" si="38"/>
        <v>0</v>
      </c>
    </row>
    <row r="2390" spans="1:3" hidden="1" x14ac:dyDescent="0.25">
      <c r="A2390" t="s">
        <v>2807</v>
      </c>
      <c r="B2390">
        <v>319</v>
      </c>
      <c r="C2390" t="b">
        <f t="shared" si="38"/>
        <v>0</v>
      </c>
    </row>
    <row r="2391" spans="1:3" hidden="1" x14ac:dyDescent="0.25">
      <c r="A2391" t="s">
        <v>3716</v>
      </c>
      <c r="B2391">
        <v>1285</v>
      </c>
      <c r="C2391" t="b">
        <f t="shared" si="38"/>
        <v>0</v>
      </c>
    </row>
    <row r="2392" spans="1:3" hidden="1" x14ac:dyDescent="0.25">
      <c r="A2392" t="s">
        <v>4950</v>
      </c>
      <c r="B2392">
        <v>2648</v>
      </c>
      <c r="C2392" t="b">
        <f t="shared" si="38"/>
        <v>0</v>
      </c>
    </row>
    <row r="2393" spans="1:3" hidden="1" x14ac:dyDescent="0.25">
      <c r="A2393" t="s">
        <v>2808</v>
      </c>
      <c r="B2393">
        <v>320</v>
      </c>
      <c r="C2393" t="b">
        <f t="shared" si="38"/>
        <v>0</v>
      </c>
    </row>
    <row r="2394" spans="1:3" hidden="1" x14ac:dyDescent="0.25">
      <c r="A2394" t="s">
        <v>2924</v>
      </c>
      <c r="B2394">
        <v>442</v>
      </c>
      <c r="C2394" t="b">
        <f t="shared" si="38"/>
        <v>0</v>
      </c>
    </row>
    <row r="2395" spans="1:3" hidden="1" x14ac:dyDescent="0.25">
      <c r="A2395" t="s">
        <v>2809</v>
      </c>
      <c r="B2395">
        <v>321</v>
      </c>
      <c r="C2395" t="b">
        <f t="shared" si="38"/>
        <v>0</v>
      </c>
    </row>
    <row r="2396" spans="1:3" hidden="1" x14ac:dyDescent="0.25">
      <c r="A2396" t="s">
        <v>4459</v>
      </c>
      <c r="B2396">
        <v>2093</v>
      </c>
      <c r="C2396" t="b">
        <f t="shared" si="38"/>
        <v>0</v>
      </c>
    </row>
    <row r="2397" spans="1:3" hidden="1" x14ac:dyDescent="0.25">
      <c r="A2397" t="s">
        <v>4162</v>
      </c>
      <c r="B2397">
        <v>1776</v>
      </c>
      <c r="C2397" t="b">
        <f t="shared" si="38"/>
        <v>0</v>
      </c>
    </row>
    <row r="2398" spans="1:3" hidden="1" x14ac:dyDescent="0.25">
      <c r="A2398" t="s">
        <v>3800</v>
      </c>
      <c r="B2398">
        <v>1373</v>
      </c>
      <c r="C2398" t="b">
        <f t="shared" si="38"/>
        <v>0</v>
      </c>
    </row>
    <row r="2399" spans="1:3" hidden="1" x14ac:dyDescent="0.25">
      <c r="A2399" t="s">
        <v>3798</v>
      </c>
      <c r="B2399">
        <v>1371</v>
      </c>
      <c r="C2399" t="b">
        <f t="shared" si="38"/>
        <v>0</v>
      </c>
    </row>
    <row r="2400" spans="1:3" hidden="1" x14ac:dyDescent="0.25">
      <c r="A2400" t="s">
        <v>3799</v>
      </c>
      <c r="B2400">
        <v>1372</v>
      </c>
      <c r="C2400" t="b">
        <f t="shared" si="38"/>
        <v>0</v>
      </c>
    </row>
    <row r="2401" spans="1:3" hidden="1" x14ac:dyDescent="0.25">
      <c r="A2401" t="s">
        <v>4699</v>
      </c>
      <c r="B2401">
        <v>2366</v>
      </c>
      <c r="C2401" t="b">
        <f t="shared" si="38"/>
        <v>0</v>
      </c>
    </row>
    <row r="2402" spans="1:3" hidden="1" x14ac:dyDescent="0.25">
      <c r="A2402" t="s">
        <v>4818</v>
      </c>
      <c r="B2402">
        <v>2499</v>
      </c>
      <c r="C2402" t="b">
        <f t="shared" si="38"/>
        <v>0</v>
      </c>
    </row>
    <row r="2403" spans="1:3" hidden="1" x14ac:dyDescent="0.25">
      <c r="A2403" t="s">
        <v>3801</v>
      </c>
      <c r="B2403">
        <v>1374</v>
      </c>
      <c r="C2403" t="b">
        <f t="shared" si="38"/>
        <v>0</v>
      </c>
    </row>
    <row r="2404" spans="1:3" hidden="1" x14ac:dyDescent="0.25">
      <c r="A2404" t="s">
        <v>3663</v>
      </c>
      <c r="B2404">
        <v>1230</v>
      </c>
      <c r="C2404" t="b">
        <f t="shared" si="38"/>
        <v>0</v>
      </c>
    </row>
    <row r="2405" spans="1:3" hidden="1" x14ac:dyDescent="0.25">
      <c r="A2405" t="s">
        <v>4609</v>
      </c>
      <c r="B2405">
        <v>2266</v>
      </c>
      <c r="C2405" t="b">
        <f t="shared" si="38"/>
        <v>0</v>
      </c>
    </row>
    <row r="2406" spans="1:3" hidden="1" x14ac:dyDescent="0.25">
      <c r="A2406" t="s">
        <v>4607</v>
      </c>
      <c r="B2406">
        <v>2264</v>
      </c>
      <c r="C2406" t="b">
        <f t="shared" si="38"/>
        <v>0</v>
      </c>
    </row>
    <row r="2407" spans="1:3" hidden="1" x14ac:dyDescent="0.25">
      <c r="A2407" t="s">
        <v>4608</v>
      </c>
      <c r="B2407">
        <v>2265</v>
      </c>
      <c r="C2407" t="b">
        <f t="shared" si="38"/>
        <v>0</v>
      </c>
    </row>
    <row r="2408" spans="1:3" hidden="1" x14ac:dyDescent="0.25">
      <c r="A2408" t="s">
        <v>4069</v>
      </c>
      <c r="B2408">
        <v>1668</v>
      </c>
      <c r="C2408" t="b">
        <f t="shared" si="38"/>
        <v>0</v>
      </c>
    </row>
    <row r="2409" spans="1:3" hidden="1" x14ac:dyDescent="0.25">
      <c r="A2409" t="s">
        <v>2890</v>
      </c>
      <c r="B2409">
        <v>405</v>
      </c>
      <c r="C2409" t="b">
        <f t="shared" si="38"/>
        <v>0</v>
      </c>
    </row>
    <row r="2410" spans="1:3" hidden="1" x14ac:dyDescent="0.25">
      <c r="A2410" t="s">
        <v>4460</v>
      </c>
      <c r="B2410">
        <v>2094</v>
      </c>
      <c r="C2410" t="b">
        <f t="shared" si="38"/>
        <v>0</v>
      </c>
    </row>
    <row r="2411" spans="1:3" hidden="1" x14ac:dyDescent="0.25">
      <c r="A2411" t="s">
        <v>3736</v>
      </c>
      <c r="B2411">
        <v>1308</v>
      </c>
      <c r="C2411" t="b">
        <f t="shared" si="38"/>
        <v>0</v>
      </c>
    </row>
    <row r="2412" spans="1:3" hidden="1" x14ac:dyDescent="0.25">
      <c r="A2412" t="s">
        <v>3664</v>
      </c>
      <c r="B2412">
        <v>1231</v>
      </c>
      <c r="C2412" t="b">
        <f t="shared" si="38"/>
        <v>0</v>
      </c>
    </row>
    <row r="2413" spans="1:3" hidden="1" x14ac:dyDescent="0.25">
      <c r="A2413" t="s">
        <v>3665</v>
      </c>
      <c r="B2413">
        <v>1232</v>
      </c>
      <c r="C2413" t="b">
        <f t="shared" si="38"/>
        <v>0</v>
      </c>
    </row>
    <row r="2414" spans="1:3" hidden="1" x14ac:dyDescent="0.25">
      <c r="A2414" t="s">
        <v>3666</v>
      </c>
      <c r="B2414">
        <v>1233</v>
      </c>
      <c r="C2414" t="b">
        <f t="shared" si="38"/>
        <v>0</v>
      </c>
    </row>
    <row r="2415" spans="1:3" hidden="1" x14ac:dyDescent="0.25">
      <c r="A2415" t="s">
        <v>3187</v>
      </c>
      <c r="B2415">
        <v>720</v>
      </c>
      <c r="C2415" t="b">
        <f t="shared" si="38"/>
        <v>0</v>
      </c>
    </row>
    <row r="2416" spans="1:3" hidden="1" x14ac:dyDescent="0.25">
      <c r="A2416" t="s">
        <v>3188</v>
      </c>
      <c r="B2416">
        <v>721</v>
      </c>
      <c r="C2416" t="b">
        <f t="shared" si="38"/>
        <v>0</v>
      </c>
    </row>
    <row r="2417" spans="1:3" hidden="1" x14ac:dyDescent="0.25">
      <c r="A2417" t="s">
        <v>5166</v>
      </c>
      <c r="B2417">
        <v>2874</v>
      </c>
      <c r="C2417" t="b">
        <f t="shared" si="38"/>
        <v>0</v>
      </c>
    </row>
    <row r="2418" spans="1:3" hidden="1" x14ac:dyDescent="0.25">
      <c r="A2418" t="s">
        <v>2650</v>
      </c>
      <c r="B2418">
        <v>159</v>
      </c>
      <c r="C2418" t="b">
        <f t="shared" si="38"/>
        <v>0</v>
      </c>
    </row>
    <row r="2419" spans="1:3" hidden="1" x14ac:dyDescent="0.25">
      <c r="A2419" t="s">
        <v>4702</v>
      </c>
      <c r="B2419">
        <v>2369</v>
      </c>
      <c r="C2419" t="b">
        <f t="shared" ref="C2419:C2482" si="39">A2419=A2418</f>
        <v>0</v>
      </c>
    </row>
    <row r="2420" spans="1:3" hidden="1" x14ac:dyDescent="0.25">
      <c r="A2420" t="s">
        <v>4700</v>
      </c>
      <c r="B2420">
        <v>2367</v>
      </c>
      <c r="C2420" t="b">
        <f t="shared" si="39"/>
        <v>0</v>
      </c>
    </row>
    <row r="2421" spans="1:3" hidden="1" x14ac:dyDescent="0.25">
      <c r="A2421" t="s">
        <v>4701</v>
      </c>
      <c r="B2421">
        <v>2368</v>
      </c>
      <c r="C2421" t="b">
        <f t="shared" si="39"/>
        <v>0</v>
      </c>
    </row>
    <row r="2422" spans="1:3" hidden="1" x14ac:dyDescent="0.25">
      <c r="A2422" t="s">
        <v>4737</v>
      </c>
      <c r="B2422">
        <v>2409</v>
      </c>
      <c r="C2422" t="b">
        <f t="shared" si="39"/>
        <v>0</v>
      </c>
    </row>
    <row r="2423" spans="1:3" hidden="1" x14ac:dyDescent="0.25">
      <c r="A2423" t="s">
        <v>4740</v>
      </c>
      <c r="B2423">
        <v>2412</v>
      </c>
      <c r="C2423" t="b">
        <f t="shared" si="39"/>
        <v>0</v>
      </c>
    </row>
    <row r="2424" spans="1:3" hidden="1" x14ac:dyDescent="0.25">
      <c r="A2424" t="s">
        <v>4738</v>
      </c>
      <c r="B2424">
        <v>2410</v>
      </c>
      <c r="C2424" t="b">
        <f t="shared" si="39"/>
        <v>0</v>
      </c>
    </row>
    <row r="2425" spans="1:3" hidden="1" x14ac:dyDescent="0.25">
      <c r="A2425" t="s">
        <v>4741</v>
      </c>
      <c r="B2425">
        <v>2413</v>
      </c>
      <c r="C2425" t="b">
        <f t="shared" si="39"/>
        <v>0</v>
      </c>
    </row>
    <row r="2426" spans="1:3" hidden="1" x14ac:dyDescent="0.25">
      <c r="A2426" t="s">
        <v>4742</v>
      </c>
      <c r="B2426">
        <v>2414</v>
      </c>
      <c r="C2426" t="b">
        <f t="shared" si="39"/>
        <v>0</v>
      </c>
    </row>
    <row r="2427" spans="1:3" hidden="1" x14ac:dyDescent="0.25">
      <c r="A2427" t="s">
        <v>4743</v>
      </c>
      <c r="B2427">
        <v>2415</v>
      </c>
      <c r="C2427" t="b">
        <f t="shared" si="39"/>
        <v>0</v>
      </c>
    </row>
    <row r="2428" spans="1:3" hidden="1" x14ac:dyDescent="0.25">
      <c r="A2428" t="s">
        <v>4744</v>
      </c>
      <c r="B2428">
        <v>2416</v>
      </c>
      <c r="C2428" t="b">
        <f t="shared" si="39"/>
        <v>0</v>
      </c>
    </row>
    <row r="2429" spans="1:3" hidden="1" x14ac:dyDescent="0.25">
      <c r="A2429" t="s">
        <v>4745</v>
      </c>
      <c r="B2429">
        <v>2417</v>
      </c>
      <c r="C2429" t="b">
        <f t="shared" si="39"/>
        <v>0</v>
      </c>
    </row>
    <row r="2430" spans="1:3" hidden="1" x14ac:dyDescent="0.25">
      <c r="A2430" t="s">
        <v>4037</v>
      </c>
      <c r="B2430">
        <v>1631</v>
      </c>
      <c r="C2430" t="b">
        <f t="shared" si="39"/>
        <v>0</v>
      </c>
    </row>
    <row r="2431" spans="1:3" hidden="1" x14ac:dyDescent="0.25">
      <c r="A2431" t="s">
        <v>4038</v>
      </c>
      <c r="B2431">
        <v>1632</v>
      </c>
      <c r="C2431" t="b">
        <f t="shared" si="39"/>
        <v>0</v>
      </c>
    </row>
    <row r="2432" spans="1:3" hidden="1" x14ac:dyDescent="0.25">
      <c r="A2432" t="s">
        <v>4039</v>
      </c>
      <c r="B2432">
        <v>1633</v>
      </c>
      <c r="C2432" t="b">
        <f t="shared" si="39"/>
        <v>0</v>
      </c>
    </row>
    <row r="2433" spans="1:3" hidden="1" x14ac:dyDescent="0.25">
      <c r="A2433" t="s">
        <v>4040</v>
      </c>
      <c r="B2433">
        <v>1634</v>
      </c>
      <c r="C2433" t="b">
        <f t="shared" si="39"/>
        <v>0</v>
      </c>
    </row>
    <row r="2434" spans="1:3" hidden="1" x14ac:dyDescent="0.25">
      <c r="A2434" t="s">
        <v>4041</v>
      </c>
      <c r="B2434">
        <v>1635</v>
      </c>
      <c r="C2434" t="b">
        <f t="shared" si="39"/>
        <v>0</v>
      </c>
    </row>
    <row r="2435" spans="1:3" hidden="1" x14ac:dyDescent="0.25">
      <c r="A2435" t="s">
        <v>4739</v>
      </c>
      <c r="B2435">
        <v>2411</v>
      </c>
      <c r="C2435" t="b">
        <f t="shared" si="39"/>
        <v>0</v>
      </c>
    </row>
    <row r="2436" spans="1:3" hidden="1" x14ac:dyDescent="0.25">
      <c r="A2436" t="s">
        <v>3985</v>
      </c>
      <c r="B2436">
        <v>1578</v>
      </c>
      <c r="C2436" t="b">
        <f t="shared" si="39"/>
        <v>0</v>
      </c>
    </row>
    <row r="2437" spans="1:3" hidden="1" x14ac:dyDescent="0.25">
      <c r="A2437" t="s">
        <v>3986</v>
      </c>
      <c r="B2437">
        <v>1579</v>
      </c>
      <c r="C2437" t="b">
        <f t="shared" si="39"/>
        <v>0</v>
      </c>
    </row>
    <row r="2438" spans="1:3" hidden="1" x14ac:dyDescent="0.25">
      <c r="A2438" t="s">
        <v>2957</v>
      </c>
      <c r="B2438">
        <v>476</v>
      </c>
      <c r="C2438" t="b">
        <f t="shared" si="39"/>
        <v>0</v>
      </c>
    </row>
    <row r="2439" spans="1:3" hidden="1" x14ac:dyDescent="0.25">
      <c r="A2439" t="s">
        <v>3058</v>
      </c>
      <c r="B2439">
        <v>586</v>
      </c>
      <c r="C2439" t="b">
        <f t="shared" si="39"/>
        <v>0</v>
      </c>
    </row>
    <row r="2440" spans="1:3" hidden="1" x14ac:dyDescent="0.25">
      <c r="A2440" t="s">
        <v>2810</v>
      </c>
      <c r="B2440">
        <v>322</v>
      </c>
      <c r="C2440" t="b">
        <f t="shared" si="39"/>
        <v>0</v>
      </c>
    </row>
    <row r="2441" spans="1:3" hidden="1" x14ac:dyDescent="0.25">
      <c r="A2441" t="s">
        <v>2811</v>
      </c>
      <c r="B2441">
        <v>323</v>
      </c>
      <c r="C2441" t="b">
        <f t="shared" si="39"/>
        <v>0</v>
      </c>
    </row>
    <row r="2442" spans="1:3" hidden="1" x14ac:dyDescent="0.25">
      <c r="A2442" t="s">
        <v>2812</v>
      </c>
      <c r="B2442">
        <v>324</v>
      </c>
      <c r="C2442" t="b">
        <f t="shared" si="39"/>
        <v>0</v>
      </c>
    </row>
    <row r="2443" spans="1:3" hidden="1" x14ac:dyDescent="0.25">
      <c r="A2443" t="s">
        <v>4768</v>
      </c>
      <c r="B2443">
        <v>2442</v>
      </c>
      <c r="C2443" t="b">
        <f t="shared" si="39"/>
        <v>0</v>
      </c>
    </row>
    <row r="2444" spans="1:3" hidden="1" x14ac:dyDescent="0.25">
      <c r="A2444" t="s">
        <v>4769</v>
      </c>
      <c r="B2444">
        <v>2443</v>
      </c>
      <c r="C2444" t="b">
        <f t="shared" si="39"/>
        <v>0</v>
      </c>
    </row>
    <row r="2445" spans="1:3" hidden="1" x14ac:dyDescent="0.25">
      <c r="A2445" t="s">
        <v>4770</v>
      </c>
      <c r="B2445">
        <v>2444</v>
      </c>
      <c r="C2445" t="b">
        <f t="shared" si="39"/>
        <v>0</v>
      </c>
    </row>
    <row r="2446" spans="1:3" hidden="1" x14ac:dyDescent="0.25">
      <c r="A2446" t="s">
        <v>4767</v>
      </c>
      <c r="B2446">
        <v>2441</v>
      </c>
      <c r="C2446" t="b">
        <f t="shared" si="39"/>
        <v>0</v>
      </c>
    </row>
    <row r="2447" spans="1:3" hidden="1" x14ac:dyDescent="0.25">
      <c r="A2447" t="s">
        <v>4771</v>
      </c>
      <c r="B2447">
        <v>2445</v>
      </c>
      <c r="C2447" t="b">
        <f t="shared" si="39"/>
        <v>0</v>
      </c>
    </row>
    <row r="2448" spans="1:3" hidden="1" x14ac:dyDescent="0.25">
      <c r="A2448" t="s">
        <v>3347</v>
      </c>
      <c r="B2448">
        <v>887</v>
      </c>
      <c r="C2448" t="b">
        <f t="shared" si="39"/>
        <v>0</v>
      </c>
    </row>
    <row r="2449" spans="1:3" hidden="1" x14ac:dyDescent="0.25">
      <c r="A2449" t="s">
        <v>3348</v>
      </c>
      <c r="B2449">
        <v>888</v>
      </c>
      <c r="C2449" t="b">
        <f t="shared" si="39"/>
        <v>0</v>
      </c>
    </row>
    <row r="2450" spans="1:3" hidden="1" x14ac:dyDescent="0.25">
      <c r="A2450" t="s">
        <v>3920</v>
      </c>
      <c r="B2450">
        <v>1505</v>
      </c>
      <c r="C2450" t="b">
        <f t="shared" si="39"/>
        <v>0</v>
      </c>
    </row>
    <row r="2451" spans="1:3" hidden="1" x14ac:dyDescent="0.25">
      <c r="A2451" t="s">
        <v>3596</v>
      </c>
      <c r="B2451">
        <v>1157</v>
      </c>
      <c r="C2451" t="b">
        <f t="shared" si="39"/>
        <v>0</v>
      </c>
    </row>
    <row r="2452" spans="1:3" hidden="1" x14ac:dyDescent="0.25">
      <c r="A2452" t="s">
        <v>2631</v>
      </c>
      <c r="B2452">
        <v>139</v>
      </c>
      <c r="C2452" t="b">
        <f t="shared" si="39"/>
        <v>0</v>
      </c>
    </row>
    <row r="2453" spans="1:3" hidden="1" x14ac:dyDescent="0.25">
      <c r="A2453" t="s">
        <v>2633</v>
      </c>
      <c r="B2453">
        <v>141</v>
      </c>
      <c r="C2453" t="b">
        <f t="shared" si="39"/>
        <v>0</v>
      </c>
    </row>
    <row r="2454" spans="1:3" hidden="1" x14ac:dyDescent="0.25">
      <c r="A2454" t="s">
        <v>2632</v>
      </c>
      <c r="B2454">
        <v>140</v>
      </c>
      <c r="C2454" t="b">
        <f t="shared" si="39"/>
        <v>0</v>
      </c>
    </row>
    <row r="2455" spans="1:3" hidden="1" x14ac:dyDescent="0.25">
      <c r="A2455" t="s">
        <v>4527</v>
      </c>
      <c r="B2455">
        <v>2171</v>
      </c>
      <c r="C2455" t="b">
        <f t="shared" si="39"/>
        <v>0</v>
      </c>
    </row>
    <row r="2456" spans="1:3" hidden="1" x14ac:dyDescent="0.25">
      <c r="A2456" t="s">
        <v>4277</v>
      </c>
      <c r="B2456">
        <v>1902</v>
      </c>
      <c r="C2456" t="b">
        <f t="shared" si="39"/>
        <v>0</v>
      </c>
    </row>
    <row r="2457" spans="1:3" hidden="1" x14ac:dyDescent="0.25">
      <c r="A2457" t="s">
        <v>3413</v>
      </c>
      <c r="B2457">
        <v>959</v>
      </c>
      <c r="C2457" t="b">
        <f t="shared" si="39"/>
        <v>0</v>
      </c>
    </row>
    <row r="2458" spans="1:3" hidden="1" x14ac:dyDescent="0.25">
      <c r="A2458" t="s">
        <v>4142</v>
      </c>
      <c r="B2458">
        <v>1755</v>
      </c>
      <c r="C2458" t="b">
        <f t="shared" si="39"/>
        <v>0</v>
      </c>
    </row>
    <row r="2459" spans="1:3" hidden="1" x14ac:dyDescent="0.25">
      <c r="A2459" t="s">
        <v>4461</v>
      </c>
      <c r="B2459">
        <v>2095</v>
      </c>
      <c r="C2459" t="b">
        <f t="shared" si="39"/>
        <v>0</v>
      </c>
    </row>
    <row r="2460" spans="1:3" hidden="1" x14ac:dyDescent="0.25">
      <c r="A2460" t="s">
        <v>4163</v>
      </c>
      <c r="B2460">
        <v>1777</v>
      </c>
      <c r="C2460" t="b">
        <f t="shared" si="39"/>
        <v>0</v>
      </c>
    </row>
    <row r="2461" spans="1:3" hidden="1" x14ac:dyDescent="0.25">
      <c r="A2461" t="s">
        <v>4042</v>
      </c>
      <c r="B2461">
        <v>1636</v>
      </c>
      <c r="C2461" t="b">
        <f t="shared" si="39"/>
        <v>0</v>
      </c>
    </row>
    <row r="2462" spans="1:3" hidden="1" x14ac:dyDescent="0.25">
      <c r="A2462" t="s">
        <v>4043</v>
      </c>
      <c r="B2462">
        <v>1637</v>
      </c>
      <c r="C2462" t="b">
        <f t="shared" si="39"/>
        <v>0</v>
      </c>
    </row>
    <row r="2463" spans="1:3" hidden="1" x14ac:dyDescent="0.25">
      <c r="A2463" t="s">
        <v>2634</v>
      </c>
      <c r="B2463">
        <v>142</v>
      </c>
      <c r="C2463" t="b">
        <f t="shared" si="39"/>
        <v>0</v>
      </c>
    </row>
    <row r="2464" spans="1:3" hidden="1" x14ac:dyDescent="0.25">
      <c r="A2464" t="s">
        <v>2813</v>
      </c>
      <c r="B2464">
        <v>325</v>
      </c>
      <c r="C2464" t="b">
        <f t="shared" si="39"/>
        <v>0</v>
      </c>
    </row>
    <row r="2465" spans="1:3" hidden="1" x14ac:dyDescent="0.25">
      <c r="A2465" t="s">
        <v>4513</v>
      </c>
      <c r="B2465">
        <v>2153</v>
      </c>
      <c r="C2465" t="b">
        <f t="shared" si="39"/>
        <v>0</v>
      </c>
    </row>
    <row r="2466" spans="1:3" hidden="1" x14ac:dyDescent="0.25">
      <c r="A2466" t="s">
        <v>3503</v>
      </c>
      <c r="B2466">
        <v>1059</v>
      </c>
      <c r="C2466" t="b">
        <f t="shared" si="39"/>
        <v>0</v>
      </c>
    </row>
    <row r="2467" spans="1:3" hidden="1" x14ac:dyDescent="0.25">
      <c r="A2467" t="s">
        <v>3501</v>
      </c>
      <c r="B2467">
        <v>1057</v>
      </c>
      <c r="C2467" t="b">
        <f t="shared" si="39"/>
        <v>0</v>
      </c>
    </row>
    <row r="2468" spans="1:3" hidden="1" x14ac:dyDescent="0.25">
      <c r="A2468" t="s">
        <v>3502</v>
      </c>
      <c r="B2468">
        <v>1058</v>
      </c>
      <c r="C2468" t="b">
        <f t="shared" si="39"/>
        <v>0</v>
      </c>
    </row>
    <row r="2469" spans="1:3" hidden="1" x14ac:dyDescent="0.25">
      <c r="A2469" t="s">
        <v>2976</v>
      </c>
      <c r="B2469">
        <v>497</v>
      </c>
      <c r="C2469" t="b">
        <f t="shared" si="39"/>
        <v>0</v>
      </c>
    </row>
    <row r="2470" spans="1:3" hidden="1" x14ac:dyDescent="0.25">
      <c r="A2470" t="s">
        <v>4772</v>
      </c>
      <c r="B2470">
        <v>2446</v>
      </c>
      <c r="C2470" t="b">
        <f t="shared" si="39"/>
        <v>0</v>
      </c>
    </row>
    <row r="2471" spans="1:3" hidden="1" x14ac:dyDescent="0.25">
      <c r="A2471" t="s">
        <v>4774</v>
      </c>
      <c r="B2471">
        <v>2448</v>
      </c>
      <c r="C2471" t="b">
        <f t="shared" si="39"/>
        <v>0</v>
      </c>
    </row>
    <row r="2472" spans="1:3" hidden="1" x14ac:dyDescent="0.25">
      <c r="A2472" t="s">
        <v>4775</v>
      </c>
      <c r="B2472">
        <v>2449</v>
      </c>
      <c r="C2472" t="b">
        <f t="shared" si="39"/>
        <v>0</v>
      </c>
    </row>
    <row r="2473" spans="1:3" hidden="1" x14ac:dyDescent="0.25">
      <c r="A2473" t="s">
        <v>4776</v>
      </c>
      <c r="B2473">
        <v>2450</v>
      </c>
      <c r="C2473" t="b">
        <f t="shared" si="39"/>
        <v>0</v>
      </c>
    </row>
    <row r="2474" spans="1:3" hidden="1" x14ac:dyDescent="0.25">
      <c r="A2474" t="s">
        <v>4773</v>
      </c>
      <c r="B2474">
        <v>2447</v>
      </c>
      <c r="C2474" t="b">
        <f t="shared" si="39"/>
        <v>0</v>
      </c>
    </row>
    <row r="2475" spans="1:3" hidden="1" x14ac:dyDescent="0.25">
      <c r="A2475" t="s">
        <v>4044</v>
      </c>
      <c r="B2475">
        <v>1638</v>
      </c>
      <c r="C2475" t="b">
        <f t="shared" si="39"/>
        <v>0</v>
      </c>
    </row>
    <row r="2476" spans="1:3" hidden="1" x14ac:dyDescent="0.25">
      <c r="A2476" t="s">
        <v>5123</v>
      </c>
      <c r="B2476">
        <v>2826</v>
      </c>
      <c r="C2476" t="b">
        <f t="shared" si="39"/>
        <v>0</v>
      </c>
    </row>
    <row r="2477" spans="1:3" hidden="1" x14ac:dyDescent="0.25">
      <c r="A2477" t="s">
        <v>4325</v>
      </c>
      <c r="B2477">
        <v>1953</v>
      </c>
      <c r="C2477" t="b">
        <f t="shared" si="39"/>
        <v>0</v>
      </c>
    </row>
    <row r="2478" spans="1:3" hidden="1" x14ac:dyDescent="0.25">
      <c r="A2478" t="s">
        <v>3023</v>
      </c>
      <c r="B2478">
        <v>549</v>
      </c>
      <c r="C2478" t="b">
        <f t="shared" si="39"/>
        <v>0</v>
      </c>
    </row>
    <row r="2479" spans="1:3" x14ac:dyDescent="0.25">
      <c r="A2479" t="s">
        <v>3023</v>
      </c>
      <c r="B2479">
        <v>1867</v>
      </c>
      <c r="C2479" t="b">
        <f t="shared" si="39"/>
        <v>1</v>
      </c>
    </row>
    <row r="2480" spans="1:3" hidden="1" x14ac:dyDescent="0.25">
      <c r="A2480" t="s">
        <v>2891</v>
      </c>
      <c r="B2480">
        <v>406</v>
      </c>
      <c r="C2480" t="b">
        <f t="shared" si="39"/>
        <v>0</v>
      </c>
    </row>
    <row r="2481" spans="1:3" hidden="1" x14ac:dyDescent="0.25">
      <c r="A2481" t="s">
        <v>3667</v>
      </c>
      <c r="B2481">
        <v>1234</v>
      </c>
      <c r="C2481" t="b">
        <f t="shared" si="39"/>
        <v>0</v>
      </c>
    </row>
    <row r="2482" spans="1:3" hidden="1" x14ac:dyDescent="0.25">
      <c r="A2482" t="s">
        <v>3349</v>
      </c>
      <c r="B2482">
        <v>889</v>
      </c>
      <c r="C2482" t="b">
        <f t="shared" si="39"/>
        <v>0</v>
      </c>
    </row>
    <row r="2483" spans="1:3" hidden="1" x14ac:dyDescent="0.25">
      <c r="A2483" t="s">
        <v>5124</v>
      </c>
      <c r="B2483">
        <v>2827</v>
      </c>
      <c r="C2483" t="b">
        <f t="shared" ref="C2483:C2546" si="40">A2483=A2482</f>
        <v>0</v>
      </c>
    </row>
    <row r="2484" spans="1:3" hidden="1" x14ac:dyDescent="0.25">
      <c r="A2484" t="s">
        <v>3152</v>
      </c>
      <c r="B2484">
        <v>684</v>
      </c>
      <c r="C2484" t="b">
        <f t="shared" si="40"/>
        <v>0</v>
      </c>
    </row>
    <row r="2485" spans="1:3" hidden="1" x14ac:dyDescent="0.25">
      <c r="A2485" t="s">
        <v>3151</v>
      </c>
      <c r="B2485">
        <v>683</v>
      </c>
      <c r="C2485" t="b">
        <f t="shared" si="40"/>
        <v>0</v>
      </c>
    </row>
    <row r="2486" spans="1:3" hidden="1" x14ac:dyDescent="0.25">
      <c r="A2486" t="s">
        <v>5000</v>
      </c>
      <c r="B2486">
        <v>2701</v>
      </c>
      <c r="C2486" t="b">
        <f t="shared" si="40"/>
        <v>0</v>
      </c>
    </row>
    <row r="2487" spans="1:3" hidden="1" x14ac:dyDescent="0.25">
      <c r="A2487" t="s">
        <v>3001</v>
      </c>
      <c r="B2487">
        <v>523</v>
      </c>
      <c r="C2487" t="b">
        <f t="shared" si="40"/>
        <v>0</v>
      </c>
    </row>
    <row r="2488" spans="1:3" hidden="1" x14ac:dyDescent="0.25">
      <c r="A2488" t="s">
        <v>4103</v>
      </c>
      <c r="B2488">
        <v>1704</v>
      </c>
      <c r="C2488" t="b">
        <f t="shared" si="40"/>
        <v>0</v>
      </c>
    </row>
    <row r="2489" spans="1:3" hidden="1" x14ac:dyDescent="0.25">
      <c r="A2489" t="s">
        <v>3024</v>
      </c>
      <c r="B2489">
        <v>550</v>
      </c>
      <c r="C2489" t="b">
        <f t="shared" si="40"/>
        <v>0</v>
      </c>
    </row>
    <row r="2490" spans="1:3" hidden="1" x14ac:dyDescent="0.25">
      <c r="A2490" t="s">
        <v>3883</v>
      </c>
      <c r="B2490">
        <v>1466</v>
      </c>
      <c r="C2490" t="b">
        <f t="shared" si="40"/>
        <v>0</v>
      </c>
    </row>
    <row r="2491" spans="1:3" hidden="1" x14ac:dyDescent="0.25">
      <c r="A2491" t="s">
        <v>3884</v>
      </c>
      <c r="B2491">
        <v>1467</v>
      </c>
      <c r="C2491" t="b">
        <f t="shared" si="40"/>
        <v>0</v>
      </c>
    </row>
    <row r="2492" spans="1:3" hidden="1" x14ac:dyDescent="0.25">
      <c r="A2492" t="s">
        <v>3885</v>
      </c>
      <c r="B2492">
        <v>1468</v>
      </c>
      <c r="C2492" t="b">
        <f t="shared" si="40"/>
        <v>0</v>
      </c>
    </row>
    <row r="2493" spans="1:3" hidden="1" x14ac:dyDescent="0.25">
      <c r="A2493" t="s">
        <v>4703</v>
      </c>
      <c r="B2493">
        <v>2370</v>
      </c>
      <c r="C2493" t="b">
        <f t="shared" si="40"/>
        <v>0</v>
      </c>
    </row>
    <row r="2494" spans="1:3" hidden="1" x14ac:dyDescent="0.25">
      <c r="A2494" t="s">
        <v>4704</v>
      </c>
      <c r="B2494">
        <v>2371</v>
      </c>
      <c r="C2494" t="b">
        <f t="shared" si="40"/>
        <v>0</v>
      </c>
    </row>
    <row r="2495" spans="1:3" hidden="1" x14ac:dyDescent="0.25">
      <c r="A2495" t="s">
        <v>3244</v>
      </c>
      <c r="B2495">
        <v>778</v>
      </c>
      <c r="C2495" t="b">
        <f t="shared" si="40"/>
        <v>0</v>
      </c>
    </row>
    <row r="2496" spans="1:3" hidden="1" x14ac:dyDescent="0.25">
      <c r="A2496" t="s">
        <v>3245</v>
      </c>
      <c r="B2496">
        <v>779</v>
      </c>
      <c r="C2496" t="b">
        <f t="shared" si="40"/>
        <v>0</v>
      </c>
    </row>
    <row r="2497" spans="1:3" hidden="1" x14ac:dyDescent="0.25">
      <c r="A2497" t="s">
        <v>3826</v>
      </c>
      <c r="B2497">
        <v>1403</v>
      </c>
      <c r="C2497" t="b">
        <f t="shared" si="40"/>
        <v>0</v>
      </c>
    </row>
    <row r="2498" spans="1:3" hidden="1" x14ac:dyDescent="0.25">
      <c r="A2498" t="s">
        <v>4462</v>
      </c>
      <c r="B2498">
        <v>2096</v>
      </c>
      <c r="C2498" t="b">
        <f t="shared" si="40"/>
        <v>0</v>
      </c>
    </row>
    <row r="2499" spans="1:3" hidden="1" x14ac:dyDescent="0.25">
      <c r="A2499" t="s">
        <v>4545</v>
      </c>
      <c r="B2499">
        <v>2193</v>
      </c>
      <c r="C2499" t="b">
        <f t="shared" si="40"/>
        <v>0</v>
      </c>
    </row>
    <row r="2500" spans="1:3" x14ac:dyDescent="0.25">
      <c r="A2500" t="s">
        <v>4545</v>
      </c>
      <c r="B2500">
        <v>2702</v>
      </c>
      <c r="C2500" t="b">
        <f t="shared" si="40"/>
        <v>1</v>
      </c>
    </row>
    <row r="2501" spans="1:3" hidden="1" x14ac:dyDescent="0.25">
      <c r="A2501" t="s">
        <v>5001</v>
      </c>
      <c r="B2501">
        <v>2703</v>
      </c>
      <c r="C2501" t="b">
        <f t="shared" si="40"/>
        <v>0</v>
      </c>
    </row>
    <row r="2502" spans="1:3" hidden="1" x14ac:dyDescent="0.25">
      <c r="A2502" t="s">
        <v>3972</v>
      </c>
      <c r="B2502">
        <v>1561</v>
      </c>
      <c r="C2502" t="b">
        <f t="shared" si="40"/>
        <v>0</v>
      </c>
    </row>
    <row r="2503" spans="1:3" hidden="1" x14ac:dyDescent="0.25">
      <c r="A2503" t="s">
        <v>4610</v>
      </c>
      <c r="B2503">
        <v>2267</v>
      </c>
      <c r="C2503" t="b">
        <f t="shared" si="40"/>
        <v>0</v>
      </c>
    </row>
    <row r="2504" spans="1:3" hidden="1" x14ac:dyDescent="0.25">
      <c r="A2504" t="s">
        <v>4278</v>
      </c>
      <c r="B2504">
        <v>1903</v>
      </c>
      <c r="C2504" t="b">
        <f t="shared" si="40"/>
        <v>0</v>
      </c>
    </row>
    <row r="2505" spans="1:3" hidden="1" x14ac:dyDescent="0.25">
      <c r="A2505" t="s">
        <v>3572</v>
      </c>
      <c r="B2505">
        <v>1132</v>
      </c>
      <c r="C2505" t="b">
        <f t="shared" si="40"/>
        <v>0</v>
      </c>
    </row>
    <row r="2506" spans="1:3" hidden="1" x14ac:dyDescent="0.25">
      <c r="A2506" t="s">
        <v>3573</v>
      </c>
      <c r="B2506">
        <v>1133</v>
      </c>
      <c r="C2506" t="b">
        <f t="shared" si="40"/>
        <v>0</v>
      </c>
    </row>
    <row r="2507" spans="1:3" hidden="1" x14ac:dyDescent="0.25">
      <c r="A2507" t="s">
        <v>3571</v>
      </c>
      <c r="B2507">
        <v>1131</v>
      </c>
      <c r="C2507" t="b">
        <f t="shared" si="40"/>
        <v>0</v>
      </c>
    </row>
    <row r="2508" spans="1:3" hidden="1" x14ac:dyDescent="0.25">
      <c r="A2508" t="s">
        <v>3574</v>
      </c>
      <c r="B2508">
        <v>1134</v>
      </c>
      <c r="C2508" t="b">
        <f t="shared" si="40"/>
        <v>0</v>
      </c>
    </row>
    <row r="2509" spans="1:3" hidden="1" x14ac:dyDescent="0.25">
      <c r="A2509" t="s">
        <v>3868</v>
      </c>
      <c r="B2509">
        <v>1448</v>
      </c>
      <c r="C2509" t="b">
        <f t="shared" si="40"/>
        <v>0</v>
      </c>
    </row>
    <row r="2510" spans="1:3" hidden="1" x14ac:dyDescent="0.25">
      <c r="A2510" t="s">
        <v>5125</v>
      </c>
      <c r="B2510">
        <v>2828</v>
      </c>
      <c r="C2510" t="b">
        <f t="shared" si="40"/>
        <v>0</v>
      </c>
    </row>
    <row r="2511" spans="1:3" hidden="1" x14ac:dyDescent="0.25">
      <c r="A2511" t="s">
        <v>5126</v>
      </c>
      <c r="B2511">
        <v>2829</v>
      </c>
      <c r="C2511" t="b">
        <f t="shared" si="40"/>
        <v>0</v>
      </c>
    </row>
    <row r="2512" spans="1:3" hidden="1" x14ac:dyDescent="0.25">
      <c r="A2512" t="s">
        <v>4705</v>
      </c>
      <c r="B2512">
        <v>2372</v>
      </c>
      <c r="C2512" t="b">
        <f t="shared" si="40"/>
        <v>0</v>
      </c>
    </row>
    <row r="2513" spans="1:3" hidden="1" x14ac:dyDescent="0.25">
      <c r="A2513" t="s">
        <v>3921</v>
      </c>
      <c r="B2513">
        <v>1506</v>
      </c>
      <c r="C2513" t="b">
        <f t="shared" si="40"/>
        <v>0</v>
      </c>
    </row>
    <row r="2514" spans="1:3" hidden="1" x14ac:dyDescent="0.25">
      <c r="A2514" t="s">
        <v>3923</v>
      </c>
      <c r="B2514">
        <v>1508</v>
      </c>
      <c r="C2514" t="b">
        <f t="shared" si="40"/>
        <v>0</v>
      </c>
    </row>
    <row r="2515" spans="1:3" hidden="1" x14ac:dyDescent="0.25">
      <c r="A2515" t="s">
        <v>3922</v>
      </c>
      <c r="B2515">
        <v>1507</v>
      </c>
      <c r="C2515" t="b">
        <f t="shared" si="40"/>
        <v>0</v>
      </c>
    </row>
    <row r="2516" spans="1:3" hidden="1" x14ac:dyDescent="0.25">
      <c r="A2516" t="s">
        <v>2892</v>
      </c>
      <c r="B2516">
        <v>407</v>
      </c>
      <c r="C2516" t="b">
        <f t="shared" si="40"/>
        <v>0</v>
      </c>
    </row>
    <row r="2517" spans="1:3" hidden="1" x14ac:dyDescent="0.25">
      <c r="A2517" t="s">
        <v>2893</v>
      </c>
      <c r="B2517">
        <v>408</v>
      </c>
      <c r="C2517" t="b">
        <f t="shared" si="40"/>
        <v>0</v>
      </c>
    </row>
    <row r="2518" spans="1:3" hidden="1" x14ac:dyDescent="0.25">
      <c r="A2518" t="s">
        <v>3717</v>
      </c>
      <c r="B2518">
        <v>1286</v>
      </c>
      <c r="C2518" t="b">
        <f t="shared" si="40"/>
        <v>0</v>
      </c>
    </row>
    <row r="2519" spans="1:3" hidden="1" x14ac:dyDescent="0.25">
      <c r="A2519" t="s">
        <v>3973</v>
      </c>
      <c r="B2519">
        <v>1562</v>
      </c>
      <c r="C2519" t="b">
        <f t="shared" si="40"/>
        <v>0</v>
      </c>
    </row>
    <row r="2520" spans="1:3" hidden="1" x14ac:dyDescent="0.25">
      <c r="A2520" t="s">
        <v>5127</v>
      </c>
      <c r="B2520">
        <v>2830</v>
      </c>
      <c r="C2520" t="b">
        <f t="shared" si="40"/>
        <v>0</v>
      </c>
    </row>
    <row r="2521" spans="1:3" hidden="1" x14ac:dyDescent="0.25">
      <c r="A2521" t="s">
        <v>3246</v>
      </c>
      <c r="B2521">
        <v>780</v>
      </c>
      <c r="C2521" t="b">
        <f t="shared" si="40"/>
        <v>0</v>
      </c>
    </row>
    <row r="2522" spans="1:3" hidden="1" x14ac:dyDescent="0.25">
      <c r="A2522" t="s">
        <v>4706</v>
      </c>
      <c r="B2522">
        <v>2373</v>
      </c>
      <c r="C2522" t="b">
        <f t="shared" si="40"/>
        <v>0</v>
      </c>
    </row>
    <row r="2523" spans="1:3" hidden="1" x14ac:dyDescent="0.25">
      <c r="A2523" t="s">
        <v>4835</v>
      </c>
      <c r="B2523">
        <v>2519</v>
      </c>
      <c r="C2523" t="b">
        <f t="shared" si="40"/>
        <v>0</v>
      </c>
    </row>
    <row r="2524" spans="1:3" hidden="1" x14ac:dyDescent="0.25">
      <c r="A2524" t="s">
        <v>2683</v>
      </c>
      <c r="B2524">
        <v>193</v>
      </c>
      <c r="C2524" t="b">
        <f t="shared" si="40"/>
        <v>0</v>
      </c>
    </row>
    <row r="2525" spans="1:3" hidden="1" x14ac:dyDescent="0.25">
      <c r="A2525" t="s">
        <v>2682</v>
      </c>
      <c r="B2525">
        <v>192</v>
      </c>
      <c r="C2525" t="b">
        <f t="shared" si="40"/>
        <v>0</v>
      </c>
    </row>
    <row r="2526" spans="1:3" hidden="1" x14ac:dyDescent="0.25">
      <c r="A2526" t="s">
        <v>2814</v>
      </c>
      <c r="B2526">
        <v>326</v>
      </c>
      <c r="C2526" t="b">
        <f t="shared" si="40"/>
        <v>0</v>
      </c>
    </row>
    <row r="2527" spans="1:3" hidden="1" x14ac:dyDescent="0.25">
      <c r="A2527" t="s">
        <v>2815</v>
      </c>
      <c r="B2527">
        <v>327</v>
      </c>
      <c r="C2527" t="b">
        <f t="shared" si="40"/>
        <v>0</v>
      </c>
    </row>
    <row r="2528" spans="1:3" hidden="1" x14ac:dyDescent="0.25">
      <c r="A2528" t="s">
        <v>4777</v>
      </c>
      <c r="B2528">
        <v>2451</v>
      </c>
      <c r="C2528" t="b">
        <f t="shared" si="40"/>
        <v>0</v>
      </c>
    </row>
    <row r="2529" spans="1:3" hidden="1" x14ac:dyDescent="0.25">
      <c r="A2529" t="s">
        <v>4819</v>
      </c>
      <c r="B2529">
        <v>2500</v>
      </c>
      <c r="C2529" t="b">
        <f t="shared" si="40"/>
        <v>0</v>
      </c>
    </row>
    <row r="2530" spans="1:3" hidden="1" x14ac:dyDescent="0.25">
      <c r="A2530" t="s">
        <v>2585</v>
      </c>
      <c r="B2530">
        <v>91</v>
      </c>
      <c r="C2530" t="b">
        <f t="shared" si="40"/>
        <v>0</v>
      </c>
    </row>
    <row r="2531" spans="1:3" hidden="1" x14ac:dyDescent="0.25">
      <c r="A2531" t="s">
        <v>4104</v>
      </c>
      <c r="B2531">
        <v>1705</v>
      </c>
      <c r="C2531" t="b">
        <f t="shared" si="40"/>
        <v>0</v>
      </c>
    </row>
    <row r="2532" spans="1:3" hidden="1" x14ac:dyDescent="0.25">
      <c r="A2532" t="s">
        <v>4707</v>
      </c>
      <c r="B2532">
        <v>2374</v>
      </c>
      <c r="C2532" t="b">
        <f t="shared" si="40"/>
        <v>0</v>
      </c>
    </row>
    <row r="2533" spans="1:3" hidden="1" x14ac:dyDescent="0.25">
      <c r="A2533" t="s">
        <v>3270</v>
      </c>
      <c r="B2533">
        <v>805</v>
      </c>
      <c r="C2533" t="b">
        <f t="shared" si="40"/>
        <v>0</v>
      </c>
    </row>
    <row r="2534" spans="1:3" hidden="1" x14ac:dyDescent="0.25">
      <c r="A2534" t="s">
        <v>3668</v>
      </c>
      <c r="B2534">
        <v>1235</v>
      </c>
      <c r="C2534" t="b">
        <f t="shared" si="40"/>
        <v>0</v>
      </c>
    </row>
    <row r="2535" spans="1:3" hidden="1" x14ac:dyDescent="0.25">
      <c r="A2535" t="s">
        <v>3414</v>
      </c>
      <c r="B2535">
        <v>960</v>
      </c>
      <c r="C2535" t="b">
        <f t="shared" si="40"/>
        <v>0</v>
      </c>
    </row>
    <row r="2536" spans="1:3" hidden="1" x14ac:dyDescent="0.25">
      <c r="A2536" t="s">
        <v>2614</v>
      </c>
      <c r="B2536">
        <v>121</v>
      </c>
      <c r="C2536" t="b">
        <f t="shared" si="40"/>
        <v>0</v>
      </c>
    </row>
    <row r="2537" spans="1:3" hidden="1" x14ac:dyDescent="0.25">
      <c r="A2537" t="s">
        <v>2615</v>
      </c>
      <c r="B2537">
        <v>122</v>
      </c>
      <c r="C2537" t="b">
        <f t="shared" si="40"/>
        <v>0</v>
      </c>
    </row>
    <row r="2538" spans="1:3" hidden="1" x14ac:dyDescent="0.25">
      <c r="A2538" t="s">
        <v>4185</v>
      </c>
      <c r="B2538">
        <v>1803</v>
      </c>
      <c r="C2538" t="b">
        <f t="shared" si="40"/>
        <v>0</v>
      </c>
    </row>
    <row r="2539" spans="1:3" hidden="1" x14ac:dyDescent="0.25">
      <c r="A2539" t="s">
        <v>2721</v>
      </c>
      <c r="B2539">
        <v>231</v>
      </c>
      <c r="C2539" t="b">
        <f t="shared" si="40"/>
        <v>0</v>
      </c>
    </row>
    <row r="2540" spans="1:3" hidden="1" x14ac:dyDescent="0.25">
      <c r="A2540" t="s">
        <v>3383</v>
      </c>
      <c r="B2540">
        <v>925</v>
      </c>
      <c r="C2540" t="b">
        <f t="shared" si="40"/>
        <v>0</v>
      </c>
    </row>
    <row r="2541" spans="1:3" hidden="1" x14ac:dyDescent="0.25">
      <c r="A2541" t="s">
        <v>2684</v>
      </c>
      <c r="B2541">
        <v>194</v>
      </c>
      <c r="C2541" t="b">
        <f t="shared" si="40"/>
        <v>0</v>
      </c>
    </row>
    <row r="2542" spans="1:3" hidden="1" x14ac:dyDescent="0.25">
      <c r="A2542" t="s">
        <v>3350</v>
      </c>
      <c r="B2542">
        <v>890</v>
      </c>
      <c r="C2542" t="b">
        <f t="shared" si="40"/>
        <v>0</v>
      </c>
    </row>
    <row r="2543" spans="1:3" hidden="1" x14ac:dyDescent="0.25">
      <c r="A2543" t="s">
        <v>3321</v>
      </c>
      <c r="B2543">
        <v>859</v>
      </c>
      <c r="C2543" t="b">
        <f t="shared" si="40"/>
        <v>0</v>
      </c>
    </row>
    <row r="2544" spans="1:3" hidden="1" x14ac:dyDescent="0.25">
      <c r="A2544" t="s">
        <v>3322</v>
      </c>
      <c r="B2544">
        <v>860</v>
      </c>
      <c r="C2544" t="b">
        <f t="shared" si="40"/>
        <v>0</v>
      </c>
    </row>
    <row r="2545" spans="1:3" hidden="1" x14ac:dyDescent="0.25">
      <c r="A2545" t="s">
        <v>3323</v>
      </c>
      <c r="B2545">
        <v>861</v>
      </c>
      <c r="C2545" t="b">
        <f t="shared" si="40"/>
        <v>0</v>
      </c>
    </row>
    <row r="2546" spans="1:3" hidden="1" x14ac:dyDescent="0.25">
      <c r="A2546" t="s">
        <v>3324</v>
      </c>
      <c r="B2546">
        <v>862</v>
      </c>
      <c r="C2546" t="b">
        <f t="shared" si="40"/>
        <v>0</v>
      </c>
    </row>
    <row r="2547" spans="1:3" hidden="1" x14ac:dyDescent="0.25">
      <c r="A2547" t="s">
        <v>3325</v>
      </c>
      <c r="B2547">
        <v>863</v>
      </c>
      <c r="C2547" t="b">
        <f t="shared" ref="C2547:C2610" si="41">A2547=A2546</f>
        <v>0</v>
      </c>
    </row>
    <row r="2548" spans="1:3" hidden="1" x14ac:dyDescent="0.25">
      <c r="A2548" t="s">
        <v>5128</v>
      </c>
      <c r="B2548">
        <v>2831</v>
      </c>
      <c r="C2548" t="b">
        <f t="shared" si="41"/>
        <v>0</v>
      </c>
    </row>
    <row r="2549" spans="1:3" hidden="1" x14ac:dyDescent="0.25">
      <c r="A2549" t="s">
        <v>4463</v>
      </c>
      <c r="B2549">
        <v>2097</v>
      </c>
      <c r="C2549" t="b">
        <f t="shared" si="41"/>
        <v>0</v>
      </c>
    </row>
    <row r="2550" spans="1:3" hidden="1" x14ac:dyDescent="0.25">
      <c r="A2550" t="s">
        <v>3504</v>
      </c>
      <c r="B2550">
        <v>1060</v>
      </c>
      <c r="C2550" t="b">
        <f t="shared" si="41"/>
        <v>0</v>
      </c>
    </row>
    <row r="2551" spans="1:3" hidden="1" x14ac:dyDescent="0.25">
      <c r="A2551" t="s">
        <v>3505</v>
      </c>
      <c r="B2551">
        <v>1061</v>
      </c>
      <c r="C2551" t="b">
        <f t="shared" si="41"/>
        <v>0</v>
      </c>
    </row>
    <row r="2552" spans="1:3" hidden="1" x14ac:dyDescent="0.25">
      <c r="A2552" t="s">
        <v>4554</v>
      </c>
      <c r="B2552">
        <v>2206</v>
      </c>
      <c r="C2552" t="b">
        <f t="shared" si="41"/>
        <v>0</v>
      </c>
    </row>
    <row r="2553" spans="1:3" hidden="1" x14ac:dyDescent="0.25">
      <c r="A2553" t="s">
        <v>4778</v>
      </c>
      <c r="B2553">
        <v>2452</v>
      </c>
      <c r="C2553" t="b">
        <f t="shared" si="41"/>
        <v>0</v>
      </c>
    </row>
    <row r="2554" spans="1:3" hidden="1" x14ac:dyDescent="0.25">
      <c r="A2554" t="s">
        <v>4291</v>
      </c>
      <c r="B2554">
        <v>1917</v>
      </c>
      <c r="C2554" t="b">
        <f t="shared" si="41"/>
        <v>0</v>
      </c>
    </row>
    <row r="2555" spans="1:3" hidden="1" x14ac:dyDescent="0.25">
      <c r="A2555" t="s">
        <v>4708</v>
      </c>
      <c r="B2555">
        <v>2375</v>
      </c>
      <c r="C2555" t="b">
        <f t="shared" si="41"/>
        <v>0</v>
      </c>
    </row>
    <row r="2556" spans="1:3" hidden="1" x14ac:dyDescent="0.25">
      <c r="A2556" t="s">
        <v>4464</v>
      </c>
      <c r="B2556">
        <v>2098</v>
      </c>
      <c r="C2556" t="b">
        <f t="shared" si="41"/>
        <v>0</v>
      </c>
    </row>
    <row r="2557" spans="1:3" hidden="1" x14ac:dyDescent="0.25">
      <c r="A2557" t="s">
        <v>4361</v>
      </c>
      <c r="B2557">
        <v>1994</v>
      </c>
      <c r="C2557" t="b">
        <f t="shared" si="41"/>
        <v>0</v>
      </c>
    </row>
    <row r="2558" spans="1:3" hidden="1" x14ac:dyDescent="0.25">
      <c r="A2558" t="s">
        <v>4105</v>
      </c>
      <c r="B2558">
        <v>1706</v>
      </c>
      <c r="C2558" t="b">
        <f t="shared" si="41"/>
        <v>0</v>
      </c>
    </row>
    <row r="2559" spans="1:3" hidden="1" x14ac:dyDescent="0.25">
      <c r="A2559" t="s">
        <v>2635</v>
      </c>
      <c r="B2559">
        <v>143</v>
      </c>
      <c r="C2559" t="b">
        <f t="shared" si="41"/>
        <v>0</v>
      </c>
    </row>
    <row r="2560" spans="1:3" hidden="1" x14ac:dyDescent="0.25">
      <c r="A2560" t="s">
        <v>2977</v>
      </c>
      <c r="B2560">
        <v>498</v>
      </c>
      <c r="C2560" t="b">
        <f t="shared" si="41"/>
        <v>0</v>
      </c>
    </row>
    <row r="2561" spans="1:3" hidden="1" x14ac:dyDescent="0.25">
      <c r="A2561" t="s">
        <v>4900</v>
      </c>
      <c r="B2561">
        <v>2592</v>
      </c>
      <c r="C2561" t="b">
        <f t="shared" si="41"/>
        <v>0</v>
      </c>
    </row>
    <row r="2562" spans="1:3" hidden="1" x14ac:dyDescent="0.25">
      <c r="A2562" t="s">
        <v>4901</v>
      </c>
      <c r="B2562">
        <v>2593</v>
      </c>
      <c r="C2562" t="b">
        <f t="shared" si="41"/>
        <v>0</v>
      </c>
    </row>
    <row r="2563" spans="1:3" hidden="1" x14ac:dyDescent="0.25">
      <c r="A2563" t="s">
        <v>4898</v>
      </c>
      <c r="B2563">
        <v>2590</v>
      </c>
      <c r="C2563" t="b">
        <f t="shared" si="41"/>
        <v>0</v>
      </c>
    </row>
    <row r="2564" spans="1:3" hidden="1" x14ac:dyDescent="0.25">
      <c r="A2564" t="s">
        <v>4902</v>
      </c>
      <c r="B2564">
        <v>2594</v>
      </c>
      <c r="C2564" t="b">
        <f t="shared" si="41"/>
        <v>0</v>
      </c>
    </row>
    <row r="2565" spans="1:3" hidden="1" x14ac:dyDescent="0.25">
      <c r="A2565" t="s">
        <v>4903</v>
      </c>
      <c r="B2565">
        <v>2595</v>
      </c>
      <c r="C2565" t="b">
        <f t="shared" si="41"/>
        <v>0</v>
      </c>
    </row>
    <row r="2566" spans="1:3" hidden="1" x14ac:dyDescent="0.25">
      <c r="A2566" t="s">
        <v>4904</v>
      </c>
      <c r="B2566">
        <v>2596</v>
      </c>
      <c r="C2566" t="b">
        <f t="shared" si="41"/>
        <v>0</v>
      </c>
    </row>
    <row r="2567" spans="1:3" hidden="1" x14ac:dyDescent="0.25">
      <c r="A2567" t="s">
        <v>4899</v>
      </c>
      <c r="B2567">
        <v>2591</v>
      </c>
      <c r="C2567" t="b">
        <f t="shared" si="41"/>
        <v>0</v>
      </c>
    </row>
    <row r="2568" spans="1:3" hidden="1" x14ac:dyDescent="0.25">
      <c r="A2568" t="s">
        <v>4547</v>
      </c>
      <c r="B2568">
        <v>2195</v>
      </c>
      <c r="C2568" t="b">
        <f t="shared" si="41"/>
        <v>0</v>
      </c>
    </row>
    <row r="2569" spans="1:3" hidden="1" x14ac:dyDescent="0.25">
      <c r="A2569" t="s">
        <v>4546</v>
      </c>
      <c r="B2569">
        <v>2194</v>
      </c>
      <c r="C2569" t="b">
        <f t="shared" si="41"/>
        <v>0</v>
      </c>
    </row>
    <row r="2570" spans="1:3" hidden="1" x14ac:dyDescent="0.25">
      <c r="A2570" t="s">
        <v>2816</v>
      </c>
      <c r="B2570">
        <v>328</v>
      </c>
      <c r="C2570" t="b">
        <f t="shared" si="41"/>
        <v>0</v>
      </c>
    </row>
    <row r="2571" spans="1:3" hidden="1" x14ac:dyDescent="0.25">
      <c r="A2571" t="s">
        <v>2636</v>
      </c>
      <c r="B2571">
        <v>144</v>
      </c>
      <c r="C2571" t="b">
        <f t="shared" si="41"/>
        <v>0</v>
      </c>
    </row>
    <row r="2572" spans="1:3" hidden="1" x14ac:dyDescent="0.25">
      <c r="A2572" t="s">
        <v>2637</v>
      </c>
      <c r="B2572">
        <v>145</v>
      </c>
      <c r="C2572" t="b">
        <f t="shared" si="41"/>
        <v>0</v>
      </c>
    </row>
    <row r="2573" spans="1:3" hidden="1" x14ac:dyDescent="0.25">
      <c r="A2573" t="s">
        <v>3802</v>
      </c>
      <c r="B2573">
        <v>1375</v>
      </c>
      <c r="C2573" t="b">
        <f t="shared" si="41"/>
        <v>0</v>
      </c>
    </row>
    <row r="2574" spans="1:3" x14ac:dyDescent="0.25">
      <c r="A2574" t="s">
        <v>3802</v>
      </c>
      <c r="B2574">
        <v>1548</v>
      </c>
      <c r="C2574" t="b">
        <f t="shared" si="41"/>
        <v>1</v>
      </c>
    </row>
    <row r="2575" spans="1:3" hidden="1" x14ac:dyDescent="0.25">
      <c r="A2575" t="s">
        <v>3459</v>
      </c>
      <c r="B2575">
        <v>1013</v>
      </c>
      <c r="C2575" t="b">
        <f t="shared" si="41"/>
        <v>0</v>
      </c>
    </row>
    <row r="2576" spans="1:3" hidden="1" x14ac:dyDescent="0.25">
      <c r="A2576" t="s">
        <v>3961</v>
      </c>
      <c r="B2576">
        <v>1549</v>
      </c>
      <c r="C2576" t="b">
        <f t="shared" si="41"/>
        <v>0</v>
      </c>
    </row>
    <row r="2577" spans="1:3" hidden="1" x14ac:dyDescent="0.25">
      <c r="A2577" t="s">
        <v>3625</v>
      </c>
      <c r="B2577">
        <v>1191</v>
      </c>
      <c r="C2577" t="b">
        <f t="shared" si="41"/>
        <v>0</v>
      </c>
    </row>
    <row r="2578" spans="1:3" hidden="1" x14ac:dyDescent="0.25">
      <c r="A2578" t="s">
        <v>2848</v>
      </c>
      <c r="B2578">
        <v>361</v>
      </c>
      <c r="C2578" t="b">
        <f t="shared" si="41"/>
        <v>0</v>
      </c>
    </row>
    <row r="2579" spans="1:3" hidden="1" x14ac:dyDescent="0.25">
      <c r="A2579" t="s">
        <v>2847</v>
      </c>
      <c r="B2579">
        <v>360</v>
      </c>
      <c r="C2579" t="b">
        <f t="shared" si="41"/>
        <v>0</v>
      </c>
    </row>
    <row r="2580" spans="1:3" x14ac:dyDescent="0.25">
      <c r="A2580" t="s">
        <v>2847</v>
      </c>
      <c r="B2580">
        <v>864</v>
      </c>
      <c r="C2580" t="b">
        <f t="shared" si="41"/>
        <v>1</v>
      </c>
    </row>
    <row r="2581" spans="1:3" hidden="1" x14ac:dyDescent="0.25">
      <c r="A2581" t="s">
        <v>3098</v>
      </c>
      <c r="B2581">
        <v>628</v>
      </c>
      <c r="C2581" t="b">
        <f t="shared" si="41"/>
        <v>0</v>
      </c>
    </row>
    <row r="2582" spans="1:3" hidden="1" x14ac:dyDescent="0.25">
      <c r="A2582" t="s">
        <v>3099</v>
      </c>
      <c r="B2582">
        <v>629</v>
      </c>
      <c r="C2582" t="b">
        <f t="shared" si="41"/>
        <v>0</v>
      </c>
    </row>
    <row r="2583" spans="1:3" hidden="1" x14ac:dyDescent="0.25">
      <c r="A2583" t="s">
        <v>4106</v>
      </c>
      <c r="B2583">
        <v>1707</v>
      </c>
      <c r="C2583" t="b">
        <f t="shared" si="41"/>
        <v>0</v>
      </c>
    </row>
    <row r="2584" spans="1:3" hidden="1" x14ac:dyDescent="0.25">
      <c r="A2584" t="s">
        <v>4107</v>
      </c>
      <c r="B2584">
        <v>1708</v>
      </c>
      <c r="C2584" t="b">
        <f t="shared" si="41"/>
        <v>0</v>
      </c>
    </row>
    <row r="2585" spans="1:3" hidden="1" x14ac:dyDescent="0.25">
      <c r="A2585" t="s">
        <v>3100</v>
      </c>
      <c r="B2585">
        <v>630</v>
      </c>
      <c r="C2585" t="b">
        <f t="shared" si="41"/>
        <v>0</v>
      </c>
    </row>
    <row r="2586" spans="1:3" hidden="1" x14ac:dyDescent="0.25">
      <c r="A2586" t="s">
        <v>4045</v>
      </c>
      <c r="B2586">
        <v>1639</v>
      </c>
      <c r="C2586" t="b">
        <f t="shared" si="41"/>
        <v>0</v>
      </c>
    </row>
    <row r="2587" spans="1:3" hidden="1" x14ac:dyDescent="0.25">
      <c r="A2587" t="s">
        <v>2572</v>
      </c>
      <c r="B2587">
        <v>77</v>
      </c>
      <c r="C2587" t="b">
        <f t="shared" si="41"/>
        <v>0</v>
      </c>
    </row>
    <row r="2588" spans="1:3" hidden="1" x14ac:dyDescent="0.25">
      <c r="A2588" t="s">
        <v>5129</v>
      </c>
      <c r="B2588">
        <v>2832</v>
      </c>
      <c r="C2588" t="b">
        <f t="shared" si="41"/>
        <v>0</v>
      </c>
    </row>
    <row r="2589" spans="1:3" hidden="1" x14ac:dyDescent="0.25">
      <c r="A2589" t="s">
        <v>5130</v>
      </c>
      <c r="B2589">
        <v>2833</v>
      </c>
      <c r="C2589" t="b">
        <f t="shared" si="41"/>
        <v>0</v>
      </c>
    </row>
    <row r="2590" spans="1:3" hidden="1" x14ac:dyDescent="0.25">
      <c r="A2590" t="s">
        <v>5131</v>
      </c>
      <c r="B2590">
        <v>2834</v>
      </c>
      <c r="C2590" t="b">
        <f t="shared" si="41"/>
        <v>0</v>
      </c>
    </row>
    <row r="2591" spans="1:3" hidden="1" x14ac:dyDescent="0.25">
      <c r="A2591" t="s">
        <v>4952</v>
      </c>
      <c r="B2591">
        <v>2650</v>
      </c>
      <c r="C2591" t="b">
        <f t="shared" si="41"/>
        <v>0</v>
      </c>
    </row>
    <row r="2592" spans="1:3" hidden="1" x14ac:dyDescent="0.25">
      <c r="A2592" t="s">
        <v>4951</v>
      </c>
      <c r="B2592">
        <v>2649</v>
      </c>
      <c r="C2592" t="b">
        <f t="shared" si="41"/>
        <v>0</v>
      </c>
    </row>
    <row r="2593" spans="1:3" hidden="1" x14ac:dyDescent="0.25">
      <c r="A2593" t="s">
        <v>4953</v>
      </c>
      <c r="B2593">
        <v>2651</v>
      </c>
      <c r="C2593" t="b">
        <f t="shared" si="41"/>
        <v>0</v>
      </c>
    </row>
    <row r="2594" spans="1:3" hidden="1" x14ac:dyDescent="0.25">
      <c r="A2594" t="s">
        <v>4954</v>
      </c>
      <c r="B2594">
        <v>2652</v>
      </c>
      <c r="C2594" t="b">
        <f t="shared" si="41"/>
        <v>0</v>
      </c>
    </row>
    <row r="2595" spans="1:3" hidden="1" x14ac:dyDescent="0.25">
      <c r="A2595" t="s">
        <v>4955</v>
      </c>
      <c r="B2595">
        <v>2653</v>
      </c>
      <c r="C2595" t="b">
        <f t="shared" si="41"/>
        <v>0</v>
      </c>
    </row>
    <row r="2596" spans="1:3" hidden="1" x14ac:dyDescent="0.25">
      <c r="A2596" t="s">
        <v>4956</v>
      </c>
      <c r="B2596">
        <v>2654</v>
      </c>
      <c r="C2596" t="b">
        <f t="shared" si="41"/>
        <v>0</v>
      </c>
    </row>
    <row r="2597" spans="1:3" hidden="1" x14ac:dyDescent="0.25">
      <c r="A2597" t="s">
        <v>2925</v>
      </c>
      <c r="B2597">
        <v>443</v>
      </c>
      <c r="C2597" t="b">
        <f t="shared" si="41"/>
        <v>0</v>
      </c>
    </row>
    <row r="2598" spans="1:3" hidden="1" x14ac:dyDescent="0.25">
      <c r="A2598" t="s">
        <v>4568</v>
      </c>
      <c r="B2598">
        <v>2224</v>
      </c>
      <c r="C2598" t="b">
        <f t="shared" si="41"/>
        <v>0</v>
      </c>
    </row>
    <row r="2599" spans="1:3" hidden="1" x14ac:dyDescent="0.25">
      <c r="A2599" t="s">
        <v>4567</v>
      </c>
      <c r="B2599">
        <v>2223</v>
      </c>
      <c r="C2599" t="b">
        <f t="shared" si="41"/>
        <v>0</v>
      </c>
    </row>
    <row r="2600" spans="1:3" hidden="1" x14ac:dyDescent="0.25">
      <c r="A2600" t="s">
        <v>4905</v>
      </c>
      <c r="B2600">
        <v>2597</v>
      </c>
      <c r="C2600" t="b">
        <f t="shared" si="41"/>
        <v>0</v>
      </c>
    </row>
    <row r="2601" spans="1:3" hidden="1" x14ac:dyDescent="0.25">
      <c r="A2601" t="s">
        <v>4906</v>
      </c>
      <c r="B2601">
        <v>2598</v>
      </c>
      <c r="C2601" t="b">
        <f t="shared" si="41"/>
        <v>0</v>
      </c>
    </row>
    <row r="2602" spans="1:3" hidden="1" x14ac:dyDescent="0.25">
      <c r="A2602" t="s">
        <v>3803</v>
      </c>
      <c r="B2602">
        <v>1376</v>
      </c>
      <c r="C2602" t="b">
        <f t="shared" si="41"/>
        <v>0</v>
      </c>
    </row>
    <row r="2603" spans="1:3" hidden="1" x14ac:dyDescent="0.25">
      <c r="A2603" t="s">
        <v>3153</v>
      </c>
      <c r="B2603">
        <v>685</v>
      </c>
      <c r="C2603" t="b">
        <f t="shared" si="41"/>
        <v>0</v>
      </c>
    </row>
    <row r="2604" spans="1:3" hidden="1" x14ac:dyDescent="0.25">
      <c r="A2604" t="s">
        <v>3154</v>
      </c>
      <c r="B2604">
        <v>686</v>
      </c>
      <c r="C2604" t="b">
        <f t="shared" si="41"/>
        <v>0</v>
      </c>
    </row>
    <row r="2605" spans="1:3" hidden="1" x14ac:dyDescent="0.25">
      <c r="A2605" t="s">
        <v>4866</v>
      </c>
      <c r="B2605">
        <v>2554</v>
      </c>
      <c r="C2605" t="b">
        <f t="shared" si="41"/>
        <v>0</v>
      </c>
    </row>
    <row r="2606" spans="1:3" hidden="1" x14ac:dyDescent="0.25">
      <c r="A2606" t="s">
        <v>3626</v>
      </c>
      <c r="B2606">
        <v>1192</v>
      </c>
      <c r="C2606" t="b">
        <f t="shared" si="41"/>
        <v>0</v>
      </c>
    </row>
    <row r="2607" spans="1:3" x14ac:dyDescent="0.25">
      <c r="A2607" t="s">
        <v>3626</v>
      </c>
      <c r="B2607">
        <v>2552</v>
      </c>
      <c r="C2607" t="b">
        <f t="shared" si="41"/>
        <v>1</v>
      </c>
    </row>
    <row r="2608" spans="1:3" hidden="1" x14ac:dyDescent="0.25">
      <c r="A2608" t="s">
        <v>4865</v>
      </c>
      <c r="B2608">
        <v>2553</v>
      </c>
      <c r="C2608" t="b">
        <f t="shared" si="41"/>
        <v>0</v>
      </c>
    </row>
    <row r="2609" spans="1:3" hidden="1" x14ac:dyDescent="0.25">
      <c r="A2609" t="s">
        <v>3460</v>
      </c>
      <c r="B2609">
        <v>1014</v>
      </c>
      <c r="C2609" t="b">
        <f t="shared" si="41"/>
        <v>0</v>
      </c>
    </row>
    <row r="2610" spans="1:3" hidden="1" x14ac:dyDescent="0.25">
      <c r="A2610" t="s">
        <v>3506</v>
      </c>
      <c r="B2610">
        <v>1062</v>
      </c>
      <c r="C2610" t="b">
        <f t="shared" si="41"/>
        <v>0</v>
      </c>
    </row>
    <row r="2611" spans="1:3" hidden="1" x14ac:dyDescent="0.25">
      <c r="A2611" t="s">
        <v>3719</v>
      </c>
      <c r="B2611">
        <v>1288</v>
      </c>
      <c r="C2611" t="b">
        <f t="shared" ref="C2611:C2674" si="42">A2611=A2610</f>
        <v>0</v>
      </c>
    </row>
    <row r="2612" spans="1:3" hidden="1" x14ac:dyDescent="0.25">
      <c r="A2612" t="s">
        <v>3718</v>
      </c>
      <c r="B2612">
        <v>1287</v>
      </c>
      <c r="C2612" t="b">
        <f t="shared" si="42"/>
        <v>0</v>
      </c>
    </row>
    <row r="2613" spans="1:3" hidden="1" x14ac:dyDescent="0.25">
      <c r="A2613" t="s">
        <v>3059</v>
      </c>
      <c r="B2613">
        <v>587</v>
      </c>
      <c r="C2613" t="b">
        <f t="shared" si="42"/>
        <v>0</v>
      </c>
    </row>
    <row r="2614" spans="1:3" hidden="1" x14ac:dyDescent="0.25">
      <c r="A2614" t="s">
        <v>3247</v>
      </c>
      <c r="B2614">
        <v>781</v>
      </c>
      <c r="C2614" t="b">
        <f t="shared" si="42"/>
        <v>0</v>
      </c>
    </row>
    <row r="2615" spans="1:3" hidden="1" x14ac:dyDescent="0.25">
      <c r="A2615" t="s">
        <v>4292</v>
      </c>
      <c r="B2615">
        <v>1918</v>
      </c>
      <c r="C2615" t="b">
        <f t="shared" si="42"/>
        <v>0</v>
      </c>
    </row>
    <row r="2616" spans="1:3" hidden="1" x14ac:dyDescent="0.25">
      <c r="A2616" t="s">
        <v>2926</v>
      </c>
      <c r="B2616">
        <v>444</v>
      </c>
      <c r="C2616" t="b">
        <f t="shared" si="42"/>
        <v>0</v>
      </c>
    </row>
    <row r="2617" spans="1:3" hidden="1" x14ac:dyDescent="0.25">
      <c r="A2617" t="s">
        <v>3288</v>
      </c>
      <c r="B2617">
        <v>824</v>
      </c>
      <c r="C2617" t="b">
        <f t="shared" si="42"/>
        <v>0</v>
      </c>
    </row>
    <row r="2618" spans="1:3" hidden="1" x14ac:dyDescent="0.25">
      <c r="A2618" t="s">
        <v>3290</v>
      </c>
      <c r="B2618">
        <v>826</v>
      </c>
      <c r="C2618" t="b">
        <f t="shared" si="42"/>
        <v>0</v>
      </c>
    </row>
    <row r="2619" spans="1:3" hidden="1" x14ac:dyDescent="0.25">
      <c r="A2619" t="s">
        <v>3289</v>
      </c>
      <c r="B2619">
        <v>825</v>
      </c>
      <c r="C2619" t="b">
        <f t="shared" si="42"/>
        <v>0</v>
      </c>
    </row>
    <row r="2620" spans="1:3" hidden="1" x14ac:dyDescent="0.25">
      <c r="A2620" t="s">
        <v>3720</v>
      </c>
      <c r="B2620">
        <v>1289</v>
      </c>
      <c r="C2620" t="b">
        <f t="shared" si="42"/>
        <v>0</v>
      </c>
    </row>
    <row r="2621" spans="1:3" hidden="1" x14ac:dyDescent="0.25">
      <c r="A2621" t="s">
        <v>3385</v>
      </c>
      <c r="B2621">
        <v>927</v>
      </c>
      <c r="C2621" t="b">
        <f t="shared" si="42"/>
        <v>0</v>
      </c>
    </row>
    <row r="2622" spans="1:3" hidden="1" x14ac:dyDescent="0.25">
      <c r="A2622" t="s">
        <v>3384</v>
      </c>
      <c r="B2622">
        <v>926</v>
      </c>
      <c r="C2622" t="b">
        <f t="shared" si="42"/>
        <v>0</v>
      </c>
    </row>
    <row r="2623" spans="1:3" hidden="1" x14ac:dyDescent="0.25">
      <c r="A2623" t="s">
        <v>4746</v>
      </c>
      <c r="B2623">
        <v>2418</v>
      </c>
      <c r="C2623" t="b">
        <f t="shared" si="42"/>
        <v>0</v>
      </c>
    </row>
    <row r="2624" spans="1:3" hidden="1" x14ac:dyDescent="0.25">
      <c r="A2624" t="s">
        <v>3804</v>
      </c>
      <c r="B2624">
        <v>1377</v>
      </c>
      <c r="C2624" t="b">
        <f t="shared" si="42"/>
        <v>0</v>
      </c>
    </row>
    <row r="2625" spans="1:3" hidden="1" x14ac:dyDescent="0.25">
      <c r="A2625" t="s">
        <v>2978</v>
      </c>
      <c r="B2625">
        <v>499</v>
      </c>
      <c r="C2625" t="b">
        <f t="shared" si="42"/>
        <v>0</v>
      </c>
    </row>
    <row r="2626" spans="1:3" hidden="1" x14ac:dyDescent="0.25">
      <c r="A2626" t="s">
        <v>4495</v>
      </c>
      <c r="B2626">
        <v>2132</v>
      </c>
      <c r="C2626" t="b">
        <f t="shared" si="42"/>
        <v>0</v>
      </c>
    </row>
    <row r="2627" spans="1:3" hidden="1" x14ac:dyDescent="0.25">
      <c r="A2627" t="s">
        <v>4494</v>
      </c>
      <c r="B2627">
        <v>2131</v>
      </c>
      <c r="C2627" t="b">
        <f t="shared" si="42"/>
        <v>0</v>
      </c>
    </row>
    <row r="2628" spans="1:3" hidden="1" x14ac:dyDescent="0.25">
      <c r="A2628" t="s">
        <v>4465</v>
      </c>
      <c r="B2628">
        <v>2099</v>
      </c>
      <c r="C2628" t="b">
        <f t="shared" si="42"/>
        <v>0</v>
      </c>
    </row>
    <row r="2629" spans="1:3" hidden="1" x14ac:dyDescent="0.25">
      <c r="A2629" t="s">
        <v>3155</v>
      </c>
      <c r="B2629">
        <v>687</v>
      </c>
      <c r="C2629" t="b">
        <f t="shared" si="42"/>
        <v>0</v>
      </c>
    </row>
    <row r="2630" spans="1:3" hidden="1" x14ac:dyDescent="0.25">
      <c r="A2630" t="s">
        <v>2616</v>
      </c>
      <c r="B2630">
        <v>123</v>
      </c>
      <c r="C2630" t="b">
        <f t="shared" si="42"/>
        <v>0</v>
      </c>
    </row>
    <row r="2631" spans="1:3" hidden="1" x14ac:dyDescent="0.25">
      <c r="A2631" t="s">
        <v>4046</v>
      </c>
      <c r="B2631">
        <v>1640</v>
      </c>
      <c r="C2631" t="b">
        <f t="shared" si="42"/>
        <v>0</v>
      </c>
    </row>
    <row r="2632" spans="1:3" hidden="1" x14ac:dyDescent="0.25">
      <c r="A2632" t="s">
        <v>4047</v>
      </c>
      <c r="B2632">
        <v>1641</v>
      </c>
      <c r="C2632" t="b">
        <f t="shared" si="42"/>
        <v>0</v>
      </c>
    </row>
    <row r="2633" spans="1:3" hidden="1" x14ac:dyDescent="0.25">
      <c r="A2633" t="s">
        <v>4048</v>
      </c>
      <c r="B2633">
        <v>1642</v>
      </c>
      <c r="C2633" t="b">
        <f t="shared" si="42"/>
        <v>0</v>
      </c>
    </row>
    <row r="2634" spans="1:3" hidden="1" x14ac:dyDescent="0.25">
      <c r="A2634" t="s">
        <v>3351</v>
      </c>
      <c r="B2634">
        <v>891</v>
      </c>
      <c r="C2634" t="b">
        <f t="shared" si="42"/>
        <v>0</v>
      </c>
    </row>
    <row r="2635" spans="1:3" x14ac:dyDescent="0.25">
      <c r="A2635" t="s">
        <v>3351</v>
      </c>
      <c r="B2635">
        <v>1643</v>
      </c>
      <c r="C2635" t="b">
        <f t="shared" si="42"/>
        <v>1</v>
      </c>
    </row>
    <row r="2636" spans="1:3" x14ac:dyDescent="0.25">
      <c r="A2636" t="s">
        <v>3351</v>
      </c>
      <c r="B2636">
        <v>2501</v>
      </c>
      <c r="C2636" t="b">
        <f t="shared" si="42"/>
        <v>1</v>
      </c>
    </row>
    <row r="2637" spans="1:3" hidden="1" x14ac:dyDescent="0.25">
      <c r="A2637" t="s">
        <v>4049</v>
      </c>
      <c r="B2637">
        <v>1644</v>
      </c>
      <c r="C2637" t="b">
        <f t="shared" si="42"/>
        <v>0</v>
      </c>
    </row>
    <row r="2638" spans="1:3" hidden="1" x14ac:dyDescent="0.25">
      <c r="A2638" t="s">
        <v>5003</v>
      </c>
      <c r="B2638">
        <v>2705</v>
      </c>
      <c r="C2638" t="b">
        <f t="shared" si="42"/>
        <v>0</v>
      </c>
    </row>
    <row r="2639" spans="1:3" hidden="1" x14ac:dyDescent="0.25">
      <c r="A2639" t="s">
        <v>5004</v>
      </c>
      <c r="B2639">
        <v>2706</v>
      </c>
      <c r="C2639" t="b">
        <f t="shared" si="42"/>
        <v>0</v>
      </c>
    </row>
    <row r="2640" spans="1:3" hidden="1" x14ac:dyDescent="0.25">
      <c r="A2640" t="s">
        <v>5005</v>
      </c>
      <c r="B2640">
        <v>2707</v>
      </c>
      <c r="C2640" t="b">
        <f t="shared" si="42"/>
        <v>0</v>
      </c>
    </row>
    <row r="2641" spans="1:3" hidden="1" x14ac:dyDescent="0.25">
      <c r="A2641" t="s">
        <v>5006</v>
      </c>
      <c r="B2641">
        <v>2708</v>
      </c>
      <c r="C2641" t="b">
        <f t="shared" si="42"/>
        <v>0</v>
      </c>
    </row>
    <row r="2642" spans="1:3" hidden="1" x14ac:dyDescent="0.25">
      <c r="A2642" t="s">
        <v>5007</v>
      </c>
      <c r="B2642">
        <v>2709</v>
      </c>
      <c r="C2642" t="b">
        <f t="shared" si="42"/>
        <v>0</v>
      </c>
    </row>
    <row r="2643" spans="1:3" hidden="1" x14ac:dyDescent="0.25">
      <c r="A2643" t="s">
        <v>5008</v>
      </c>
      <c r="B2643">
        <v>2710</v>
      </c>
      <c r="C2643" t="b">
        <f t="shared" si="42"/>
        <v>0</v>
      </c>
    </row>
    <row r="2644" spans="1:3" hidden="1" x14ac:dyDescent="0.25">
      <c r="A2644" t="s">
        <v>5002</v>
      </c>
      <c r="B2644">
        <v>2704</v>
      </c>
      <c r="C2644" t="b">
        <f t="shared" si="42"/>
        <v>0</v>
      </c>
    </row>
    <row r="2645" spans="1:3" hidden="1" x14ac:dyDescent="0.25">
      <c r="A2645" t="s">
        <v>5009</v>
      </c>
      <c r="B2645">
        <v>2711</v>
      </c>
      <c r="C2645" t="b">
        <f t="shared" si="42"/>
        <v>0</v>
      </c>
    </row>
    <row r="2646" spans="1:3" hidden="1" x14ac:dyDescent="0.25">
      <c r="A2646" t="s">
        <v>5010</v>
      </c>
      <c r="B2646">
        <v>2712</v>
      </c>
      <c r="C2646" t="b">
        <f t="shared" si="42"/>
        <v>0</v>
      </c>
    </row>
    <row r="2647" spans="1:3" hidden="1" x14ac:dyDescent="0.25">
      <c r="A2647" t="s">
        <v>5011</v>
      </c>
      <c r="B2647">
        <v>2713</v>
      </c>
      <c r="C2647" t="b">
        <f t="shared" si="42"/>
        <v>0</v>
      </c>
    </row>
    <row r="2648" spans="1:3" hidden="1" x14ac:dyDescent="0.25">
      <c r="A2648" t="s">
        <v>5012</v>
      </c>
      <c r="B2648">
        <v>2714</v>
      </c>
      <c r="C2648" t="b">
        <f t="shared" si="42"/>
        <v>0</v>
      </c>
    </row>
    <row r="2649" spans="1:3" hidden="1" x14ac:dyDescent="0.25">
      <c r="A2649" t="s">
        <v>5013</v>
      </c>
      <c r="B2649">
        <v>2715</v>
      </c>
      <c r="C2649" t="b">
        <f t="shared" si="42"/>
        <v>0</v>
      </c>
    </row>
    <row r="2650" spans="1:3" hidden="1" x14ac:dyDescent="0.25">
      <c r="A2650" t="s">
        <v>5014</v>
      </c>
      <c r="B2650">
        <v>2716</v>
      </c>
      <c r="C2650" t="b">
        <f t="shared" si="42"/>
        <v>0</v>
      </c>
    </row>
    <row r="2651" spans="1:3" hidden="1" x14ac:dyDescent="0.25">
      <c r="A2651" t="s">
        <v>5015</v>
      </c>
      <c r="B2651">
        <v>2717</v>
      </c>
      <c r="C2651" t="b">
        <f t="shared" si="42"/>
        <v>0</v>
      </c>
    </row>
    <row r="2652" spans="1:3" hidden="1" x14ac:dyDescent="0.25">
      <c r="A2652" t="s">
        <v>4186</v>
      </c>
      <c r="B2652">
        <v>1804</v>
      </c>
      <c r="C2652" t="b">
        <f t="shared" si="42"/>
        <v>0</v>
      </c>
    </row>
    <row r="2653" spans="1:3" hidden="1" x14ac:dyDescent="0.25">
      <c r="A2653" t="s">
        <v>4466</v>
      </c>
      <c r="B2653">
        <v>2100</v>
      </c>
      <c r="C2653" t="b">
        <f t="shared" si="42"/>
        <v>0</v>
      </c>
    </row>
    <row r="2654" spans="1:3" hidden="1" x14ac:dyDescent="0.25">
      <c r="A2654" t="s">
        <v>3669</v>
      </c>
      <c r="B2654">
        <v>1236</v>
      </c>
      <c r="C2654" t="b">
        <f t="shared" si="42"/>
        <v>0</v>
      </c>
    </row>
    <row r="2655" spans="1:3" hidden="1" x14ac:dyDescent="0.25">
      <c r="A2655" t="s">
        <v>3291</v>
      </c>
      <c r="B2655">
        <v>827</v>
      </c>
      <c r="C2655" t="b">
        <f t="shared" si="42"/>
        <v>0</v>
      </c>
    </row>
    <row r="2656" spans="1:3" hidden="1" x14ac:dyDescent="0.25">
      <c r="A2656" t="s">
        <v>3060</v>
      </c>
      <c r="B2656">
        <v>588</v>
      </c>
      <c r="C2656" t="b">
        <f t="shared" si="42"/>
        <v>0</v>
      </c>
    </row>
    <row r="2657" spans="1:3" hidden="1" x14ac:dyDescent="0.25">
      <c r="A2657" t="s">
        <v>4820</v>
      </c>
      <c r="B2657">
        <v>2502</v>
      </c>
      <c r="C2657" t="b">
        <f t="shared" si="42"/>
        <v>0</v>
      </c>
    </row>
    <row r="2658" spans="1:3" x14ac:dyDescent="0.25">
      <c r="A2658" t="s">
        <v>4820</v>
      </c>
      <c r="B2658">
        <v>2599</v>
      </c>
      <c r="C2658" t="b">
        <f t="shared" si="42"/>
        <v>1</v>
      </c>
    </row>
    <row r="2659" spans="1:3" hidden="1" x14ac:dyDescent="0.25">
      <c r="A2659" t="s">
        <v>2817</v>
      </c>
      <c r="B2659">
        <v>329</v>
      </c>
      <c r="C2659" t="b">
        <f t="shared" si="42"/>
        <v>0</v>
      </c>
    </row>
    <row r="2660" spans="1:3" hidden="1" x14ac:dyDescent="0.25">
      <c r="A2660" t="s">
        <v>2818</v>
      </c>
      <c r="B2660">
        <v>330</v>
      </c>
      <c r="C2660" t="b">
        <f t="shared" si="42"/>
        <v>0</v>
      </c>
    </row>
    <row r="2661" spans="1:3" hidden="1" x14ac:dyDescent="0.25">
      <c r="A2661" t="s">
        <v>2819</v>
      </c>
      <c r="B2661">
        <v>331</v>
      </c>
      <c r="C2661" t="b">
        <f t="shared" si="42"/>
        <v>0</v>
      </c>
    </row>
    <row r="2662" spans="1:3" hidden="1" x14ac:dyDescent="0.25">
      <c r="A2662" t="s">
        <v>2820</v>
      </c>
      <c r="B2662">
        <v>332</v>
      </c>
      <c r="C2662" t="b">
        <f t="shared" si="42"/>
        <v>0</v>
      </c>
    </row>
    <row r="2663" spans="1:3" hidden="1" x14ac:dyDescent="0.25">
      <c r="A2663" t="s">
        <v>2979</v>
      </c>
      <c r="B2663">
        <v>500</v>
      </c>
      <c r="C2663" t="b">
        <f t="shared" si="42"/>
        <v>0</v>
      </c>
    </row>
    <row r="2664" spans="1:3" x14ac:dyDescent="0.25">
      <c r="A2664" t="s">
        <v>2979</v>
      </c>
      <c r="B2664">
        <v>2655</v>
      </c>
      <c r="C2664" t="b">
        <f t="shared" si="42"/>
        <v>1</v>
      </c>
    </row>
    <row r="2665" spans="1:3" hidden="1" x14ac:dyDescent="0.25">
      <c r="A2665" t="s">
        <v>2573</v>
      </c>
      <c r="B2665">
        <v>78</v>
      </c>
      <c r="C2665" t="b">
        <f t="shared" si="42"/>
        <v>0</v>
      </c>
    </row>
    <row r="2666" spans="1:3" hidden="1" x14ac:dyDescent="0.25">
      <c r="A2666" t="s">
        <v>2575</v>
      </c>
      <c r="B2666">
        <v>80</v>
      </c>
      <c r="C2666" t="b">
        <f t="shared" si="42"/>
        <v>0</v>
      </c>
    </row>
    <row r="2667" spans="1:3" hidden="1" x14ac:dyDescent="0.25">
      <c r="A2667" t="s">
        <v>2574</v>
      </c>
      <c r="B2667">
        <v>79</v>
      </c>
      <c r="C2667" t="b">
        <f t="shared" si="42"/>
        <v>0</v>
      </c>
    </row>
    <row r="2668" spans="1:3" hidden="1" x14ac:dyDescent="0.25">
      <c r="A2668" t="s">
        <v>5132</v>
      </c>
      <c r="B2668">
        <v>2835</v>
      </c>
      <c r="C2668" t="b">
        <f t="shared" si="42"/>
        <v>0</v>
      </c>
    </row>
    <row r="2669" spans="1:3" hidden="1" x14ac:dyDescent="0.25">
      <c r="A2669" t="s">
        <v>5134</v>
      </c>
      <c r="B2669">
        <v>2837</v>
      </c>
      <c r="C2669" t="b">
        <f t="shared" si="42"/>
        <v>0</v>
      </c>
    </row>
    <row r="2670" spans="1:3" hidden="1" x14ac:dyDescent="0.25">
      <c r="A2670" t="s">
        <v>5135</v>
      </c>
      <c r="B2670">
        <v>2838</v>
      </c>
      <c r="C2670" t="b">
        <f t="shared" si="42"/>
        <v>0</v>
      </c>
    </row>
    <row r="2671" spans="1:3" hidden="1" x14ac:dyDescent="0.25">
      <c r="A2671" t="s">
        <v>5136</v>
      </c>
      <c r="B2671">
        <v>2839</v>
      </c>
      <c r="C2671" t="b">
        <f t="shared" si="42"/>
        <v>0</v>
      </c>
    </row>
    <row r="2672" spans="1:3" hidden="1" x14ac:dyDescent="0.25">
      <c r="A2672" t="s">
        <v>5137</v>
      </c>
      <c r="B2672">
        <v>2840</v>
      </c>
      <c r="C2672" t="b">
        <f t="shared" si="42"/>
        <v>0</v>
      </c>
    </row>
    <row r="2673" spans="1:3" hidden="1" x14ac:dyDescent="0.25">
      <c r="A2673" t="s">
        <v>5138</v>
      </c>
      <c r="B2673">
        <v>2841</v>
      </c>
      <c r="C2673" t="b">
        <f t="shared" si="42"/>
        <v>0</v>
      </c>
    </row>
    <row r="2674" spans="1:3" hidden="1" x14ac:dyDescent="0.25">
      <c r="A2674" t="s">
        <v>5133</v>
      </c>
      <c r="B2674">
        <v>2836</v>
      </c>
      <c r="C2674" t="b">
        <f t="shared" si="42"/>
        <v>0</v>
      </c>
    </row>
    <row r="2675" spans="1:3" hidden="1" x14ac:dyDescent="0.25">
      <c r="A2675" t="s">
        <v>5139</v>
      </c>
      <c r="B2675">
        <v>2842</v>
      </c>
      <c r="C2675" t="b">
        <f t="shared" ref="C2675:C2738" si="43">A2675=A2674</f>
        <v>0</v>
      </c>
    </row>
    <row r="2676" spans="1:3" hidden="1" x14ac:dyDescent="0.25">
      <c r="A2676" t="s">
        <v>5140</v>
      </c>
      <c r="B2676">
        <v>2843</v>
      </c>
      <c r="C2676" t="b">
        <f t="shared" si="43"/>
        <v>0</v>
      </c>
    </row>
    <row r="2677" spans="1:3" hidden="1" x14ac:dyDescent="0.25">
      <c r="A2677" t="s">
        <v>5141</v>
      </c>
      <c r="B2677">
        <v>2844</v>
      </c>
      <c r="C2677" t="b">
        <f t="shared" si="43"/>
        <v>0</v>
      </c>
    </row>
    <row r="2678" spans="1:3" hidden="1" x14ac:dyDescent="0.25">
      <c r="A2678" t="s">
        <v>5142</v>
      </c>
      <c r="B2678">
        <v>2845</v>
      </c>
      <c r="C2678" t="b">
        <f t="shared" si="43"/>
        <v>0</v>
      </c>
    </row>
    <row r="2679" spans="1:3" hidden="1" x14ac:dyDescent="0.25">
      <c r="A2679" t="s">
        <v>4496</v>
      </c>
      <c r="B2679">
        <v>2133</v>
      </c>
      <c r="C2679" t="b">
        <f t="shared" si="43"/>
        <v>0</v>
      </c>
    </row>
    <row r="2680" spans="1:3" hidden="1" x14ac:dyDescent="0.25">
      <c r="A2680" t="s">
        <v>3827</v>
      </c>
      <c r="B2680">
        <v>1404</v>
      </c>
      <c r="C2680" t="b">
        <f t="shared" si="43"/>
        <v>0</v>
      </c>
    </row>
    <row r="2681" spans="1:3" hidden="1" x14ac:dyDescent="0.25">
      <c r="A2681" t="s">
        <v>5016</v>
      </c>
      <c r="B2681">
        <v>2718</v>
      </c>
      <c r="C2681" t="b">
        <f t="shared" si="43"/>
        <v>0</v>
      </c>
    </row>
    <row r="2682" spans="1:3" hidden="1" x14ac:dyDescent="0.25">
      <c r="A2682" t="s">
        <v>2821</v>
      </c>
      <c r="B2682">
        <v>333</v>
      </c>
      <c r="C2682" t="b">
        <f t="shared" si="43"/>
        <v>0</v>
      </c>
    </row>
    <row r="2683" spans="1:3" hidden="1" x14ac:dyDescent="0.25">
      <c r="A2683" t="s">
        <v>2747</v>
      </c>
      <c r="B2683">
        <v>258</v>
      </c>
      <c r="C2683" t="b">
        <f t="shared" si="43"/>
        <v>0</v>
      </c>
    </row>
    <row r="2684" spans="1:3" hidden="1" x14ac:dyDescent="0.25">
      <c r="A2684" t="s">
        <v>2586</v>
      </c>
      <c r="B2684">
        <v>92</v>
      </c>
      <c r="C2684" t="b">
        <f t="shared" si="43"/>
        <v>0</v>
      </c>
    </row>
    <row r="2685" spans="1:3" hidden="1" x14ac:dyDescent="0.25">
      <c r="A2685" t="s">
        <v>3101</v>
      </c>
      <c r="B2685">
        <v>631</v>
      </c>
      <c r="C2685" t="b">
        <f t="shared" si="43"/>
        <v>0</v>
      </c>
    </row>
    <row r="2686" spans="1:3" x14ac:dyDescent="0.25">
      <c r="A2686" t="s">
        <v>3101</v>
      </c>
      <c r="B2686">
        <v>1709</v>
      </c>
      <c r="C2686" t="b">
        <f t="shared" si="43"/>
        <v>1</v>
      </c>
    </row>
    <row r="2687" spans="1:3" x14ac:dyDescent="0.25">
      <c r="A2687" t="s">
        <v>3101</v>
      </c>
      <c r="B2687">
        <v>2600</v>
      </c>
      <c r="C2687" t="b">
        <f t="shared" si="43"/>
        <v>1</v>
      </c>
    </row>
    <row r="2688" spans="1:3" hidden="1" x14ac:dyDescent="0.25">
      <c r="A2688" t="s">
        <v>4467</v>
      </c>
      <c r="B2688">
        <v>2101</v>
      </c>
      <c r="C2688" t="b">
        <f t="shared" si="43"/>
        <v>0</v>
      </c>
    </row>
    <row r="2689" spans="1:3" hidden="1" x14ac:dyDescent="0.25">
      <c r="A2689" t="s">
        <v>4468</v>
      </c>
      <c r="B2689">
        <v>2102</v>
      </c>
      <c r="C2689" t="b">
        <f t="shared" si="43"/>
        <v>0</v>
      </c>
    </row>
    <row r="2690" spans="1:3" hidden="1" x14ac:dyDescent="0.25">
      <c r="A2690" t="s">
        <v>4469</v>
      </c>
      <c r="B2690">
        <v>2103</v>
      </c>
      <c r="C2690" t="b">
        <f t="shared" si="43"/>
        <v>0</v>
      </c>
    </row>
    <row r="2691" spans="1:3" hidden="1" x14ac:dyDescent="0.25">
      <c r="A2691" t="s">
        <v>4514</v>
      </c>
      <c r="B2691">
        <v>2154</v>
      </c>
      <c r="C2691" t="b">
        <f t="shared" si="43"/>
        <v>0</v>
      </c>
    </row>
    <row r="2692" spans="1:3" hidden="1" x14ac:dyDescent="0.25">
      <c r="A2692" t="s">
        <v>4515</v>
      </c>
      <c r="B2692">
        <v>2156</v>
      </c>
      <c r="C2692" t="b">
        <f t="shared" si="43"/>
        <v>0</v>
      </c>
    </row>
    <row r="2693" spans="1:3" hidden="1" x14ac:dyDescent="0.25">
      <c r="A2693" t="s">
        <v>4516</v>
      </c>
      <c r="B2693">
        <v>2157</v>
      </c>
      <c r="C2693" t="b">
        <f t="shared" si="43"/>
        <v>0</v>
      </c>
    </row>
    <row r="2694" spans="1:3" hidden="1" x14ac:dyDescent="0.25">
      <c r="A2694" t="s">
        <v>4517</v>
      </c>
      <c r="B2694">
        <v>2158</v>
      </c>
      <c r="C2694" t="b">
        <f t="shared" si="43"/>
        <v>0</v>
      </c>
    </row>
    <row r="2695" spans="1:3" hidden="1" x14ac:dyDescent="0.25">
      <c r="A2695" t="s">
        <v>4204</v>
      </c>
      <c r="B2695">
        <v>1825</v>
      </c>
      <c r="C2695" t="b">
        <f t="shared" si="43"/>
        <v>0</v>
      </c>
    </row>
    <row r="2696" spans="1:3" x14ac:dyDescent="0.25">
      <c r="A2696" t="s">
        <v>4204</v>
      </c>
      <c r="B2696">
        <v>2155</v>
      </c>
      <c r="C2696" t="b">
        <f t="shared" si="43"/>
        <v>1</v>
      </c>
    </row>
    <row r="2697" spans="1:3" hidden="1" x14ac:dyDescent="0.25">
      <c r="A2697" t="s">
        <v>4143</v>
      </c>
      <c r="B2697">
        <v>1756</v>
      </c>
      <c r="C2697" t="b">
        <f t="shared" si="43"/>
        <v>0</v>
      </c>
    </row>
    <row r="2698" spans="1:3" hidden="1" x14ac:dyDescent="0.25">
      <c r="A2698" t="s">
        <v>3597</v>
      </c>
      <c r="B2698">
        <v>1158</v>
      </c>
      <c r="C2698" t="b">
        <f t="shared" si="43"/>
        <v>0</v>
      </c>
    </row>
    <row r="2699" spans="1:3" hidden="1" x14ac:dyDescent="0.25">
      <c r="A2699" t="s">
        <v>3598</v>
      </c>
      <c r="B2699">
        <v>1159</v>
      </c>
      <c r="C2699" t="b">
        <f t="shared" si="43"/>
        <v>0</v>
      </c>
    </row>
    <row r="2700" spans="1:3" hidden="1" x14ac:dyDescent="0.25">
      <c r="A2700" t="s">
        <v>3599</v>
      </c>
      <c r="B2700">
        <v>1160</v>
      </c>
      <c r="C2700" t="b">
        <f t="shared" si="43"/>
        <v>0</v>
      </c>
    </row>
    <row r="2701" spans="1:3" hidden="1" x14ac:dyDescent="0.25">
      <c r="A2701" t="s">
        <v>4108</v>
      </c>
      <c r="B2701">
        <v>1710</v>
      </c>
      <c r="C2701" t="b">
        <f t="shared" si="43"/>
        <v>0</v>
      </c>
    </row>
    <row r="2702" spans="1:3" hidden="1" x14ac:dyDescent="0.25">
      <c r="A2702" t="s">
        <v>4611</v>
      </c>
      <c r="B2702">
        <v>2268</v>
      </c>
      <c r="C2702" t="b">
        <f t="shared" si="43"/>
        <v>0</v>
      </c>
    </row>
    <row r="2703" spans="1:3" hidden="1" x14ac:dyDescent="0.25">
      <c r="A2703" t="s">
        <v>4612</v>
      </c>
      <c r="B2703">
        <v>2269</v>
      </c>
      <c r="C2703" t="b">
        <f t="shared" si="43"/>
        <v>0</v>
      </c>
    </row>
    <row r="2704" spans="1:3" hidden="1" x14ac:dyDescent="0.25">
      <c r="A2704" t="s">
        <v>4122</v>
      </c>
      <c r="B2704">
        <v>1730</v>
      </c>
      <c r="C2704" t="b">
        <f t="shared" si="43"/>
        <v>0</v>
      </c>
    </row>
    <row r="2705" spans="1:3" hidden="1" x14ac:dyDescent="0.25">
      <c r="A2705" t="s">
        <v>3805</v>
      </c>
      <c r="B2705">
        <v>1378</v>
      </c>
      <c r="C2705" t="b">
        <f t="shared" si="43"/>
        <v>0</v>
      </c>
    </row>
    <row r="2706" spans="1:3" hidden="1" x14ac:dyDescent="0.25">
      <c r="A2706" t="s">
        <v>4326</v>
      </c>
      <c r="B2706">
        <v>1954</v>
      </c>
      <c r="C2706" t="b">
        <f t="shared" si="43"/>
        <v>0</v>
      </c>
    </row>
    <row r="2707" spans="1:3" hidden="1" x14ac:dyDescent="0.25">
      <c r="A2707" t="s">
        <v>4327</v>
      </c>
      <c r="B2707">
        <v>1955</v>
      </c>
      <c r="C2707" t="b">
        <f t="shared" si="43"/>
        <v>0</v>
      </c>
    </row>
    <row r="2708" spans="1:3" hidden="1" x14ac:dyDescent="0.25">
      <c r="A2708" t="s">
        <v>4070</v>
      </c>
      <c r="B2708">
        <v>1669</v>
      </c>
      <c r="C2708" t="b">
        <f t="shared" si="43"/>
        <v>0</v>
      </c>
    </row>
    <row r="2709" spans="1:3" hidden="1" x14ac:dyDescent="0.25">
      <c r="A2709" t="s">
        <v>4123</v>
      </c>
      <c r="B2709">
        <v>1731</v>
      </c>
      <c r="C2709" t="b">
        <f t="shared" si="43"/>
        <v>0</v>
      </c>
    </row>
    <row r="2710" spans="1:3" hidden="1" x14ac:dyDescent="0.25">
      <c r="A2710" t="s">
        <v>5143</v>
      </c>
      <c r="B2710">
        <v>2846</v>
      </c>
      <c r="C2710" t="b">
        <f t="shared" si="43"/>
        <v>0</v>
      </c>
    </row>
    <row r="2711" spans="1:3" hidden="1" x14ac:dyDescent="0.25">
      <c r="A2711" t="s">
        <v>3292</v>
      </c>
      <c r="B2711">
        <v>828</v>
      </c>
      <c r="C2711" t="b">
        <f t="shared" si="43"/>
        <v>0</v>
      </c>
    </row>
    <row r="2712" spans="1:3" hidden="1" x14ac:dyDescent="0.25">
      <c r="A2712" t="s">
        <v>3415</v>
      </c>
      <c r="B2712">
        <v>961</v>
      </c>
      <c r="C2712" t="b">
        <f t="shared" si="43"/>
        <v>0</v>
      </c>
    </row>
    <row r="2713" spans="1:3" hidden="1" x14ac:dyDescent="0.25">
      <c r="A2713" t="s">
        <v>3416</v>
      </c>
      <c r="B2713">
        <v>962</v>
      </c>
      <c r="C2713" t="b">
        <f t="shared" si="43"/>
        <v>0</v>
      </c>
    </row>
    <row r="2714" spans="1:3" hidden="1" x14ac:dyDescent="0.25">
      <c r="A2714" t="s">
        <v>5017</v>
      </c>
      <c r="B2714">
        <v>2719</v>
      </c>
      <c r="C2714" t="b">
        <f t="shared" si="43"/>
        <v>0</v>
      </c>
    </row>
    <row r="2715" spans="1:3" hidden="1" x14ac:dyDescent="0.25">
      <c r="A2715" t="s">
        <v>5018</v>
      </c>
      <c r="B2715">
        <v>2720</v>
      </c>
      <c r="C2715" t="b">
        <f t="shared" si="43"/>
        <v>0</v>
      </c>
    </row>
    <row r="2716" spans="1:3" hidden="1" x14ac:dyDescent="0.25">
      <c r="A2716" t="s">
        <v>5144</v>
      </c>
      <c r="B2716">
        <v>2847</v>
      </c>
      <c r="C2716" t="b">
        <f t="shared" si="43"/>
        <v>0</v>
      </c>
    </row>
    <row r="2717" spans="1:3" hidden="1" x14ac:dyDescent="0.25">
      <c r="A2717" t="s">
        <v>5145</v>
      </c>
      <c r="B2717">
        <v>2848</v>
      </c>
      <c r="C2717" t="b">
        <f t="shared" si="43"/>
        <v>0</v>
      </c>
    </row>
    <row r="2718" spans="1:3" hidden="1" x14ac:dyDescent="0.25">
      <c r="A2718" t="s">
        <v>5146</v>
      </c>
      <c r="B2718">
        <v>2849</v>
      </c>
      <c r="C2718" t="b">
        <f t="shared" si="43"/>
        <v>0</v>
      </c>
    </row>
    <row r="2719" spans="1:3" hidden="1" x14ac:dyDescent="0.25">
      <c r="A2719" t="s">
        <v>3061</v>
      </c>
      <c r="B2719">
        <v>589</v>
      </c>
      <c r="C2719" t="b">
        <f t="shared" si="43"/>
        <v>0</v>
      </c>
    </row>
    <row r="2720" spans="1:3" hidden="1" x14ac:dyDescent="0.25">
      <c r="A2720" t="s">
        <v>3062</v>
      </c>
      <c r="B2720">
        <v>590</v>
      </c>
      <c r="C2720" t="b">
        <f t="shared" si="43"/>
        <v>0</v>
      </c>
    </row>
    <row r="2721" spans="1:3" hidden="1" x14ac:dyDescent="0.25">
      <c r="A2721" t="s">
        <v>5167</v>
      </c>
      <c r="B2721">
        <v>2875</v>
      </c>
      <c r="C2721" t="b">
        <f t="shared" si="43"/>
        <v>0</v>
      </c>
    </row>
    <row r="2722" spans="1:3" hidden="1" x14ac:dyDescent="0.25">
      <c r="A2722" t="s">
        <v>5169</v>
      </c>
      <c r="B2722">
        <v>2877</v>
      </c>
      <c r="C2722" t="b">
        <f t="shared" si="43"/>
        <v>0</v>
      </c>
    </row>
    <row r="2723" spans="1:3" hidden="1" x14ac:dyDescent="0.25">
      <c r="A2723" t="s">
        <v>5170</v>
      </c>
      <c r="B2723">
        <v>2878</v>
      </c>
      <c r="C2723" t="b">
        <f t="shared" si="43"/>
        <v>0</v>
      </c>
    </row>
    <row r="2724" spans="1:3" hidden="1" x14ac:dyDescent="0.25">
      <c r="A2724" t="s">
        <v>5168</v>
      </c>
      <c r="B2724">
        <v>2876</v>
      </c>
      <c r="C2724" t="b">
        <f t="shared" si="43"/>
        <v>0</v>
      </c>
    </row>
    <row r="2725" spans="1:3" hidden="1" x14ac:dyDescent="0.25">
      <c r="A2725" t="s">
        <v>3507</v>
      </c>
      <c r="B2725">
        <v>1063</v>
      </c>
      <c r="C2725" t="b">
        <f t="shared" si="43"/>
        <v>0</v>
      </c>
    </row>
    <row r="2726" spans="1:3" hidden="1" x14ac:dyDescent="0.25">
      <c r="A2726" t="s">
        <v>3386</v>
      </c>
      <c r="B2726">
        <v>928</v>
      </c>
      <c r="C2726" t="b">
        <f t="shared" si="43"/>
        <v>0</v>
      </c>
    </row>
    <row r="2727" spans="1:3" x14ac:dyDescent="0.25">
      <c r="A2727" t="s">
        <v>3386</v>
      </c>
      <c r="B2727">
        <v>2503</v>
      </c>
      <c r="C2727" t="b">
        <f t="shared" si="43"/>
        <v>1</v>
      </c>
    </row>
    <row r="2728" spans="1:3" hidden="1" x14ac:dyDescent="0.25">
      <c r="A2728" t="s">
        <v>3352</v>
      </c>
      <c r="B2728">
        <v>892</v>
      </c>
      <c r="C2728" t="b">
        <f t="shared" si="43"/>
        <v>0</v>
      </c>
    </row>
    <row r="2729" spans="1:3" hidden="1" x14ac:dyDescent="0.25">
      <c r="A2729" t="s">
        <v>4362</v>
      </c>
      <c r="B2729">
        <v>1995</v>
      </c>
      <c r="C2729" t="b">
        <f t="shared" si="43"/>
        <v>0</v>
      </c>
    </row>
    <row r="2730" spans="1:3" hidden="1" x14ac:dyDescent="0.25">
      <c r="A2730" t="s">
        <v>4363</v>
      </c>
      <c r="B2730">
        <v>1996</v>
      </c>
      <c r="C2730" t="b">
        <f t="shared" si="43"/>
        <v>0</v>
      </c>
    </row>
    <row r="2731" spans="1:3" hidden="1" x14ac:dyDescent="0.25">
      <c r="A2731" t="s">
        <v>4364</v>
      </c>
      <c r="B2731">
        <v>1997</v>
      </c>
      <c r="C2731" t="b">
        <f t="shared" si="43"/>
        <v>0</v>
      </c>
    </row>
    <row r="2732" spans="1:3" hidden="1" x14ac:dyDescent="0.25">
      <c r="A2732" t="s">
        <v>4365</v>
      </c>
      <c r="B2732">
        <v>1998</v>
      </c>
      <c r="C2732" t="b">
        <f t="shared" si="43"/>
        <v>0</v>
      </c>
    </row>
    <row r="2733" spans="1:3" hidden="1" x14ac:dyDescent="0.25">
      <c r="A2733" t="s">
        <v>4366</v>
      </c>
      <c r="B2733">
        <v>1999</v>
      </c>
      <c r="C2733" t="b">
        <f t="shared" si="43"/>
        <v>0</v>
      </c>
    </row>
    <row r="2734" spans="1:3" hidden="1" x14ac:dyDescent="0.25">
      <c r="A2734" t="s">
        <v>4328</v>
      </c>
      <c r="B2734">
        <v>1956</v>
      </c>
      <c r="C2734" t="b">
        <f t="shared" si="43"/>
        <v>0</v>
      </c>
    </row>
    <row r="2735" spans="1:3" hidden="1" x14ac:dyDescent="0.25">
      <c r="A2735" t="s">
        <v>4329</v>
      </c>
      <c r="B2735">
        <v>1957</v>
      </c>
      <c r="C2735" t="b">
        <f t="shared" si="43"/>
        <v>0</v>
      </c>
    </row>
    <row r="2736" spans="1:3" hidden="1" x14ac:dyDescent="0.25">
      <c r="A2736" t="s">
        <v>4470</v>
      </c>
      <c r="B2736">
        <v>2104</v>
      </c>
      <c r="C2736" t="b">
        <f t="shared" si="43"/>
        <v>0</v>
      </c>
    </row>
    <row r="2737" spans="1:3" hidden="1" x14ac:dyDescent="0.25">
      <c r="A2737" t="s">
        <v>4330</v>
      </c>
      <c r="B2737">
        <v>1958</v>
      </c>
      <c r="C2737" t="b">
        <f t="shared" si="43"/>
        <v>0</v>
      </c>
    </row>
    <row r="2738" spans="1:3" hidden="1" x14ac:dyDescent="0.25">
      <c r="A2738" t="s">
        <v>4331</v>
      </c>
      <c r="B2738">
        <v>1959</v>
      </c>
      <c r="C2738" t="b">
        <f t="shared" si="43"/>
        <v>0</v>
      </c>
    </row>
    <row r="2739" spans="1:3" hidden="1" x14ac:dyDescent="0.25">
      <c r="A2739" t="s">
        <v>4471</v>
      </c>
      <c r="B2739">
        <v>2105</v>
      </c>
      <c r="C2739" t="b">
        <f t="shared" ref="C2739:C2799" si="44">A2739=A2738</f>
        <v>0</v>
      </c>
    </row>
    <row r="2740" spans="1:3" hidden="1" x14ac:dyDescent="0.25">
      <c r="A2740" t="s">
        <v>3508</v>
      </c>
      <c r="B2740">
        <v>1064</v>
      </c>
      <c r="C2740" t="b">
        <f t="shared" si="44"/>
        <v>0</v>
      </c>
    </row>
    <row r="2741" spans="1:3" hidden="1" x14ac:dyDescent="0.25">
      <c r="A2741" t="s">
        <v>4781</v>
      </c>
      <c r="B2741">
        <v>2455</v>
      </c>
      <c r="C2741" t="b">
        <f t="shared" si="44"/>
        <v>0</v>
      </c>
    </row>
    <row r="2742" spans="1:3" hidden="1" x14ac:dyDescent="0.25">
      <c r="A2742" t="s">
        <v>4779</v>
      </c>
      <c r="B2742">
        <v>2453</v>
      </c>
      <c r="C2742" t="b">
        <f t="shared" si="44"/>
        <v>0</v>
      </c>
    </row>
    <row r="2743" spans="1:3" hidden="1" x14ac:dyDescent="0.25">
      <c r="A2743" t="s">
        <v>4782</v>
      </c>
      <c r="B2743">
        <v>2456</v>
      </c>
      <c r="C2743" t="b">
        <f t="shared" si="44"/>
        <v>0</v>
      </c>
    </row>
    <row r="2744" spans="1:3" hidden="1" x14ac:dyDescent="0.25">
      <c r="A2744" t="s">
        <v>4780</v>
      </c>
      <c r="B2744">
        <v>2454</v>
      </c>
      <c r="C2744" t="b">
        <f t="shared" si="44"/>
        <v>0</v>
      </c>
    </row>
    <row r="2745" spans="1:3" hidden="1" x14ac:dyDescent="0.25">
      <c r="A2745" t="s">
        <v>4279</v>
      </c>
      <c r="B2745">
        <v>1904</v>
      </c>
      <c r="C2745" t="b">
        <f t="shared" si="44"/>
        <v>0</v>
      </c>
    </row>
    <row r="2746" spans="1:3" hidden="1" x14ac:dyDescent="0.25">
      <c r="A2746" t="s">
        <v>4709</v>
      </c>
      <c r="B2746">
        <v>2376</v>
      </c>
      <c r="C2746" t="b">
        <f t="shared" si="44"/>
        <v>0</v>
      </c>
    </row>
    <row r="2747" spans="1:3" hidden="1" x14ac:dyDescent="0.25">
      <c r="A2747" t="s">
        <v>4332</v>
      </c>
      <c r="B2747">
        <v>1960</v>
      </c>
      <c r="C2747" t="b">
        <f t="shared" si="44"/>
        <v>0</v>
      </c>
    </row>
    <row r="2748" spans="1:3" hidden="1" x14ac:dyDescent="0.25">
      <c r="A2748" t="s">
        <v>3002</v>
      </c>
      <c r="B2748">
        <v>524</v>
      </c>
      <c r="C2748" t="b">
        <f t="shared" si="44"/>
        <v>0</v>
      </c>
    </row>
    <row r="2749" spans="1:3" hidden="1" x14ac:dyDescent="0.25">
      <c r="A2749" t="s">
        <v>4245</v>
      </c>
      <c r="B2749">
        <v>1868</v>
      </c>
      <c r="C2749" t="b">
        <f t="shared" si="44"/>
        <v>0</v>
      </c>
    </row>
    <row r="2750" spans="1:3" hidden="1" x14ac:dyDescent="0.25">
      <c r="A2750" t="s">
        <v>4333</v>
      </c>
      <c r="B2750">
        <v>1961</v>
      </c>
      <c r="C2750" t="b">
        <f t="shared" si="44"/>
        <v>0</v>
      </c>
    </row>
    <row r="2751" spans="1:3" hidden="1" x14ac:dyDescent="0.25">
      <c r="A2751" t="s">
        <v>4334</v>
      </c>
      <c r="B2751">
        <v>1962</v>
      </c>
      <c r="C2751" t="b">
        <f t="shared" si="44"/>
        <v>0</v>
      </c>
    </row>
    <row r="2752" spans="1:3" hidden="1" x14ac:dyDescent="0.25">
      <c r="A2752" t="s">
        <v>3326</v>
      </c>
      <c r="B2752">
        <v>865</v>
      </c>
      <c r="C2752" t="b">
        <f t="shared" si="44"/>
        <v>0</v>
      </c>
    </row>
    <row r="2753" spans="1:3" hidden="1" x14ac:dyDescent="0.25">
      <c r="A2753" t="s">
        <v>2638</v>
      </c>
      <c r="B2753">
        <v>146</v>
      </c>
      <c r="C2753" t="b">
        <f t="shared" si="44"/>
        <v>0</v>
      </c>
    </row>
    <row r="2754" spans="1:3" hidden="1" x14ac:dyDescent="0.25">
      <c r="A2754" t="s">
        <v>3575</v>
      </c>
      <c r="B2754">
        <v>1135</v>
      </c>
      <c r="C2754" t="b">
        <f t="shared" si="44"/>
        <v>0</v>
      </c>
    </row>
    <row r="2755" spans="1:3" hidden="1" x14ac:dyDescent="0.25">
      <c r="A2755" t="s">
        <v>3576</v>
      </c>
      <c r="B2755">
        <v>1136</v>
      </c>
      <c r="C2755" t="b">
        <f t="shared" si="44"/>
        <v>0</v>
      </c>
    </row>
    <row r="2756" spans="1:3" hidden="1" x14ac:dyDescent="0.25">
      <c r="A2756" t="s">
        <v>2894</v>
      </c>
      <c r="B2756">
        <v>409</v>
      </c>
      <c r="C2756" t="b">
        <f t="shared" si="44"/>
        <v>0</v>
      </c>
    </row>
    <row r="2757" spans="1:3" hidden="1" x14ac:dyDescent="0.25">
      <c r="A2757" t="s">
        <v>2722</v>
      </c>
      <c r="B2757">
        <v>232</v>
      </c>
      <c r="C2757" t="b">
        <f t="shared" si="44"/>
        <v>0</v>
      </c>
    </row>
    <row r="2758" spans="1:3" hidden="1" x14ac:dyDescent="0.25">
      <c r="A2758" t="s">
        <v>3509</v>
      </c>
      <c r="B2758">
        <v>1065</v>
      </c>
      <c r="C2758" t="b">
        <f t="shared" si="44"/>
        <v>0</v>
      </c>
    </row>
    <row r="2759" spans="1:3" hidden="1" x14ac:dyDescent="0.25">
      <c r="A2759" t="s">
        <v>3510</v>
      </c>
      <c r="B2759">
        <v>1066</v>
      </c>
      <c r="C2759" t="b">
        <f t="shared" si="44"/>
        <v>0</v>
      </c>
    </row>
    <row r="2760" spans="1:3" hidden="1" x14ac:dyDescent="0.25">
      <c r="A2760" t="s">
        <v>2980</v>
      </c>
      <c r="B2760">
        <v>501</v>
      </c>
      <c r="C2760" t="b">
        <f t="shared" si="44"/>
        <v>0</v>
      </c>
    </row>
    <row r="2761" spans="1:3" hidden="1" x14ac:dyDescent="0.25">
      <c r="A2761" t="s">
        <v>2958</v>
      </c>
      <c r="B2761">
        <v>477</v>
      </c>
      <c r="C2761" t="b">
        <f t="shared" si="44"/>
        <v>0</v>
      </c>
    </row>
    <row r="2762" spans="1:3" hidden="1" x14ac:dyDescent="0.25">
      <c r="A2762" t="s">
        <v>3156</v>
      </c>
      <c r="B2762">
        <v>688</v>
      </c>
      <c r="C2762" t="b">
        <f t="shared" si="44"/>
        <v>0</v>
      </c>
    </row>
    <row r="2763" spans="1:3" hidden="1" x14ac:dyDescent="0.25">
      <c r="A2763" t="s">
        <v>3600</v>
      </c>
      <c r="B2763">
        <v>1161</v>
      </c>
      <c r="C2763" t="b">
        <f t="shared" si="44"/>
        <v>0</v>
      </c>
    </row>
    <row r="2764" spans="1:3" hidden="1" x14ac:dyDescent="0.25">
      <c r="A2764" t="s">
        <v>4280</v>
      </c>
      <c r="B2764">
        <v>1905</v>
      </c>
      <c r="C2764" t="b">
        <f t="shared" si="44"/>
        <v>0</v>
      </c>
    </row>
    <row r="2765" spans="1:3" hidden="1" x14ac:dyDescent="0.25">
      <c r="A2765" t="s">
        <v>3461</v>
      </c>
      <c r="B2765">
        <v>1015</v>
      </c>
      <c r="C2765" t="b">
        <f t="shared" si="44"/>
        <v>0</v>
      </c>
    </row>
    <row r="2766" spans="1:3" hidden="1" x14ac:dyDescent="0.25">
      <c r="A2766" t="s">
        <v>3025</v>
      </c>
      <c r="B2766">
        <v>551</v>
      </c>
      <c r="C2766" t="b">
        <f t="shared" si="44"/>
        <v>0</v>
      </c>
    </row>
    <row r="2767" spans="1:3" hidden="1" x14ac:dyDescent="0.25">
      <c r="A2767" t="s">
        <v>3627</v>
      </c>
      <c r="B2767">
        <v>1193</v>
      </c>
      <c r="C2767" t="b">
        <f t="shared" si="44"/>
        <v>0</v>
      </c>
    </row>
    <row r="2768" spans="1:3" hidden="1" x14ac:dyDescent="0.25">
      <c r="A2768" t="s">
        <v>4907</v>
      </c>
      <c r="B2768">
        <v>2601</v>
      </c>
      <c r="C2768" t="b">
        <f t="shared" si="44"/>
        <v>0</v>
      </c>
    </row>
    <row r="2769" spans="1:3" hidden="1" x14ac:dyDescent="0.25">
      <c r="A2769" t="s">
        <v>4472</v>
      </c>
      <c r="B2769">
        <v>2106</v>
      </c>
      <c r="C2769" t="b">
        <f t="shared" si="44"/>
        <v>0</v>
      </c>
    </row>
    <row r="2770" spans="1:3" hidden="1" x14ac:dyDescent="0.25">
      <c r="A2770" t="s">
        <v>4473</v>
      </c>
      <c r="B2770">
        <v>2107</v>
      </c>
      <c r="C2770" t="b">
        <f t="shared" si="44"/>
        <v>0</v>
      </c>
    </row>
    <row r="2771" spans="1:3" hidden="1" x14ac:dyDescent="0.25">
      <c r="A2771" t="s">
        <v>2982</v>
      </c>
      <c r="B2771">
        <v>503</v>
      </c>
      <c r="C2771" t="b">
        <f t="shared" si="44"/>
        <v>0</v>
      </c>
    </row>
    <row r="2772" spans="1:3" hidden="1" x14ac:dyDescent="0.25">
      <c r="A2772" t="s">
        <v>4474</v>
      </c>
      <c r="B2772">
        <v>2108</v>
      </c>
      <c r="C2772" t="b">
        <f t="shared" si="44"/>
        <v>0</v>
      </c>
    </row>
    <row r="2773" spans="1:3" hidden="1" x14ac:dyDescent="0.25">
      <c r="A2773" t="s">
        <v>2981</v>
      </c>
      <c r="B2773">
        <v>502</v>
      </c>
      <c r="C2773" t="b">
        <f t="shared" si="44"/>
        <v>0</v>
      </c>
    </row>
    <row r="2774" spans="1:3" hidden="1" x14ac:dyDescent="0.25">
      <c r="A2774" t="s">
        <v>5147</v>
      </c>
      <c r="B2774">
        <v>2850</v>
      </c>
      <c r="C2774" t="b">
        <f t="shared" si="44"/>
        <v>0</v>
      </c>
    </row>
    <row r="2775" spans="1:3" hidden="1" x14ac:dyDescent="0.25">
      <c r="A2775" t="s">
        <v>4867</v>
      </c>
      <c r="B2775">
        <v>2555</v>
      </c>
      <c r="C2775" t="b">
        <f t="shared" si="44"/>
        <v>0</v>
      </c>
    </row>
    <row r="2776" spans="1:3" hidden="1" x14ac:dyDescent="0.25">
      <c r="A2776" t="s">
        <v>2685</v>
      </c>
      <c r="B2776">
        <v>195</v>
      </c>
      <c r="C2776" t="b">
        <f t="shared" si="44"/>
        <v>0</v>
      </c>
    </row>
    <row r="2777" spans="1:3" hidden="1" x14ac:dyDescent="0.25">
      <c r="A2777" t="s">
        <v>2927</v>
      </c>
      <c r="B2777">
        <v>445</v>
      </c>
      <c r="C2777" t="b">
        <f t="shared" si="44"/>
        <v>0</v>
      </c>
    </row>
    <row r="2778" spans="1:3" hidden="1" x14ac:dyDescent="0.25">
      <c r="A2778" t="s">
        <v>2895</v>
      </c>
      <c r="B2778">
        <v>410</v>
      </c>
      <c r="C2778" t="b">
        <f t="shared" si="44"/>
        <v>0</v>
      </c>
    </row>
    <row r="2779" spans="1:3" hidden="1" x14ac:dyDescent="0.25">
      <c r="A2779" t="s">
        <v>3924</v>
      </c>
      <c r="B2779">
        <v>1509</v>
      </c>
      <c r="C2779" t="b">
        <f t="shared" si="44"/>
        <v>0</v>
      </c>
    </row>
    <row r="2780" spans="1:3" hidden="1" x14ac:dyDescent="0.25">
      <c r="A2780" t="s">
        <v>4821</v>
      </c>
      <c r="B2780">
        <v>2504</v>
      </c>
      <c r="C2780" t="b">
        <f t="shared" si="44"/>
        <v>0</v>
      </c>
    </row>
    <row r="2781" spans="1:3" hidden="1" x14ac:dyDescent="0.25">
      <c r="A2781" t="s">
        <v>3387</v>
      </c>
      <c r="B2781">
        <v>929</v>
      </c>
      <c r="C2781" t="b">
        <f t="shared" si="44"/>
        <v>0</v>
      </c>
    </row>
    <row r="2782" spans="1:3" x14ac:dyDescent="0.25">
      <c r="A2782" t="s">
        <v>3387</v>
      </c>
      <c r="B2782">
        <v>2270</v>
      </c>
      <c r="C2782" t="b">
        <f t="shared" si="44"/>
        <v>1</v>
      </c>
    </row>
    <row r="2783" spans="1:3" hidden="1" x14ac:dyDescent="0.25">
      <c r="A2783" t="s">
        <v>5148</v>
      </c>
      <c r="B2783">
        <v>2851</v>
      </c>
      <c r="C2783" t="b">
        <f t="shared" si="44"/>
        <v>0</v>
      </c>
    </row>
    <row r="2784" spans="1:3" hidden="1" x14ac:dyDescent="0.25">
      <c r="A2784" t="s">
        <v>5149</v>
      </c>
      <c r="B2784">
        <v>2852</v>
      </c>
      <c r="C2784" t="b">
        <f t="shared" si="44"/>
        <v>0</v>
      </c>
    </row>
    <row r="2785" spans="1:3" hidden="1" x14ac:dyDescent="0.25">
      <c r="A2785" t="s">
        <v>3806</v>
      </c>
      <c r="B2785">
        <v>1379</v>
      </c>
      <c r="C2785" t="b">
        <f t="shared" si="44"/>
        <v>0</v>
      </c>
    </row>
    <row r="2786" spans="1:3" hidden="1" x14ac:dyDescent="0.25">
      <c r="A2786" t="s">
        <v>4747</v>
      </c>
      <c r="B2786">
        <v>2419</v>
      </c>
      <c r="C2786" t="b">
        <f t="shared" si="44"/>
        <v>0</v>
      </c>
    </row>
    <row r="2787" spans="1:3" hidden="1" x14ac:dyDescent="0.25">
      <c r="A2787" t="s">
        <v>2686</v>
      </c>
      <c r="B2787">
        <v>196</v>
      </c>
      <c r="C2787" t="b">
        <f t="shared" si="44"/>
        <v>0</v>
      </c>
    </row>
    <row r="2788" spans="1:3" hidden="1" x14ac:dyDescent="0.25">
      <c r="A2788" t="s">
        <v>3828</v>
      </c>
      <c r="B2788">
        <v>1405</v>
      </c>
      <c r="C2788" t="b">
        <f t="shared" si="44"/>
        <v>0</v>
      </c>
    </row>
    <row r="2789" spans="1:3" hidden="1" x14ac:dyDescent="0.25">
      <c r="A2789" t="s">
        <v>3829</v>
      </c>
      <c r="B2789">
        <v>1406</v>
      </c>
      <c r="C2789" t="b">
        <f t="shared" si="44"/>
        <v>0</v>
      </c>
    </row>
    <row r="2790" spans="1:3" hidden="1" x14ac:dyDescent="0.25">
      <c r="A2790" t="s">
        <v>5019</v>
      </c>
      <c r="B2790">
        <v>2721</v>
      </c>
      <c r="C2790" t="b">
        <f t="shared" si="44"/>
        <v>0</v>
      </c>
    </row>
    <row r="2791" spans="1:3" hidden="1" x14ac:dyDescent="0.25">
      <c r="A2791" t="s">
        <v>5020</v>
      </c>
      <c r="B2791">
        <v>2722</v>
      </c>
      <c r="C2791" t="b">
        <f t="shared" si="44"/>
        <v>0</v>
      </c>
    </row>
    <row r="2792" spans="1:3" hidden="1" x14ac:dyDescent="0.25">
      <c r="A2792" t="s">
        <v>5021</v>
      </c>
      <c r="B2792">
        <v>2723</v>
      </c>
      <c r="C2792" t="b">
        <f t="shared" si="44"/>
        <v>0</v>
      </c>
    </row>
    <row r="2793" spans="1:3" hidden="1" x14ac:dyDescent="0.25">
      <c r="A2793" t="s">
        <v>5022</v>
      </c>
      <c r="B2793">
        <v>2724</v>
      </c>
      <c r="C2793" t="b">
        <f t="shared" si="44"/>
        <v>0</v>
      </c>
    </row>
    <row r="2794" spans="1:3" hidden="1" x14ac:dyDescent="0.25">
      <c r="A2794" t="s">
        <v>5023</v>
      </c>
      <c r="B2794">
        <v>2725</v>
      </c>
      <c r="C2794" t="b">
        <f t="shared" si="44"/>
        <v>0</v>
      </c>
    </row>
    <row r="2795" spans="1:3" hidden="1" x14ac:dyDescent="0.25">
      <c r="A2795" t="s">
        <v>5024</v>
      </c>
      <c r="B2795">
        <v>2726</v>
      </c>
      <c r="C2795" t="b">
        <f t="shared" si="44"/>
        <v>0</v>
      </c>
    </row>
    <row r="2796" spans="1:3" hidden="1" x14ac:dyDescent="0.25">
      <c r="A2796" t="s">
        <v>5025</v>
      </c>
      <c r="B2796">
        <v>2727</v>
      </c>
      <c r="C2796" t="b">
        <f t="shared" si="44"/>
        <v>0</v>
      </c>
    </row>
    <row r="2797" spans="1:3" hidden="1" x14ac:dyDescent="0.25">
      <c r="A2797" t="s">
        <v>4613</v>
      </c>
      <c r="B2797">
        <v>2271</v>
      </c>
      <c r="C2797" t="b">
        <f t="shared" si="44"/>
        <v>0</v>
      </c>
    </row>
    <row r="2798" spans="1:3" hidden="1" x14ac:dyDescent="0.25">
      <c r="A2798" t="s">
        <v>4614</v>
      </c>
      <c r="B2798">
        <v>2272</v>
      </c>
      <c r="C2798" t="b">
        <f t="shared" si="44"/>
        <v>0</v>
      </c>
    </row>
    <row r="2799" spans="1:3" hidden="1" x14ac:dyDescent="0.25">
      <c r="A2799" t="s">
        <v>4710</v>
      </c>
      <c r="B2799">
        <v>2377</v>
      </c>
      <c r="C2799" t="b">
        <f t="shared" si="44"/>
        <v>0</v>
      </c>
    </row>
  </sheetData>
  <autoFilter ref="A1:C2799" xr:uid="{0D897749-6201-4A5E-A22A-2EF8BEDA7BBD}">
    <filterColumn colId="2">
      <filters>
        <filter val="TRUE"/>
      </filters>
    </filterColumn>
  </autoFilter>
  <sortState ref="A2:B2799">
    <sortCondition ref="A2:A279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Master List of Entities</vt:lpstr>
      <vt:lpstr>Counties</vt:lpstr>
      <vt:lpstr>Dupe Names</vt:lpstr>
      <vt:lpstr>counties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</dc:creator>
  <cp:lastModifiedBy>Marc</cp:lastModifiedBy>
  <dcterms:created xsi:type="dcterms:W3CDTF">2017-09-12T14:45:57Z</dcterms:created>
  <dcterms:modified xsi:type="dcterms:W3CDTF">2017-09-13T04:54:29Z</dcterms:modified>
</cp:coreProperties>
</file>